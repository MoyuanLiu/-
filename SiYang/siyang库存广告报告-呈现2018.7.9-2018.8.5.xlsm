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'库存（子SKU）'!$C$6:$C$1020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<sst xmlns="http://schemas.openxmlformats.org/spreadsheetml/2006/main" count="2302">
  <si>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</si>
  <si>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</si>
  <si>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</si>
  <si>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</si>
  <si>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</si>
  <si>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</si>
  <si>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</si>
  <si>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</si>
  <si>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</si>
  <si>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</si>
  <si>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</si>
  <si>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</si>
  <si>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</si>
  <si>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</si>
  <si>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</si>
  <si>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</si>
  <si>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</si>
  <si>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</si>
  <si>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</si>
  <si>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</si>
  <si>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</si>
  <si>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</si>
  <si>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</si>
  <si>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</si>
  <si>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</si>
  <si>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</si>
  <si>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</si>
  <si>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</si>
  <si>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</si>
  <si>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</si>
  <si>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</si>
  <si>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</si>
  <si>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</si>
  <si>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</si>
  <si>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</si>
  <si>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</si>
  <si>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</si>
  <si>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</si>
  <si>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</si>
  <si>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</si>
  <si>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</si>
  <si>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</si>
  <si>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</si>
  <si>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</si>
  <si>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</si>
  <si>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</si>
  <si>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</si>
  <si>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</si>
  <si>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</si>
  <si>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</si>
  <si>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</si>
  <si>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</si>
  <si>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</si>
  <si>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</si>
  <si>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</si>
  <si>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</si>
  <si>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</si>
  <si>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</si>
  <si>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</si>
  <si>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</si>
  <si>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</si>
  <si>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</si>
  <si>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</si>
  <si>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</si>
  <si>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</si>
  <si>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</si>
  <si>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</si>
  <si>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</si>
  <si>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</si>
  <si>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</si>
  <si>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</si>
  <si>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</si>
  <si>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</si>
  <si>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</si>
  <si>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</si>
  <si>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</si>
  <si>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</si>
  <si>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</si>
  <si>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</si>
  <si>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</si>
  <si>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</si>
  <si>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</si>
  <si>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</si>
  <si>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</si>
  <si>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</si>
  <si>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</si>
  <si>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</si>
  <si>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</si>
  <si>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</si>
  <si>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</si>
  <si>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</si>
  <si>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</si>
  <si>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</si>
  <si>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</si>
  <si>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</si>
  <si>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</si>
  <si>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</si>
  <si>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</si>
  <si>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</si>
  <si>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</si>
  <si>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</si>
  <si>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</si>
  <si>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</si>
  <si>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</si>
  <si>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</si>
  <si>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</si>
  <si>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</si>
  <si>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</si>
  <si>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AWFSNANKU-2292B0-31</t>
  </si>
  <si>
    <t>B0727S2N9C</t>
  </si>
  <si>
    <t>AWFSNANKU-2292</t>
  </si>
  <si>
    <t>AWFSNANKU-2292JLS-31</t>
  </si>
  <si>
    <t>B0722LH1R1</t>
  </si>
  <si>
    <t>AWFSNANKU-HBWYB5822BS-34</t>
  </si>
  <si>
    <t>B071DTPN9C</t>
  </si>
  <si>
    <t>AWFSNANKU-HBWYB5822</t>
  </si>
  <si>
    <t>AWFSNANKU-HBWYB5822BS-36</t>
  </si>
  <si>
    <t>B07193G3ZX</t>
  </si>
  <si>
    <t>AWFSNANKU-HBWYB5822HS-32</t>
  </si>
  <si>
    <t>B071NLTJLC</t>
  </si>
  <si>
    <t>AWFSNANKU-K19KQS-38</t>
  </si>
  <si>
    <t>B071NLL9QL</t>
  </si>
  <si>
    <t>AWFSNANKU-K19</t>
  </si>
  <si>
    <t>BBSA140*180CM</t>
  </si>
  <si>
    <t>B0756CHGKN</t>
  </si>
  <si>
    <t>BBSA</t>
  </si>
  <si>
    <t>BBSA140*240CM</t>
  </si>
  <si>
    <t>B0756F238Y</t>
  </si>
  <si>
    <t>BBSA140*260CM</t>
  </si>
  <si>
    <t>B07569T8YF</t>
  </si>
  <si>
    <t>BDB-001-B0</t>
  </si>
  <si>
    <t>B07DQS5YP2</t>
  </si>
  <si>
    <t>BDB-001</t>
  </si>
  <si>
    <t>BDB-001-G0</t>
  </si>
  <si>
    <t>B07DQLVNSH</t>
  </si>
  <si>
    <t>BDB-001-K0</t>
  </si>
  <si>
    <t>B07DQL77MR</t>
  </si>
  <si>
    <t>BDB-001-R0</t>
  </si>
  <si>
    <t>B07DQMJRJG</t>
  </si>
  <si>
    <t>BDB-001-Y0</t>
  </si>
  <si>
    <t>B07DQPGWNM</t>
  </si>
  <si>
    <t>BDB-001-ZL</t>
  </si>
  <si>
    <t>B07DQT2DCN</t>
  </si>
  <si>
    <t>BDB-LUHM001-B0</t>
  </si>
  <si>
    <t>BDB-LUHM001</t>
  </si>
  <si>
    <t>BDB-LUHM001-G0</t>
  </si>
  <si>
    <t>BDB-LUHM001-K0</t>
  </si>
  <si>
    <t>BDB-LUHM001-R0</t>
  </si>
  <si>
    <t>BDB-LUHM001-Y0</t>
  </si>
  <si>
    <t>BDB-LUHM001-ZL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</si>
  <si>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</si>
  <si>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</si>
  <si>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</si>
  <si>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</si>
  <si>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</si>
  <si>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</si>
  <si>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</si>
  <si>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</si>
  <si>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</si>
  <si>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</si>
  <si>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</si>
  <si>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</si>
  <si>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</si>
  <si>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</si>
  <si>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</si>
  <si>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</si>
  <si>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</si>
  <si>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</si>
  <si>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</si>
  <si>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</si>
  <si>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</si>
  <si>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</si>
  <si>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</si>
  <si>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</si>
  <si>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</si>
  <si>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</si>
  <si>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</si>
  <si>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</si>
  <si>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</si>
  <si>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</si>
  <si>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</si>
  <si>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</si>
  <si>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</si>
  <si>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</si>
  <si>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</si>
  <si>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</si>
  <si>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</si>
  <si>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</si>
  <si>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</si>
  <si>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</si>
  <si>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</si>
  <si>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</si>
  <si>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</si>
  <si>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</si>
  <si>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</si>
  <si>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</si>
  <si>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</si>
  <si>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</si>
  <si>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</si>
  <si>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</si>
  <si>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</si>
  <si>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</si>
  <si>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</si>
  <si>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</si>
  <si>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</si>
  <si>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</si>
  <si>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</si>
  <si>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</si>
  <si>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</si>
  <si>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</si>
  <si>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</si>
  <si>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</si>
  <si>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无销量广告费为0.45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</si>
  <si>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</si>
  <si>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</si>
  <si>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</si>
  <si>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</si>
  <si>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</si>
  <si>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</si>
  <si>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</si>
  <si>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</si>
  <si>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</si>
  <si>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</si>
  <si>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</si>
  <si>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</si>
  <si>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</si>
  <si>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</si>
  <si>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</si>
  <si>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</si>
  <si>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</si>
  <si>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</si>
  <si>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</si>
  <si>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</si>
  <si>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</si>
  <si>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</si>
  <si>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</si>
  <si>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</si>
  <si>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</si>
  <si>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</si>
  <si>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</si>
  <si>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</si>
  <si>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</si>
  <si>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</si>
  <si>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</si>
  <si>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</si>
  <si>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</si>
  <si>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</si>
  <si>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</si>
  <si>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</si>
  <si>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</si>
  <si>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</si>
  <si>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</si>
  <si>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</si>
  <si>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</si>
  <si>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</si>
  <si>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</si>
  <si>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</si>
  <si>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</si>
  <si>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</si>
  <si>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</si>
  <si>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</si>
  <si>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</si>
  <si>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</si>
  <si>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</si>
  <si>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</si>
  <si>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</si>
  <si>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</si>
  <si>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</si>
  <si>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</si>
  <si>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</si>
  <si>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</si>
  <si>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</si>
  <si>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</si>
  <si>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</si>
  <si>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</si>
  <si>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</si>
  <si>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</si>
  <si>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</si>
  <si>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</si>
  <si>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</si>
  <si>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</si>
  <si>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</si>
  <si>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</si>
  <si>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</si>
  <si>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</si>
  <si>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无销量广告费为34.07</t>
  </si>
  <si>
    <t>无销量广告费为15.09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</si>
  <si>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</si>
  <si>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</si>
  <si>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</si>
  <si>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</si>
  <si>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</si>
  <si>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</si>
  <si>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</si>
  <si>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</si>
  <si>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</si>
  <si>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</si>
  <si>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</si>
  <si>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</si>
  <si>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</si>
  <si>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</si>
  <si>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</si>
  <si>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</si>
  <si>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</si>
  <si>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</si>
  <si>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</si>
  <si>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</si>
  <si>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</si>
  <si>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</si>
  <si>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</si>
  <si>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无销量广告费为0.78</t>
  </si>
  <si>
    <t>DLJJZHUOBU-DSGZGZ100x100CM</t>
  </si>
  <si>
    <t>B071RLCCDQ</t>
  </si>
  <si>
    <t>DLJJZHUOBU-DSGZGZ</t>
  </si>
  <si>
    <t>DLJJZHUOBU-DSGZGZ140x140CM</t>
  </si>
  <si>
    <t>B0713QQ11B</t>
  </si>
  <si>
    <t>DLJJZHUOBU-DSGZGZ140x250CM</t>
  </si>
  <si>
    <t>B0722HN5S4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</si>
  <si>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</si>
  <si>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</si>
  <si>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</si>
  <si>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</si>
  <si>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</si>
  <si>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</si>
  <si>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</si>
  <si>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</si>
  <si>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ETYIBLUE-L</t>
  </si>
  <si>
    <t>B073QPMMCK</t>
  </si>
  <si>
    <t>ETYIBLUE</t>
  </si>
  <si>
    <t>ETYIBLUE-M</t>
  </si>
  <si>
    <t>B073QNJQ4Z</t>
  </si>
  <si>
    <t>ETYIBLUE-M-2</t>
  </si>
  <si>
    <t>B07F9RX9DD</t>
  </si>
  <si>
    <t>ETYIBLUE-S</t>
  </si>
  <si>
    <t>B073QQ41MK</t>
  </si>
  <si>
    <t>ETYIBLUE-S-2</t>
  </si>
  <si>
    <t>B07F9N2KBW</t>
  </si>
  <si>
    <t>ETYIBLUE-XL</t>
  </si>
  <si>
    <t>B073QP5GLR</t>
  </si>
  <si>
    <t>ETYIM-S-2</t>
  </si>
  <si>
    <t>B07F9KQ2X6</t>
  </si>
  <si>
    <t>ETYIM</t>
  </si>
  <si>
    <t>ETYIMC-L</t>
  </si>
  <si>
    <t>B073QPDXLG</t>
  </si>
  <si>
    <t>ETYIMC</t>
  </si>
  <si>
    <t>ETYIMC-L-2</t>
  </si>
  <si>
    <t>B07F9MHC8X</t>
  </si>
  <si>
    <t>ETYIMC-L-3</t>
  </si>
  <si>
    <t>B07FZY7P2X</t>
  </si>
  <si>
    <t>ETYIMC-M</t>
  </si>
  <si>
    <t>B073QNWCP5</t>
  </si>
  <si>
    <t>ETYIMC-M-2</t>
  </si>
  <si>
    <t>B07F9S6B2N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</si>
  <si>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</si>
  <si>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</si>
  <si>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</si>
  <si>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</si>
  <si>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</si>
  <si>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</si>
  <si>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</si>
  <si>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无销量广告费为24.25</t>
  </si>
  <si>
    <t>ETYIYELLOW-M</t>
  </si>
  <si>
    <t>B073QPBC2V</t>
  </si>
  <si>
    <t>ETYIYELLOW-S</t>
  </si>
  <si>
    <t>B073QNY957</t>
  </si>
  <si>
    <t>ETYIYELLOW-S-2</t>
  </si>
  <si>
    <t>B07FJLYDMK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</si>
  <si>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</si>
  <si>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</si>
  <si>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</si>
  <si>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</si>
  <si>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</si>
  <si>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</si>
  <si>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</si>
  <si>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</si>
  <si>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</si>
  <si>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ETYIYUANDIAN-S-2</t>
  </si>
  <si>
    <t>B07FJMCFZM</t>
  </si>
  <si>
    <t>ETYIYUANDIAN-XL</t>
  </si>
  <si>
    <t>B0771JJC17</t>
  </si>
  <si>
    <t>FMHSGJH67*20CM</t>
  </si>
  <si>
    <t>B073R8G5PX</t>
  </si>
  <si>
    <t>FMHSGJH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</si>
  <si>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</si>
  <si>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</si>
  <si>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</si>
  <si>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</si>
  <si>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</si>
  <si>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</si>
  <si>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</si>
  <si>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FSFZB001BLRO200CM</t>
  </si>
  <si>
    <t>B01F5LOXBU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</si>
  <si>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</si>
  <si>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</si>
  <si>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</si>
  <si>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</si>
  <si>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</si>
  <si>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</si>
  <si>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</si>
  <si>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</si>
  <si>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无销量广告费为0.59</t>
  </si>
  <si>
    <t>FSFZB001JHRO220CM</t>
  </si>
  <si>
    <t>B01F5LQLA6</t>
  </si>
  <si>
    <t>FSFZB001W0RO160CM</t>
  </si>
  <si>
    <t>B01F5LPX32</t>
  </si>
  <si>
    <t>FSFZB001W0RO180CM</t>
  </si>
  <si>
    <t>B01F5LPYAO</t>
  </si>
  <si>
    <t>无销量广告费为1.75</t>
  </si>
  <si>
    <t>无销量广告费为1.35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</si>
  <si>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</si>
  <si>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</si>
  <si>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</si>
  <si>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</si>
  <si>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</si>
  <si>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</si>
  <si>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</si>
  <si>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</si>
  <si>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</si>
  <si>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FSFZB006J0RO220CM</t>
  </si>
  <si>
    <t>B01F5LQLW4</t>
  </si>
  <si>
    <t>无销量广告费为1.24</t>
  </si>
  <si>
    <t>FSFZB006J0RO280CM</t>
  </si>
  <si>
    <t>B01F5LQV9W</t>
  </si>
  <si>
    <t>FSFZB006J0RO320CM</t>
  </si>
  <si>
    <t>B01F5LRA0G</t>
  </si>
  <si>
    <t>FSFZB006QSRO160CM</t>
  </si>
  <si>
    <t>B01F5LSHAI</t>
  </si>
  <si>
    <t>FSFZB006QSRO180CM</t>
  </si>
  <si>
    <t>B01F5LSIVQ</t>
  </si>
  <si>
    <t>FSFZB006QSRO200CM</t>
  </si>
  <si>
    <t>B01F5LSKQ4</t>
  </si>
  <si>
    <t>无销量广告费为0.41</t>
  </si>
  <si>
    <t>无销量广告费为0.37</t>
  </si>
  <si>
    <t>FSFZB006QSRO220CM</t>
  </si>
  <si>
    <t>B01F5LSPOG</t>
  </si>
  <si>
    <t>FSFZB007KWRO160CM</t>
  </si>
  <si>
    <t>B01F5LPRMY</t>
  </si>
  <si>
    <t>FSFZB007</t>
  </si>
  <si>
    <t>FSFZB007KWRO180CM</t>
  </si>
  <si>
    <t>B01F5LPTAO</t>
  </si>
  <si>
    <t>FSFZB007KWRO200CM</t>
  </si>
  <si>
    <t>B01F5LPV52</t>
  </si>
  <si>
    <t>FSFZB007KWRO220CM</t>
  </si>
  <si>
    <t>B01F5LPWZQ</t>
  </si>
  <si>
    <t>GB-035-B0</t>
  </si>
  <si>
    <t>B07F6546YQ</t>
  </si>
  <si>
    <t>GB-035</t>
  </si>
  <si>
    <t>GB-035-BE</t>
  </si>
  <si>
    <t>B07F64BTCD</t>
  </si>
  <si>
    <t>GB-035-P0</t>
  </si>
  <si>
    <t>B07F68CBMK</t>
  </si>
  <si>
    <t>GMBZKQM</t>
  </si>
  <si>
    <t>B01N7A9Z1L</t>
  </si>
  <si>
    <t>GMSNH-CY001-Y0</t>
  </si>
  <si>
    <t>B07DQL4VVL</t>
  </si>
  <si>
    <t>GMSNH-CY001</t>
  </si>
  <si>
    <t>GMSNH-LUHM001-E0</t>
  </si>
  <si>
    <t>B07DQM6N3W</t>
  </si>
  <si>
    <t>GMSNH-LUHM001</t>
  </si>
  <si>
    <t>GMSNH-LUHM001-G0</t>
  </si>
  <si>
    <t>B07DQMT2TL</t>
  </si>
  <si>
    <t>GMSNH-LUHM001-K0</t>
  </si>
  <si>
    <t>B07DQLZ5KK</t>
  </si>
  <si>
    <t>GMSNH-LUHM001-W0</t>
  </si>
  <si>
    <t>B07DQLKY6N</t>
  </si>
  <si>
    <t>GMSNT-CY001-DX</t>
  </si>
  <si>
    <t>B07DQPRJPR</t>
  </si>
  <si>
    <t>GMSNT-CY001</t>
  </si>
  <si>
    <t>GMSNT-LUHM001-BS</t>
  </si>
  <si>
    <t>B07DQN9ZJT</t>
  </si>
  <si>
    <t>GMSNT-LUHM001</t>
  </si>
  <si>
    <t>GMSNT-LUHM001-GQ</t>
  </si>
  <si>
    <t>B07DQL4VVH</t>
  </si>
  <si>
    <t>GMSNT-LUHM001-HW</t>
  </si>
  <si>
    <t>B07DQP8MPM</t>
  </si>
  <si>
    <t>GMSNT-LUHM001-KT</t>
  </si>
  <si>
    <t>B07DQN92XD</t>
  </si>
  <si>
    <t>GMSNT-LUHM001-WX</t>
  </si>
  <si>
    <t>B07DQLKY6T</t>
  </si>
  <si>
    <t>GMZDD-FLQ07-MC-28</t>
  </si>
  <si>
    <t>B075QF56L3</t>
  </si>
  <si>
    <t>GMZDD-FLQ07</t>
  </si>
  <si>
    <t>GMZDD-FLQ08-BO-28</t>
  </si>
  <si>
    <t>B075QFP51N</t>
  </si>
  <si>
    <t>GMZDD-FLQ08</t>
  </si>
  <si>
    <t>GMZDD-FLQ08-GR-28</t>
  </si>
  <si>
    <t>B075QG33T1</t>
  </si>
  <si>
    <t>GMZDD-FLQ08-PO-28</t>
  </si>
  <si>
    <t>B075R92YGF</t>
  </si>
  <si>
    <t>GMZDD-FLQ08-RO-28</t>
  </si>
  <si>
    <t>B075QFMG4P</t>
  </si>
  <si>
    <t>GMZYL-06-BG-40</t>
  </si>
  <si>
    <t>B075RCQD9P</t>
  </si>
  <si>
    <t>GMZYL-06</t>
  </si>
  <si>
    <t>GMZYL-06-BY-40</t>
  </si>
  <si>
    <t>B075R56C85</t>
  </si>
  <si>
    <t>GMZYL-06-WZ-40</t>
  </si>
  <si>
    <t>B078J1MVB6</t>
  </si>
  <si>
    <t>GMZYL-FLQ06-BF-40</t>
  </si>
  <si>
    <t>B076P8S1LC</t>
  </si>
  <si>
    <t>GMZYL-FLQ06</t>
  </si>
  <si>
    <t>GMZYL-FLQ06-BG-40</t>
  </si>
  <si>
    <t>GMZYL-FLQ06-HG-40</t>
  </si>
  <si>
    <t>B075R4XJZV</t>
  </si>
  <si>
    <t>GMZYL-FLQ06-TZ-40</t>
  </si>
  <si>
    <t>B075R4RWDL</t>
  </si>
  <si>
    <t>GMZYL-FLQ2013-DX-36</t>
  </si>
  <si>
    <t>B078JK429P</t>
  </si>
  <si>
    <t>GMZYL-FLQ2013</t>
  </si>
  <si>
    <t>GMZYL-FLQ2013-RO-36</t>
  </si>
  <si>
    <t>B078JQ7B7M</t>
  </si>
  <si>
    <t>GMZYL-FLQ2013-YO-36</t>
  </si>
  <si>
    <t>B078JQVN4Q</t>
  </si>
  <si>
    <t>GMZYL-FLQ59-BF-32</t>
  </si>
  <si>
    <t>B078JQ3KLW</t>
  </si>
  <si>
    <t>GMZYL-FLQ59</t>
  </si>
  <si>
    <t>GMZYL-FLQ59-BY-32</t>
  </si>
  <si>
    <t>B078JNY8M1</t>
  </si>
  <si>
    <t>GMZYL-FLQ59-TW-32</t>
  </si>
  <si>
    <t>B078JJ7KDP</t>
  </si>
  <si>
    <t>GMZYL-FLQ59-TZ-32</t>
  </si>
  <si>
    <t>B078JQXPDD</t>
  </si>
  <si>
    <t>GMZYL-FLQ59-YD-32</t>
  </si>
  <si>
    <t>B078JHC2WQ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</si>
  <si>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</si>
  <si>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</si>
  <si>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</si>
  <si>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</si>
  <si>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</si>
  <si>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</si>
  <si>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</si>
  <si>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</si>
  <si>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</si>
  <si>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</si>
  <si>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</si>
  <si>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</si>
  <si>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HATQHMZ</t>
  </si>
  <si>
    <t>B01F5LQQX8</t>
  </si>
  <si>
    <t>HNJAX2SW045*45CM</t>
  </si>
  <si>
    <t>B01JIWOFRY</t>
  </si>
  <si>
    <t>HNJAX2S</t>
  </si>
  <si>
    <t>无销量广告费为0.27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</si>
  <si>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</si>
  <si>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</si>
  <si>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</si>
  <si>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</si>
  <si>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</si>
  <si>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</si>
  <si>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</si>
  <si>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</si>
  <si>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</si>
  <si>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</si>
  <si>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</si>
  <si>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</si>
  <si>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</si>
  <si>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</si>
  <si>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</si>
  <si>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</si>
  <si>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</si>
  <si>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</si>
  <si>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</si>
  <si>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</si>
  <si>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</si>
  <si>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</si>
  <si>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</si>
  <si>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</si>
  <si>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</si>
  <si>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</si>
  <si>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</si>
  <si>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</si>
  <si>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</si>
  <si>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</si>
  <si>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</si>
  <si>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</si>
  <si>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</si>
  <si>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</si>
  <si>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</si>
  <si>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</si>
  <si>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</si>
  <si>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</si>
  <si>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</si>
  <si>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</si>
  <si>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</si>
  <si>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</si>
  <si>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</si>
  <si>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</si>
  <si>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</si>
  <si>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</si>
  <si>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</si>
  <si>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</si>
  <si>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</si>
  <si>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</si>
  <si>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</si>
  <si>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</si>
  <si>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</si>
  <si>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</si>
  <si>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</si>
  <si>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</si>
  <si>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</si>
  <si>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</si>
  <si>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</si>
  <si>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</si>
  <si>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</si>
  <si>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</si>
  <si>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</si>
  <si>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</si>
  <si>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</si>
  <si>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</si>
  <si>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</si>
  <si>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</si>
  <si>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</si>
  <si>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</si>
  <si>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</si>
  <si>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</si>
  <si>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</si>
  <si>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</si>
  <si>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</si>
  <si>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</si>
  <si>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</si>
  <si>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</si>
  <si>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</si>
  <si>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</si>
  <si>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</si>
  <si>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</si>
  <si>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</si>
  <si>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无销量广告费为1.18</t>
  </si>
  <si>
    <t>JCHOME-AXLEIS100*140CM</t>
  </si>
  <si>
    <t>B076GYW2LH</t>
  </si>
  <si>
    <t>JCHOME-AX</t>
  </si>
  <si>
    <t>JCHOME-AXLEIS140*160CM</t>
  </si>
  <si>
    <t>B076GYPPCP</t>
  </si>
  <si>
    <t>JCHOME-AXW140*180CM</t>
  </si>
  <si>
    <t>B076GWWM8X</t>
  </si>
  <si>
    <t>JCHOME-AXW140*200CM</t>
  </si>
  <si>
    <t>B076GZ17CW</t>
  </si>
  <si>
    <t>JCHOME-AXW140*250CM</t>
  </si>
  <si>
    <t>B076GYN577</t>
  </si>
  <si>
    <t>JCHOME-AXW60*60CM</t>
  </si>
  <si>
    <t>B076GWWHL4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</si>
  <si>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</si>
  <si>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</si>
  <si>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</si>
  <si>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</si>
  <si>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</si>
  <si>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</si>
  <si>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</si>
  <si>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</si>
  <si>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</si>
  <si>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</si>
  <si>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</si>
  <si>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</si>
  <si>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</si>
  <si>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</si>
  <si>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</si>
  <si>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JDDKLNFS-S</t>
  </si>
  <si>
    <t>B077NGZSN7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</si>
  <si>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</si>
  <si>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</si>
  <si>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</si>
  <si>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</si>
  <si>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</si>
  <si>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</si>
  <si>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</si>
  <si>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</si>
  <si>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</si>
  <si>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</si>
  <si>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</si>
  <si>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</si>
  <si>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</si>
  <si>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</si>
  <si>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</si>
  <si>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</si>
  <si>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</si>
  <si>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</si>
  <si>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</si>
  <si>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</si>
  <si>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</si>
  <si>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</si>
  <si>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</si>
  <si>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</si>
  <si>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</si>
  <si>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</si>
  <si>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</si>
  <si>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</si>
  <si>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</si>
  <si>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</si>
  <si>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</si>
  <si>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</si>
  <si>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</si>
  <si>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</si>
  <si>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</si>
  <si>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</si>
  <si>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</si>
  <si>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</si>
  <si>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</si>
  <si>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</si>
  <si>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</si>
  <si>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</si>
  <si>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</si>
  <si>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</si>
  <si>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</si>
  <si>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</si>
  <si>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</si>
  <si>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LQXFMSCX85*85CM</t>
  </si>
  <si>
    <t>B01FS78SBC</t>
  </si>
  <si>
    <t>LQXFMSCX</t>
  </si>
  <si>
    <t>LQXFTY132*132CM</t>
  </si>
  <si>
    <t>B01FS78GPU</t>
  </si>
  <si>
    <t>LQXFTY</t>
  </si>
  <si>
    <t>LQXFTY135*175CM</t>
  </si>
  <si>
    <t>B01FS78I3A</t>
  </si>
  <si>
    <t>LUXGW-PBOWL-1</t>
  </si>
  <si>
    <t>B078HNLGWS</t>
  </si>
  <si>
    <t>LUXGW-PBOWL</t>
  </si>
  <si>
    <t>LUXGW-PBOWL-2</t>
  </si>
  <si>
    <t>B078H79DCY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</si>
  <si>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</si>
  <si>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</si>
  <si>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</si>
  <si>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</si>
  <si>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</si>
  <si>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</si>
  <si>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</si>
  <si>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</si>
  <si>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</si>
  <si>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</si>
  <si>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</si>
  <si>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</si>
  <si>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</si>
  <si>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MIDTREE-M</t>
  </si>
  <si>
    <t>B0777L8ZYX</t>
  </si>
  <si>
    <t>MIDTREE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</si>
  <si>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</si>
  <si>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</si>
  <si>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</si>
  <si>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</si>
  <si>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</si>
  <si>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</si>
  <si>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</si>
  <si>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MIDUYBLK0L.MISSING</t>
  </si>
  <si>
    <t>B072X8N3LZ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</si>
  <si>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</si>
  <si>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</si>
  <si>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</si>
  <si>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</si>
  <si>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</si>
  <si>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</si>
  <si>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</si>
  <si>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</si>
  <si>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</si>
  <si>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</si>
  <si>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</si>
  <si>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</si>
  <si>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</si>
  <si>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</si>
  <si>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</si>
  <si>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</si>
  <si>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MIDUYD46-059KZL</t>
  </si>
  <si>
    <t>B01N11KD8V</t>
  </si>
  <si>
    <t>MIDUYD46-059</t>
  </si>
  <si>
    <t>MIDUYD46-059KZS</t>
  </si>
  <si>
    <t>B01N7STBIG</t>
  </si>
  <si>
    <t>MIDUYD46-HDK0L</t>
  </si>
  <si>
    <t>B01MT3T6A7</t>
  </si>
  <si>
    <t>MIDUYD46-HDK</t>
  </si>
  <si>
    <t>MIDUYD46-HDK0S</t>
  </si>
  <si>
    <t>B01N6LLBPL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</si>
  <si>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</si>
  <si>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</si>
  <si>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</si>
  <si>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</si>
  <si>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</si>
  <si>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</si>
  <si>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</si>
  <si>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</si>
  <si>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</si>
  <si>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MJ-IUYL230-PK-S</t>
  </si>
  <si>
    <t>B079FX7DQ8</t>
  </si>
  <si>
    <t>MTX-IULHY-M1759-DB-27</t>
  </si>
  <si>
    <t>B07FPF1V6Z</t>
  </si>
  <si>
    <t>MTX-IULHY-M1759</t>
  </si>
  <si>
    <t>MTX-IULHY-M1759-DB-28</t>
  </si>
  <si>
    <t>B07FP8X2TC</t>
  </si>
  <si>
    <t>MTX-IULHY-M1759-DB-29</t>
  </si>
  <si>
    <t>B07FR8YG78</t>
  </si>
  <si>
    <t>MTX-IULHY-M1759-GR-27</t>
  </si>
  <si>
    <t>B07FPDVC3D</t>
  </si>
  <si>
    <t>MTX-IULHY-M1759-GR-28</t>
  </si>
  <si>
    <t>B07FPBTZTD</t>
  </si>
  <si>
    <t>MTX-IULHY-M1759-GR-29</t>
  </si>
  <si>
    <t>B07FPWYGND</t>
  </si>
  <si>
    <t>MTX-IULHY-W1758-GN-25</t>
  </si>
  <si>
    <t>B07FM41G3Z</t>
  </si>
  <si>
    <t>MTX-IULHY-W1758</t>
  </si>
  <si>
    <t>MTX-IULHY-W1758-GN-26</t>
  </si>
  <si>
    <t>B07FM16RR3</t>
  </si>
  <si>
    <t>MTX-IULHY-W1758-GN-27</t>
  </si>
  <si>
    <t>B07FM5D6V7</t>
  </si>
  <si>
    <t>MTX-IULHY-W1758-OR-25</t>
  </si>
  <si>
    <t>B07FM8LS9R</t>
  </si>
  <si>
    <t>MTX-IULHY-W1758-OR-26</t>
  </si>
  <si>
    <t>B07FM6GKHY</t>
  </si>
  <si>
    <t>MTX-IULHY-W1758-OR-27</t>
  </si>
  <si>
    <t>B07FM5CQBS</t>
  </si>
  <si>
    <t>MTX-IULHY-W1758-PK-25</t>
  </si>
  <si>
    <t>B07FM16V9G</t>
  </si>
  <si>
    <t>MTX-IULHY-W1758-PK-26</t>
  </si>
  <si>
    <t>B07FM8L625</t>
  </si>
  <si>
    <t>MTX-IULHY-W1758-PK-27</t>
  </si>
  <si>
    <t>B07FM42JD2</t>
  </si>
  <si>
    <t>MTX-IULHY-W1759-GN-25</t>
  </si>
  <si>
    <t>B07FPBJZSY</t>
  </si>
  <si>
    <t>MTX-IULHY-W1759</t>
  </si>
  <si>
    <t>MTX-IULHY-W1759-GN-26</t>
  </si>
  <si>
    <t>B07FP915GV</t>
  </si>
  <si>
    <t>MTX-IULHY-W1759-GN-27</t>
  </si>
  <si>
    <t>B07FP7MJYC</t>
  </si>
  <si>
    <t>MTX-IULHY-W1759-OR-25</t>
  </si>
  <si>
    <t>B07FPHM3MP</t>
  </si>
  <si>
    <t>MTX-IULHY-W1759-OR-26</t>
  </si>
  <si>
    <t>B07FP7WW37</t>
  </si>
  <si>
    <t>MTX-IULHY-W1759-OR-27</t>
  </si>
  <si>
    <t>B07FPLD45J</t>
  </si>
  <si>
    <t>MTX-IULHY-W1759-PK-25</t>
  </si>
  <si>
    <t>B07FP74CT9</t>
  </si>
  <si>
    <t>MTX-IULHY-W1759-PK-26</t>
  </si>
  <si>
    <t>B07FPDK8GL</t>
  </si>
  <si>
    <t>无销量广告费为1.57</t>
  </si>
  <si>
    <t>MTX-IULHY-W1759-PK-27</t>
  </si>
  <si>
    <t>B07FPGYWZ9</t>
  </si>
  <si>
    <t>MTX-IULHY-W1798-GN-25</t>
  </si>
  <si>
    <t>B07FM6MQSS</t>
  </si>
  <si>
    <t>MTX-IULHY-W1798</t>
  </si>
  <si>
    <t>MTX-IULHY-W1798-GN-26</t>
  </si>
  <si>
    <t>B07FM77G99</t>
  </si>
  <si>
    <t>MTX-IULHY-W1798-GN-27</t>
  </si>
  <si>
    <t>B07FMB6GKG</t>
  </si>
  <si>
    <t>MTX-IULHY-W1798-OR-25</t>
  </si>
  <si>
    <t>B07FMBSRYX</t>
  </si>
  <si>
    <t>MTX-IULHY-W1798-OR-26</t>
  </si>
  <si>
    <t>B07FM6WSYH</t>
  </si>
  <si>
    <t>MTX-IULHY-W1798-OR-27</t>
  </si>
  <si>
    <t>B07FM6X59M</t>
  </si>
  <si>
    <t>MTX-IULHY-W1798-PK-25</t>
  </si>
  <si>
    <t>B07FML2VJ1</t>
  </si>
  <si>
    <t>MTX-IULHY-W1798-PK-26</t>
  </si>
  <si>
    <t>B07FMCPM5H</t>
  </si>
  <si>
    <t>MTX-IULHY-W1798-PK-27</t>
  </si>
  <si>
    <t>B07FMBTXMF</t>
  </si>
  <si>
    <t>MTX-IULHY-W1798-RD-25</t>
  </si>
  <si>
    <t>B07FMGXFBR</t>
  </si>
  <si>
    <t>MTX-IULHY-W1798-RD-26</t>
  </si>
  <si>
    <t>B07FM5QXR1</t>
  </si>
  <si>
    <t>MTX-IULHY-W1798-RD-27</t>
  </si>
  <si>
    <t>B07FMFCJL5</t>
  </si>
  <si>
    <t>MTX-IULHY-W188-GN-35/37</t>
  </si>
  <si>
    <t>B07FMM2HXQ</t>
  </si>
  <si>
    <t>MTX-IULHY-W188</t>
  </si>
  <si>
    <t>MTX-IULHY-W188-GN-38/39</t>
  </si>
  <si>
    <t>B07FM6LRHB</t>
  </si>
  <si>
    <t>MTX-IULHY-W188-PK-35/37</t>
  </si>
  <si>
    <t>B07FM6M66H</t>
  </si>
  <si>
    <t>MTX-IULHY-W188-PK-38/39</t>
  </si>
  <si>
    <t>B07FM66H7Y</t>
  </si>
  <si>
    <t>MTX-IULHY-W188-PP-35/37</t>
  </si>
  <si>
    <t>B07FM4B2M4</t>
  </si>
  <si>
    <t>MTX-IULHY-W188-PP-38/39</t>
  </si>
  <si>
    <t>B07FM19C5B</t>
  </si>
  <si>
    <t>MZYSLHY140*140CM</t>
  </si>
  <si>
    <t>B01BHQWA0S</t>
  </si>
  <si>
    <t>MZYSLHY</t>
  </si>
  <si>
    <t>MZYSMMSX140*140CM</t>
  </si>
  <si>
    <t>B01BHQWRLU</t>
  </si>
  <si>
    <t>MZYSM</t>
  </si>
  <si>
    <t>MZYSMTYMT140*200cm</t>
  </si>
  <si>
    <t>B01EI7MNVY</t>
  </si>
  <si>
    <t>MZYSMTYMT140*220CM</t>
  </si>
  <si>
    <t>B01EI7MOTK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</si>
  <si>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</si>
  <si>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</si>
  <si>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</si>
  <si>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</si>
  <si>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</si>
  <si>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</si>
  <si>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</si>
  <si>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</si>
  <si>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</si>
  <si>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</si>
  <si>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</si>
  <si>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</si>
  <si>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</si>
  <si>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</si>
  <si>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</si>
  <si>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</si>
  <si>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</si>
  <si>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</si>
  <si>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</si>
  <si>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</si>
  <si>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</si>
  <si>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</si>
  <si>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</si>
  <si>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</si>
  <si>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</si>
  <si>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</si>
  <si>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</si>
  <si>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</si>
  <si>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</si>
  <si>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</si>
  <si>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</si>
  <si>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</si>
  <si>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</si>
  <si>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</si>
  <si>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</si>
  <si>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</si>
  <si>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</si>
  <si>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</si>
  <si>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</si>
  <si>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</si>
  <si>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</si>
  <si>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</si>
  <si>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</si>
  <si>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</si>
  <si>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</si>
  <si>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</si>
  <si>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</si>
  <si>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</si>
  <si>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</si>
  <si>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</si>
  <si>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</si>
  <si>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</si>
  <si>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</si>
  <si>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</si>
  <si>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</si>
  <si>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</si>
  <si>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</si>
  <si>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</si>
  <si>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</si>
  <si>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</si>
  <si>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</si>
  <si>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</si>
  <si>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</si>
  <si>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</si>
  <si>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</si>
  <si>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</si>
  <si>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</si>
  <si>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</si>
  <si>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</si>
  <si>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</si>
  <si>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</si>
  <si>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</si>
  <si>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</si>
  <si>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</si>
  <si>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</si>
  <si>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</si>
  <si>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</si>
  <si>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</si>
  <si>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</si>
  <si>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</si>
  <si>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</si>
  <si>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</si>
  <si>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</si>
  <si>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</si>
  <si>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</si>
  <si>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</si>
  <si>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</si>
  <si>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</si>
  <si>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</si>
  <si>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</si>
  <si>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</si>
  <si>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</si>
  <si>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</si>
  <si>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</si>
  <si>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</si>
  <si>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</si>
  <si>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</si>
  <si>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</si>
  <si>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</si>
  <si>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</si>
  <si>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</si>
  <si>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</si>
  <si>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NG002XCD100</t>
  </si>
  <si>
    <t>B01ARMCLEI</t>
  </si>
  <si>
    <t>NG002XCD</t>
  </si>
  <si>
    <t>P6XB6X-03Y0L</t>
  </si>
  <si>
    <t>B01CFH91NW</t>
  </si>
  <si>
    <t>P6XB6X</t>
  </si>
  <si>
    <t>PUJIANGBAIMAMRG-COFFEE</t>
  </si>
  <si>
    <t>B01N5K55XV</t>
  </si>
  <si>
    <t>PUJIANGBAIMAMRG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</si>
  <si>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</si>
  <si>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</si>
  <si>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</si>
  <si>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</si>
  <si>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</si>
  <si>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</si>
  <si>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</si>
  <si>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</si>
  <si>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</si>
  <si>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</si>
  <si>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</si>
  <si>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</si>
  <si>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</si>
  <si>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</si>
  <si>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</si>
  <si>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</si>
  <si>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</si>
  <si>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RSDXTXKXX20*11CM</t>
  </si>
  <si>
    <t>B077JPVTZ4</t>
  </si>
  <si>
    <t>RSDZSJH27*16CM</t>
  </si>
  <si>
    <t>B01M3R3CVA</t>
  </si>
  <si>
    <t>RSDZSJH</t>
  </si>
  <si>
    <t>SB-100-G0</t>
  </si>
  <si>
    <t>B07DVLM761</t>
  </si>
  <si>
    <t>SB-100</t>
  </si>
  <si>
    <t>SB-100-K0</t>
  </si>
  <si>
    <t>B07DVBN2KT</t>
  </si>
  <si>
    <t>SB-100-R0</t>
  </si>
  <si>
    <t>B07DVK4HKX</t>
  </si>
  <si>
    <t>SB-101-B0</t>
  </si>
  <si>
    <t>B07FJQJ4XP</t>
  </si>
  <si>
    <t>SB-101</t>
  </si>
  <si>
    <t>SG-050-K0</t>
  </si>
  <si>
    <t>B07F63TBYG</t>
  </si>
  <si>
    <t>SG-050</t>
  </si>
  <si>
    <t>SG-100-K0</t>
  </si>
  <si>
    <t>B07F634TZ1</t>
  </si>
  <si>
    <t>SG-100</t>
  </si>
  <si>
    <t>SGZ-LULHY-001</t>
  </si>
  <si>
    <t>B07DQNVQYY</t>
  </si>
  <si>
    <t>SGZ-LULHY</t>
  </si>
  <si>
    <t>SJJJZHUOBUKTWB0140x140cm</t>
  </si>
  <si>
    <t>B06Y5TB89Q</t>
  </si>
  <si>
    <t>SJJJZHUOBUKTWB0</t>
  </si>
  <si>
    <t>SJJJZHUOBUKTWB0140x160cm</t>
  </si>
  <si>
    <t>B06Y5D9CL1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</si>
  <si>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</si>
  <si>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</si>
  <si>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</si>
  <si>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</si>
  <si>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</si>
  <si>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</si>
  <si>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</si>
  <si>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</si>
  <si>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</si>
  <si>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</si>
  <si>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SLCYX-SSKB0147*147CM</t>
  </si>
  <si>
    <t>B06VZ3VQ26</t>
  </si>
  <si>
    <t>SND-IUYL00B-W0</t>
  </si>
  <si>
    <t>B07BGT6DJG</t>
  </si>
  <si>
    <t>SND-IUYL</t>
  </si>
  <si>
    <t>SND-IUYL111-BE</t>
  </si>
  <si>
    <t>B07BGWRB7M</t>
  </si>
  <si>
    <t>无销量广告费为0.08</t>
  </si>
  <si>
    <t>无销量广告费为0.09</t>
  </si>
  <si>
    <t>无销量广告费为0.39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</si>
  <si>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</si>
  <si>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</si>
  <si>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</si>
  <si>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</si>
  <si>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</si>
  <si>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</si>
  <si>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</si>
  <si>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</si>
  <si>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</si>
  <si>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</si>
  <si>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</si>
  <si>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</si>
  <si>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</si>
  <si>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</si>
  <si>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</si>
  <si>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</si>
  <si>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</si>
  <si>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</si>
  <si>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</si>
  <si>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</si>
  <si>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</si>
  <si>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</si>
  <si>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</si>
  <si>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SQ-XLEJ-496F</t>
  </si>
  <si>
    <t>B01NGTHW1H</t>
  </si>
  <si>
    <t>SQ-XLEJ-496</t>
  </si>
  <si>
    <t>SSJGREYJHSJH140*180CM</t>
  </si>
  <si>
    <t>B071GNPSGD</t>
  </si>
  <si>
    <t>SSJGREYJHSJH</t>
  </si>
  <si>
    <t>SSJGREYJHSJH140*200CM</t>
  </si>
  <si>
    <t>B071X6THLY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</si>
  <si>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</si>
  <si>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</si>
  <si>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</si>
  <si>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</si>
  <si>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</si>
  <si>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</si>
  <si>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</si>
  <si>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</si>
  <si>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</si>
  <si>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</si>
  <si>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</si>
  <si>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</si>
  <si>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</si>
  <si>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</si>
  <si>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</si>
  <si>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</si>
  <si>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</si>
  <si>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</si>
  <si>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</si>
  <si>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</si>
  <si>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</si>
  <si>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</si>
  <si>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SWEATPETJS28</t>
  </si>
  <si>
    <t>B077NBQKPK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</si>
  <si>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</si>
  <si>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</si>
  <si>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</si>
  <si>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</si>
  <si>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</si>
  <si>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</si>
  <si>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</si>
  <si>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</si>
  <si>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</si>
  <si>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</si>
  <si>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SWEATPETLAN20</t>
  </si>
  <si>
    <t>B077MXBX5H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</si>
  <si>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</si>
  <si>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</si>
  <si>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</si>
  <si>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</si>
  <si>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</si>
  <si>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</si>
  <si>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</si>
  <si>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</si>
  <si>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</si>
  <si>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</si>
  <si>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</si>
  <si>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</si>
  <si>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</si>
  <si>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</si>
  <si>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</si>
  <si>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</si>
  <si>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</si>
  <si>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</si>
  <si>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</si>
  <si>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</si>
  <si>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</si>
  <si>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</si>
  <si>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</si>
  <si>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</si>
  <si>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</si>
  <si>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</si>
  <si>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</si>
  <si>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</si>
  <si>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</si>
  <si>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SXHLYITAO1-LH-001WI40x60CM</t>
  </si>
  <si>
    <t>B077FLHKK7</t>
  </si>
  <si>
    <t>SXHLYITAO2-LH-001SKFS40x60CM</t>
  </si>
  <si>
    <t>B072HHBCK2</t>
  </si>
  <si>
    <t>SXHLYITAO3-LH-001QLS40x60CM</t>
  </si>
  <si>
    <t>B0722JM9C8</t>
  </si>
  <si>
    <t>无销量广告费为0.81</t>
  </si>
  <si>
    <t>无销量广告费为0.07</t>
  </si>
  <si>
    <t>SXHLYITAO4-LH-001DHS40x60CM</t>
  </si>
  <si>
    <t>B071NGGPFS</t>
  </si>
  <si>
    <t>无销量广告费为0.63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</si>
  <si>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</si>
  <si>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</si>
  <si>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</si>
  <si>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</si>
  <si>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</si>
  <si>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</si>
  <si>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无销量广告费为0.25</t>
  </si>
  <si>
    <t>SZ-IUYL002</t>
  </si>
  <si>
    <t>B079GQ8FRF</t>
  </si>
  <si>
    <t>TBYGREEN</t>
  </si>
  <si>
    <t>B075XFFYG6</t>
  </si>
  <si>
    <t>TBYPRBMRG</t>
  </si>
  <si>
    <t>TBYPJBLACK</t>
  </si>
  <si>
    <t>B075WTPCQ5</t>
  </si>
  <si>
    <t>TBYPJBOGO</t>
  </si>
  <si>
    <t>B075J7NJV2</t>
  </si>
  <si>
    <t>TBYPRBFOUR-M</t>
  </si>
  <si>
    <t>B01NBIQ076</t>
  </si>
  <si>
    <t>TBYPRBONE-M</t>
  </si>
  <si>
    <t>B01N0OX2DR</t>
  </si>
  <si>
    <t>TBYPRBTHREE-M</t>
  </si>
  <si>
    <t>B01NGTXV1B</t>
  </si>
  <si>
    <t>TBYPRBTWO-M</t>
  </si>
  <si>
    <t>B01MXWAV9T</t>
  </si>
  <si>
    <t>TBYSTARBLUE</t>
  </si>
  <si>
    <t>B075ZTGQCC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</si>
  <si>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</si>
  <si>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</si>
  <si>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</si>
  <si>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</si>
  <si>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</si>
  <si>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</si>
  <si>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</si>
  <si>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</si>
  <si>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TM-IULCY-300-AG</t>
  </si>
  <si>
    <t>B07FF5XBYR</t>
  </si>
  <si>
    <t>TM-IULCY-300</t>
  </si>
  <si>
    <t>无销量广告费为1.55</t>
  </si>
  <si>
    <t>TM-IULCY-300-LB</t>
  </si>
  <si>
    <t>B07FF3JGFS</t>
  </si>
  <si>
    <t>TM-IULCY-300-LG</t>
  </si>
  <si>
    <t>B07FDVY7MN</t>
  </si>
  <si>
    <t>无销量广告费为0.23</t>
  </si>
  <si>
    <t>TTDNKJ-01SLM</t>
  </si>
  <si>
    <t>B01CFH9OP2</t>
  </si>
  <si>
    <t>TTDNKJ</t>
  </si>
  <si>
    <t>TXYY-1B0JM</t>
  </si>
  <si>
    <t>B01B5TXQRI</t>
  </si>
  <si>
    <t>TXYY-1</t>
  </si>
  <si>
    <t>TXYY-1R0JM</t>
  </si>
  <si>
    <t>B01B5TXT48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</si>
  <si>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</si>
  <si>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</si>
  <si>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</si>
  <si>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</si>
  <si>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</si>
  <si>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</si>
  <si>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</si>
  <si>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</si>
  <si>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</si>
  <si>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TZ-IUYL240-DOT-M</t>
  </si>
  <si>
    <t>B07C8D3877</t>
  </si>
  <si>
    <t>TZ-IUYL240-DOT-S</t>
  </si>
  <si>
    <t>B07C86492B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</si>
  <si>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</si>
  <si>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</si>
  <si>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</si>
  <si>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</si>
  <si>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</si>
  <si>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</si>
  <si>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</si>
  <si>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</si>
  <si>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</si>
  <si>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</si>
  <si>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</si>
  <si>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</si>
  <si>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</si>
  <si>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</si>
  <si>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</si>
  <si>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</si>
  <si>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</si>
  <si>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</si>
  <si>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</si>
  <si>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</si>
  <si>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TZ-IUYL240-STRAWBERRY-M</t>
  </si>
  <si>
    <t>B07C848ML4</t>
  </si>
  <si>
    <t>TZ-IUYL240-STRAWBERRY-S</t>
  </si>
  <si>
    <t>B07C8B4SK9</t>
  </si>
  <si>
    <t>WB-002-B0</t>
  </si>
  <si>
    <t>B07DVLSHLK</t>
  </si>
  <si>
    <t>WB-002</t>
  </si>
  <si>
    <t>WB-002-E0</t>
  </si>
  <si>
    <t>B07DVHDT1N</t>
  </si>
  <si>
    <t>WB-002-G0</t>
  </si>
  <si>
    <t>B07DVGSHDP</t>
  </si>
  <si>
    <t>WB-002-R0</t>
  </si>
  <si>
    <t>B07DVK765T</t>
  </si>
  <si>
    <t>WB-LUHM002-B0</t>
  </si>
  <si>
    <t>WB-LUHM002</t>
  </si>
  <si>
    <t>WB-LUHM002-E0</t>
  </si>
  <si>
    <t>WB-LUHM002-G0</t>
  </si>
  <si>
    <t>WB-LUHM002-R0</t>
  </si>
  <si>
    <t>WEMIUCLANS</t>
  </si>
  <si>
    <t>B075QSBWPM</t>
  </si>
  <si>
    <t>WEMIUCLAN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</si>
  <si>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</si>
  <si>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</si>
  <si>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</si>
  <si>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</si>
  <si>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</si>
  <si>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</si>
  <si>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</si>
  <si>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</si>
  <si>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</si>
  <si>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</si>
  <si>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</si>
  <si>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</si>
  <si>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</si>
  <si>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</si>
  <si>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</si>
  <si>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</si>
  <si>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</si>
  <si>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</si>
  <si>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</si>
  <si>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</si>
  <si>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</si>
  <si>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</si>
  <si>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</si>
  <si>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</si>
  <si>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</si>
  <si>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</si>
  <si>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</si>
  <si>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</si>
  <si>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</si>
  <si>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</si>
  <si>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</si>
  <si>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</si>
  <si>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</si>
  <si>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</si>
  <si>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</si>
  <si>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</si>
  <si>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</si>
  <si>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</si>
  <si>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</si>
  <si>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</si>
  <si>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</si>
  <si>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</si>
  <si>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</si>
  <si>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</si>
  <si>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</si>
  <si>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</si>
  <si>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</si>
  <si>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</si>
  <si>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</si>
  <si>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</si>
  <si>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</si>
  <si>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</si>
  <si>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</si>
  <si>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</si>
  <si>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</si>
  <si>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</si>
  <si>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</si>
  <si>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</si>
  <si>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</si>
  <si>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</si>
  <si>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</si>
  <si>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</si>
  <si>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</si>
  <si>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</si>
  <si>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</si>
  <si>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</si>
  <si>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</si>
  <si>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</si>
  <si>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</si>
  <si>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</si>
  <si>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</si>
  <si>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</si>
  <si>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</si>
  <si>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</si>
  <si>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</si>
  <si>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</si>
  <si>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</si>
  <si>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</si>
  <si>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</si>
  <si>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</si>
  <si>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</si>
  <si>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</si>
  <si>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</si>
  <si>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</si>
  <si>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</si>
  <si>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</si>
  <si>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</si>
  <si>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</si>
  <si>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</si>
  <si>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</si>
  <si>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</si>
  <si>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</si>
  <si>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</si>
  <si>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</si>
  <si>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</si>
  <si>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</si>
  <si>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</si>
  <si>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</si>
  <si>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</si>
  <si>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</si>
  <si>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</si>
  <si>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</si>
  <si>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</si>
  <si>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</si>
  <si>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</si>
  <si>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</si>
  <si>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</si>
  <si>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</si>
  <si>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</si>
  <si>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</si>
  <si>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</si>
  <si>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</si>
  <si>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XTTXW02XL</t>
  </si>
  <si>
    <t>B01NBHYGSI</t>
  </si>
  <si>
    <t>XTTXW0</t>
  </si>
  <si>
    <t>XTTXW0M</t>
  </si>
  <si>
    <t>B01MXVJSWY</t>
  </si>
  <si>
    <t>XTTXW0XL</t>
  </si>
  <si>
    <t>B01MTXZBEM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</si>
  <si>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</si>
  <si>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</si>
  <si>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</si>
  <si>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</si>
  <si>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</si>
  <si>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</si>
  <si>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</si>
  <si>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</si>
  <si>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</si>
  <si>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</si>
  <si>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</si>
  <si>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</si>
  <si>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</si>
  <si>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</si>
  <si>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</si>
  <si>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</si>
  <si>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</si>
  <si>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</si>
  <si>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</si>
  <si>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</si>
  <si>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</si>
  <si>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</si>
  <si>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</si>
  <si>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</si>
  <si>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</si>
  <si>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</si>
  <si>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</si>
  <si>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</si>
  <si>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</si>
  <si>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</si>
  <si>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</si>
  <si>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</si>
  <si>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YDYPFS-M-2</t>
  </si>
  <si>
    <t>B07F9P1V67</t>
  </si>
  <si>
    <t>YDYPFS-S</t>
  </si>
  <si>
    <t>B074KDD9P4</t>
  </si>
  <si>
    <t>无销量广告费为6.94</t>
  </si>
  <si>
    <t>YDYPFS-XL</t>
  </si>
  <si>
    <t>B074K8RKK4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</si>
  <si>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</si>
  <si>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</si>
  <si>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</si>
  <si>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</si>
  <si>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</si>
  <si>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</si>
  <si>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</si>
  <si>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</si>
  <si>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</si>
  <si>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</si>
  <si>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</si>
  <si>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</si>
  <si>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</si>
  <si>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</si>
  <si>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</si>
  <si>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</si>
  <si>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</si>
  <si>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</si>
  <si>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</si>
  <si>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无销量广告费为0.57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</si>
  <si>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</si>
  <si>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</si>
  <si>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</si>
  <si>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</si>
  <si>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</si>
  <si>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</si>
  <si>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</si>
  <si>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</si>
  <si>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</si>
  <si>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</si>
  <si>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</si>
  <si>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</si>
  <si>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</si>
  <si>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</si>
  <si>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</si>
  <si>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</si>
  <si>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</si>
  <si>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</si>
  <si>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</si>
  <si>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</si>
  <si>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</si>
  <si>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</si>
  <si>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</si>
  <si>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</si>
  <si>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</si>
  <si>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</si>
  <si>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</si>
  <si>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</si>
  <si>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</si>
  <si>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</si>
  <si>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</si>
  <si>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</si>
  <si>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</si>
  <si>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</si>
  <si>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</si>
  <si>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</si>
  <si>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</si>
  <si>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</si>
  <si>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</si>
  <si>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</si>
  <si>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</si>
  <si>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</si>
  <si>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</si>
  <si>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</si>
  <si>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</si>
  <si>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</si>
  <si>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</si>
  <si>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</si>
  <si>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YI-IUYLTBY-N5</t>
  </si>
  <si>
    <t>B079JBWM3Q</t>
  </si>
  <si>
    <t>YIDIFSQZQ140*140CM</t>
  </si>
  <si>
    <t>B06VYHBK4S</t>
  </si>
  <si>
    <t>YIDIFSQZQ</t>
  </si>
  <si>
    <t>YIDIFSQZQ140*180CM</t>
  </si>
  <si>
    <t>B06X41YFF5</t>
  </si>
  <si>
    <t>YIDIFSQZQ140*250CM</t>
  </si>
  <si>
    <t>B06X97GD51</t>
  </si>
  <si>
    <t>YIDIFSQZQ90*90CM</t>
  </si>
  <si>
    <t>B06WVHVCTM</t>
  </si>
  <si>
    <t>YMQYCSCMR0140*160CM</t>
  </si>
  <si>
    <t>B01C8QGY0I</t>
  </si>
  <si>
    <t>YMQYCSCMRO</t>
  </si>
  <si>
    <t>YMQYCSCMR0140*220CM</t>
  </si>
  <si>
    <t>B01C8QH2A4</t>
  </si>
  <si>
    <t>YMQYGZZBGZ140*180CM</t>
  </si>
  <si>
    <t>B01C8QI1HC</t>
  </si>
  <si>
    <t>YMQYGZZBGZ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</si>
  <si>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</si>
  <si>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</si>
  <si>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</si>
  <si>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</si>
  <si>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</si>
  <si>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</si>
  <si>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</si>
  <si>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</si>
  <si>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</si>
  <si>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</si>
  <si>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</si>
  <si>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无销量广告费为0.24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</si>
  <si>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</si>
  <si>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</si>
  <si>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</si>
  <si>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</si>
  <si>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</si>
  <si>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</si>
  <si>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</si>
  <si>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</si>
  <si>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</si>
  <si>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</si>
  <si>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</si>
  <si>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</si>
  <si>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</si>
  <si>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</si>
  <si>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</si>
  <si>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</si>
  <si>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</si>
  <si>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无销量广告费为0.96</t>
  </si>
  <si>
    <t>无销量广告费为0.02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</si>
  <si>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</si>
  <si>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</si>
  <si>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</si>
  <si>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</si>
  <si>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</si>
  <si>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</si>
  <si>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</si>
  <si>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</si>
  <si>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</si>
  <si>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</si>
  <si>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</si>
  <si>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</si>
  <si>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</si>
  <si>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</si>
  <si>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</si>
  <si>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</si>
  <si>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</si>
  <si>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</si>
  <si>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</si>
  <si>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</si>
  <si>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</si>
  <si>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</si>
  <si>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</si>
  <si>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</si>
  <si>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</si>
  <si>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</si>
  <si>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</si>
  <si>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</si>
  <si>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</si>
  <si>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</si>
  <si>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</si>
  <si>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</si>
  <si>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</si>
  <si>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</si>
  <si>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</si>
  <si>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</si>
  <si>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</si>
  <si>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</si>
  <si>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</si>
  <si>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</si>
  <si>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</si>
  <si>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</si>
  <si>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</si>
  <si>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</si>
  <si>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</si>
  <si>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</si>
  <si>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</si>
  <si>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</si>
  <si>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</si>
  <si>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</si>
  <si>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</si>
  <si>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</si>
  <si>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</si>
  <si>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</si>
  <si>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</si>
  <si>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</si>
  <si>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</si>
  <si>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</si>
  <si>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</si>
  <si>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</si>
  <si>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</si>
  <si>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</si>
  <si>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</si>
  <si>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</si>
  <si>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</si>
  <si>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YMQYQXDHKF140*140CM</t>
  </si>
  <si>
    <t>B01C8QJQGM</t>
  </si>
  <si>
    <t>YMQYQXDHKF140*160CM</t>
  </si>
  <si>
    <t>B01C8QJRM0</t>
  </si>
  <si>
    <t>YMQYQXDHKF140*180CM</t>
  </si>
  <si>
    <t>B01C8QJSTM</t>
  </si>
  <si>
    <t>YMQYQXDHKF140*200CM</t>
  </si>
  <si>
    <t>B01C8QJU2C</t>
  </si>
  <si>
    <t>YMQYQXDHKF140*220CM</t>
  </si>
  <si>
    <t>B01C8QJV4Y</t>
  </si>
  <si>
    <t>YMQYQXDHKF140*250CM</t>
  </si>
  <si>
    <t>B01C8QJWB6</t>
  </si>
  <si>
    <t>YMQYQXDHKF60*60CM</t>
  </si>
  <si>
    <t>B072XFQHM5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</si>
  <si>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</si>
  <si>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</si>
  <si>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</si>
  <si>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</si>
  <si>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</si>
  <si>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</si>
  <si>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</si>
  <si>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</si>
  <si>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</si>
  <si>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</si>
  <si>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</si>
  <si>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</si>
  <si>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</si>
  <si>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</si>
  <si>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</si>
  <si>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</si>
  <si>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</si>
  <si>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</si>
  <si>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</si>
  <si>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</si>
  <si>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</si>
  <si>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</si>
  <si>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</si>
  <si>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</si>
  <si>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</si>
  <si>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</si>
  <si>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</si>
  <si>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</si>
  <si>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无销量广告费为2.19</t>
  </si>
  <si>
    <t>YMQYQXDHW0140*200CM</t>
  </si>
  <si>
    <t>B01C8QJ89C</t>
  </si>
  <si>
    <t>YMQYQXDHW0140*220CM</t>
  </si>
  <si>
    <t>B01C8QJ9AU</t>
  </si>
  <si>
    <t>YMQYQXDHW0140*250CM</t>
  </si>
  <si>
    <t>B01C8QJADG</t>
  </si>
  <si>
    <t>无销量广告费为0.19</t>
  </si>
  <si>
    <t>YMQYQXDHW060*60CM</t>
  </si>
  <si>
    <t>B072XFTL1N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</si>
  <si>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</si>
  <si>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</si>
  <si>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</si>
  <si>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</si>
  <si>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</si>
  <si>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</si>
  <si>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</si>
  <si>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</si>
  <si>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</si>
  <si>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</si>
  <si>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</si>
  <si>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</si>
  <si>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</si>
  <si>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</si>
  <si>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</si>
  <si>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</si>
  <si>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</si>
  <si>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</si>
  <si>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</si>
  <si>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</si>
  <si>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</si>
  <si>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</si>
  <si>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</si>
  <si>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</si>
  <si>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</si>
  <si>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</si>
  <si>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</si>
  <si>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</si>
  <si>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</si>
  <si>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</si>
  <si>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</si>
  <si>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</si>
  <si>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</si>
  <si>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</si>
  <si>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</si>
  <si>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</si>
  <si>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</si>
  <si>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</si>
  <si>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</si>
  <si>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</si>
  <si>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</si>
  <si>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</si>
  <si>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</si>
  <si>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</si>
  <si>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</si>
  <si>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</si>
  <si>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</si>
  <si>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</si>
  <si>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</si>
  <si>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</si>
  <si>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</si>
  <si>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</si>
  <si>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</si>
  <si>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</si>
  <si>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</si>
  <si>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</si>
  <si>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</si>
  <si>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</si>
  <si>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</si>
  <si>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</si>
  <si>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</si>
  <si>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</si>
  <si>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</si>
  <si>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</si>
  <si>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</si>
  <si>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</si>
  <si>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</si>
  <si>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</si>
  <si>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</si>
  <si>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</si>
  <si>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</si>
  <si>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</si>
  <si>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</si>
  <si>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</si>
  <si>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</si>
  <si>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</si>
  <si>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</si>
  <si>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</si>
  <si>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</si>
  <si>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</si>
  <si>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</si>
  <si>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</si>
  <si>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</si>
  <si>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</si>
  <si>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</si>
  <si>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</si>
  <si>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无销量广告费为3.86</t>
  </si>
  <si>
    <t>无销量广告费为1.42</t>
  </si>
  <si>
    <t>YMQYZBJTE059*59CM</t>
  </si>
  <si>
    <t>B072JTCMFR</t>
  </si>
  <si>
    <t>YMQYZBJTE090*90CM</t>
  </si>
  <si>
    <t>B01JIXIFK6</t>
  </si>
  <si>
    <t>YMQYZBTZGY0140*140CM</t>
  </si>
  <si>
    <t>B01JINXDU8</t>
  </si>
  <si>
    <t>YMQYZBTZG</t>
  </si>
  <si>
    <t>YMQYZBTZGY0140*250CM</t>
  </si>
  <si>
    <t>B01JIQOKMA</t>
  </si>
  <si>
    <t>YMQYZBTZGY090*90CM</t>
  </si>
  <si>
    <t>B01JINXHPO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</si>
  <si>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</si>
  <si>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</si>
  <si>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</si>
  <si>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</si>
  <si>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</si>
  <si>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</si>
  <si>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</si>
  <si>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</si>
  <si>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</si>
  <si>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YX-IUCY-102-AE-2XL</t>
  </si>
  <si>
    <t>B07D5F9HD8</t>
  </si>
  <si>
    <t>YX-IUCY</t>
  </si>
  <si>
    <t>YX-IUCY-102-AE-L</t>
  </si>
  <si>
    <t>B07D5DJHML</t>
  </si>
  <si>
    <t>YX-IUCY-102-AE-XL</t>
  </si>
  <si>
    <t>B07D5F6W27</t>
  </si>
  <si>
    <t>YX-IUCY-102-KO-L</t>
  </si>
  <si>
    <t>B07D5DMFBN</t>
  </si>
  <si>
    <t>YX-IUCY-102-KO-X-2XL</t>
  </si>
  <si>
    <t>B07D5FL1S4</t>
  </si>
  <si>
    <t>YX-IUCY-102-KO-XL</t>
  </si>
  <si>
    <t>B07D5D8S5P</t>
  </si>
  <si>
    <t>YX-IUCY-102-WO-2XL</t>
  </si>
  <si>
    <t>B07D5F38TJ</t>
  </si>
  <si>
    <t>YX-IUCY-102-WO-L</t>
  </si>
  <si>
    <t>B07D5DQHJ9</t>
  </si>
  <si>
    <t>YX-IUCY-102-WO-XL</t>
  </si>
  <si>
    <t>B07D5F4MY8</t>
  </si>
  <si>
    <t>YX-IUCY-518-BO-2XL</t>
  </si>
  <si>
    <t>B07D74JFT2</t>
  </si>
  <si>
    <t>YX-IUCY-518-BO-L</t>
  </si>
  <si>
    <t>B07D74SLC5</t>
  </si>
  <si>
    <t>YX-IUCY-518-BO-XL</t>
  </si>
  <si>
    <t>B07D74TWXY</t>
  </si>
  <si>
    <t>无销量广告费为0.36</t>
  </si>
  <si>
    <t>YX-IUCY-518-N5-2XL</t>
  </si>
  <si>
    <t>B07D7445L3</t>
  </si>
  <si>
    <t>YX-IUCY-518-N5-L</t>
  </si>
  <si>
    <t>B07D741QQ7</t>
  </si>
  <si>
    <t>YX-IUCY-518-N5-XL</t>
  </si>
  <si>
    <t>B07D74DCPD</t>
  </si>
  <si>
    <t>YX-IUCY-518-WO-2XL</t>
  </si>
  <si>
    <t>B07D74DSFC</t>
  </si>
  <si>
    <t>YX-IUCY-518-WO-L</t>
  </si>
  <si>
    <t>B07D74JGP3</t>
  </si>
  <si>
    <t>无销量广告费为0.15</t>
  </si>
  <si>
    <t>YX-IUCY-518-WO-XL</t>
  </si>
  <si>
    <t>B07D74FY1M</t>
  </si>
  <si>
    <t>YX-IUCY-819-N5-2XL</t>
  </si>
  <si>
    <t>B07D75GJW1</t>
  </si>
  <si>
    <t>YX-IUCY-819-N5-L</t>
  </si>
  <si>
    <t>B07D75HFLV</t>
  </si>
  <si>
    <t>无销量广告费为0.18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</si>
  <si>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</si>
  <si>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</si>
  <si>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</si>
  <si>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</si>
  <si>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</si>
  <si>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</si>
  <si>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</si>
  <si>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</si>
  <si>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YY-IC100-BEDGR</t>
  </si>
  <si>
    <t>B07DV5JV44</t>
  </si>
  <si>
    <t>YY-IC100</t>
  </si>
  <si>
    <t>YY-IC100-BEGO</t>
  </si>
  <si>
    <t>B07DV3LV6M</t>
  </si>
  <si>
    <t>YY-IC100-BEKO</t>
  </si>
  <si>
    <t>B07DV9BMHF</t>
  </si>
  <si>
    <t>YY-IC100-BELGR</t>
  </si>
  <si>
    <t>B07DV73JMF</t>
  </si>
  <si>
    <t>YY-IC100-BER2</t>
  </si>
  <si>
    <t>B07DTZB3NP</t>
  </si>
  <si>
    <t>YY-IC100-BEZL</t>
  </si>
  <si>
    <t>B07DV1KGJ4</t>
  </si>
  <si>
    <t>YY-IC150-B7</t>
  </si>
  <si>
    <t>B07DVBR4HX</t>
  </si>
  <si>
    <t>YY-IC150</t>
  </si>
  <si>
    <t>YY-IC150-KO</t>
  </si>
  <si>
    <t>B07DVGRHZ6</t>
  </si>
  <si>
    <t>YY-IC150-P1</t>
  </si>
  <si>
    <t>B07DVBDXSH</t>
  </si>
  <si>
    <t>YY-ICK29-BEYO</t>
  </si>
  <si>
    <t>YY-ICK29</t>
  </si>
  <si>
    <t>YY-ICK29-BO-FLOWER</t>
  </si>
  <si>
    <t>YY-ICK29-BO-MOUNTAIN</t>
  </si>
  <si>
    <t>YY-ICK29-BO-POINT</t>
  </si>
  <si>
    <t>YY-ICK29-BO-STAR</t>
  </si>
  <si>
    <t>YY-ICK29-FBB7</t>
  </si>
  <si>
    <t>YY-ICK29-GO</t>
  </si>
  <si>
    <t>YY-ICK29-KO</t>
  </si>
  <si>
    <t>YY-ICK29-N5</t>
  </si>
  <si>
    <t>YY-ICK29-R2-POINT</t>
  </si>
  <si>
    <t>YY-ICK29-RO-STAR</t>
  </si>
  <si>
    <t>YY-ICK29-WO</t>
  </si>
  <si>
    <t>YY-ICK29-YO-CLOUD</t>
  </si>
  <si>
    <t>YY-ICK29-YO-POINT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</si>
  <si>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</si>
  <si>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</si>
  <si>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</si>
  <si>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</si>
  <si>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</si>
  <si>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</si>
  <si>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</si>
  <si>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</si>
  <si>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</si>
  <si>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</si>
  <si>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</si>
  <si>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</si>
  <si>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</si>
  <si>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</si>
  <si>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</si>
  <si>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</si>
  <si>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</si>
  <si>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</si>
  <si>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YY-IULCY-HZYD200-LGSTAR-L</t>
  </si>
  <si>
    <t>B07DVF2N43</t>
  </si>
  <si>
    <t>YY-IULCY-HZYD200</t>
  </si>
  <si>
    <t>YY-IULCY-HZYD200-LGSTAR-M</t>
  </si>
  <si>
    <t>B07FGD8C6J</t>
  </si>
  <si>
    <t>无销量广告费为1.2</t>
  </si>
  <si>
    <t>无销量广告费为1.14</t>
  </si>
  <si>
    <t>YY-IULCY-HZYD200-LGSTAR-XL</t>
  </si>
  <si>
    <t>B07DVKMPNT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</si>
  <si>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</si>
  <si>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</si>
  <si>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</si>
  <si>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</si>
  <si>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</si>
  <si>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</si>
  <si>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</si>
  <si>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</si>
  <si>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</si>
  <si>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</si>
  <si>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</si>
  <si>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</si>
  <si>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</si>
  <si>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</si>
  <si>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</si>
  <si>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</si>
  <si>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</si>
  <si>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</si>
  <si>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</si>
  <si>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</si>
  <si>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</si>
  <si>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</si>
  <si>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YY-IULCY-KS370-RD-L</t>
  </si>
  <si>
    <t>B07CYNGKTC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</si>
  <si>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</si>
  <si>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</si>
  <si>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</si>
  <si>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</si>
  <si>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</si>
  <si>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</si>
  <si>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</si>
  <si>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</si>
  <si>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</si>
  <si>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</si>
  <si>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</si>
  <si>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</si>
  <si>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</si>
  <si>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</si>
  <si>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</si>
  <si>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</si>
  <si>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</si>
  <si>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</si>
  <si>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</si>
  <si>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</si>
  <si>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</si>
  <si>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</si>
  <si>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</si>
  <si>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</si>
  <si>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</si>
  <si>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</si>
  <si>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</si>
  <si>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</si>
  <si>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</si>
  <si>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</si>
  <si>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</si>
  <si>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</si>
  <si>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</si>
  <si>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</si>
  <si>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</si>
  <si>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</si>
  <si>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</si>
  <si>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</si>
  <si>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</si>
  <si>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</si>
  <si>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无销量广告费为1.39</t>
  </si>
  <si>
    <t>无销量广告费为1.36</t>
  </si>
  <si>
    <t>YY-IULCY-KS372-GN-L</t>
  </si>
  <si>
    <t>B07CYZ1TYG</t>
  </si>
  <si>
    <t>无销量广告费为0.17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</si>
  <si>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</si>
  <si>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</si>
  <si>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</si>
  <si>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</si>
  <si>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</si>
  <si>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</si>
  <si>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</si>
  <si>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</si>
  <si>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</si>
  <si>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</si>
  <si>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YY-IULCY-KS372-PP-L</t>
  </si>
  <si>
    <t>B07CYTYVLF</t>
  </si>
  <si>
    <t>YY-IULCY-KS372-PP-M</t>
  </si>
  <si>
    <t>B07CYQPSKD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</si>
  <si>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</si>
  <si>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</si>
  <si>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</si>
  <si>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</si>
  <si>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</si>
  <si>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</si>
  <si>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</si>
  <si>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</si>
  <si>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</si>
  <si>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</si>
  <si>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</si>
  <si>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</si>
  <si>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YY-IULCY-KS372-YL-XL</t>
  </si>
  <si>
    <t>B07CYSSGYK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</si>
  <si>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</si>
  <si>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</si>
  <si>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</si>
  <si>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</si>
  <si>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</si>
  <si>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</si>
  <si>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</si>
  <si>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</si>
  <si>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</si>
  <si>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YY-IULCY-KS377-HEAD-L</t>
  </si>
  <si>
    <t>B07CYXD7TM</t>
  </si>
  <si>
    <t>YY-IULCY-KS377-HEAD-M</t>
  </si>
  <si>
    <t>B07CYVFKH9</t>
  </si>
  <si>
    <t>无销量广告费为89.62</t>
  </si>
  <si>
    <t>无销量广告费为97.95</t>
  </si>
  <si>
    <t>YY-IULCY-KS377-PLANT-L</t>
  </si>
  <si>
    <t>B07CYP8DFK</t>
  </si>
  <si>
    <t>无销量广告费为0.52</t>
  </si>
  <si>
    <t>YY-IULCY-KS377-PLANT-M</t>
  </si>
  <si>
    <t>B07CYTRZVB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</si>
  <si>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</si>
  <si>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</si>
  <si>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</si>
  <si>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</si>
  <si>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</si>
  <si>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</si>
  <si>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</si>
  <si>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</si>
  <si>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</si>
  <si>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</si>
  <si>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</si>
  <si>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YY-IULCY-XZM100-BKNWT</t>
  </si>
  <si>
    <t>YY-IULCY-XZM100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</si>
  <si>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</si>
  <si>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</si>
  <si>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</si>
  <si>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</si>
  <si>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</si>
  <si>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</si>
  <si>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</t>
  </si>
  <si>
    <t>YY-IULCY-XZM150-LB</t>
  </si>
  <si>
    <t>YY-IULCY-XZM150-PK</t>
  </si>
  <si>
    <t>YY-IULCY-XZM200-BK</t>
  </si>
  <si>
    <t>B07G3S2G2D</t>
  </si>
  <si>
    <t>YY-IULCY-XZM200</t>
  </si>
  <si>
    <t>YY-IULCY-XZM200-BL</t>
  </si>
  <si>
    <t>B07G3QLD7R</t>
  </si>
  <si>
    <t>YY-IULCY-XZM200-GN</t>
  </si>
  <si>
    <t>B07G3SRXP2</t>
  </si>
  <si>
    <t>YY-IULCY-XZM200-KK</t>
  </si>
  <si>
    <t>B07G3XSNGG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</si>
  <si>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</si>
  <si>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</si>
  <si>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</si>
  <si>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</si>
  <si>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</si>
  <si>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</si>
  <si>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</si>
  <si>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</si>
  <si>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</si>
  <si>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</si>
  <si>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</si>
  <si>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YY-IULUY-KS374-YL-XL</t>
  </si>
  <si>
    <t>B07CYMV2ZC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</si>
  <si>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</si>
  <si>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</si>
  <si>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</si>
  <si>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</si>
  <si>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</si>
  <si>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</si>
  <si>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</si>
  <si>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</si>
  <si>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</si>
  <si>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</si>
  <si>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</si>
  <si>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YY2009L</t>
  </si>
  <si>
    <t>B01LWIYRZH</t>
  </si>
  <si>
    <t>YY2009</t>
  </si>
  <si>
    <t>YY2009XL</t>
  </si>
  <si>
    <t>B01M1DYNP7</t>
  </si>
  <si>
    <t>YY2126B0</t>
  </si>
  <si>
    <t>B01AXMPF04</t>
  </si>
  <si>
    <t>YY2126</t>
  </si>
  <si>
    <t>YY2126R0</t>
  </si>
  <si>
    <t>B01AXMPDME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</si>
  <si>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</si>
  <si>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</si>
  <si>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</si>
  <si>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</si>
  <si>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</si>
  <si>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</si>
  <si>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</si>
  <si>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</si>
  <si>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</si>
  <si>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</si>
  <si>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</si>
  <si>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</si>
  <si>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</si>
  <si>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</si>
  <si>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</si>
  <si>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</si>
  <si>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</si>
  <si>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</si>
  <si>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无销量广告费为1.07</t>
  </si>
  <si>
    <t>无销量广告费为0.72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</si>
  <si>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</si>
  <si>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</si>
  <si>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</si>
  <si>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</si>
  <si>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</si>
  <si>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</si>
  <si>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</si>
  <si>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</si>
  <si>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</si>
  <si>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</si>
  <si>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无销量广告费为1.5</t>
  </si>
  <si>
    <t>YY5100XB0L</t>
  </si>
  <si>
    <t>B01AXMO99M</t>
  </si>
  <si>
    <t>无销量广告费为12.72</t>
  </si>
  <si>
    <t>YY5100XB0XXL</t>
  </si>
  <si>
    <t>B01AXMOBU4</t>
  </si>
  <si>
    <t>YY5100XGZG0</t>
  </si>
  <si>
    <t>B06XYCCH1V</t>
  </si>
  <si>
    <t>YY5100XR5L</t>
  </si>
  <si>
    <t>B01AXMQDYG</t>
  </si>
  <si>
    <t>YY5100XR5M</t>
  </si>
  <si>
    <t>B01AXMQCGA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</si>
  <si>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</si>
  <si>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</si>
  <si>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</si>
  <si>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</si>
  <si>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</si>
  <si>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</si>
  <si>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</si>
  <si>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</si>
  <si>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无销量广告费为0.26</t>
  </si>
  <si>
    <t>无销量广告费为1.04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</si>
  <si>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</si>
  <si>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</si>
  <si>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</si>
  <si>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</si>
  <si>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</si>
  <si>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</si>
  <si>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</si>
  <si>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</si>
  <si>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</si>
  <si>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</si>
  <si>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</si>
  <si>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</si>
  <si>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</si>
  <si>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</si>
  <si>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</si>
  <si>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</si>
  <si>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</si>
  <si>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</si>
  <si>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</si>
  <si>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</si>
  <si>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</si>
  <si>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</si>
  <si>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</si>
  <si>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</si>
  <si>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</si>
  <si>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</si>
  <si>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</si>
  <si>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</si>
  <si>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</si>
  <si>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</si>
  <si>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</si>
  <si>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无销量广告费为1.77</t>
  </si>
  <si>
    <t>ZAKKA0634B060*20.5CM</t>
  </si>
  <si>
    <t>B01H1X98G0</t>
  </si>
  <si>
    <t>ZAKKA0634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</si>
  <si>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</si>
  <si>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</si>
  <si>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</si>
  <si>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</si>
  <si>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</si>
  <si>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</si>
  <si>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</si>
  <si>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</si>
  <si>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</si>
  <si>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ZB-IULCY-YMQY100-CF100*140</t>
  </si>
  <si>
    <t>B07F71JBF4</t>
  </si>
  <si>
    <t>ZB-IULCY</t>
  </si>
  <si>
    <t>ZB-IULCY-YMQY100-CF140*140</t>
  </si>
  <si>
    <t>B07F71J9RX</t>
  </si>
  <si>
    <t>ZB-IULCY-YMQY100-CF140*180</t>
  </si>
  <si>
    <t>B07F6Y2H7G</t>
  </si>
  <si>
    <t>无销量广告费为2.63</t>
  </si>
  <si>
    <t>无销量广告费为1.41</t>
  </si>
  <si>
    <t>ZB-IULCY-YMQY100-GR100*140</t>
  </si>
  <si>
    <t>B07F7G63C5</t>
  </si>
  <si>
    <t>ZB-IULCY-YMQY100-GR140*140</t>
  </si>
  <si>
    <t>B07F71KQX8</t>
  </si>
  <si>
    <t>无销量广告费为46.59</t>
  </si>
  <si>
    <t>无销量广告费为13.69</t>
  </si>
  <si>
    <t>无销量广告费为4.8</t>
  </si>
  <si>
    <t>ZB-IULCY-YMQY100-GR140*180</t>
  </si>
  <si>
    <t>B07F72G9Q1</t>
  </si>
  <si>
    <t>ZBCSXMXM140*200</t>
  </si>
  <si>
    <t>B01EG11EN0</t>
  </si>
  <si>
    <t>ZBCSXMXM</t>
  </si>
  <si>
    <t>ZC2138MRG-ZHONGS</t>
  </si>
  <si>
    <t>B01N1TCE79</t>
  </si>
  <si>
    <t>ZXXABO-M</t>
  </si>
  <si>
    <t>ZCGTZ-IUCY001-AE</t>
  </si>
  <si>
    <t>B07DFFK33K</t>
  </si>
  <si>
    <t>ZCGTZ-IUCY001</t>
  </si>
  <si>
    <t>ZDD-07-MC-28</t>
  </si>
  <si>
    <t>ZDD-07</t>
  </si>
  <si>
    <t>ZDD-08-BO-28</t>
  </si>
  <si>
    <t>ZDD-08</t>
  </si>
  <si>
    <t>ZDD-08-GR-28</t>
  </si>
  <si>
    <t>ZDD-08-PO-28</t>
  </si>
  <si>
    <t>ZDD-08-RO-28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</si>
  <si>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</si>
  <si>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</si>
  <si>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</si>
  <si>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</si>
  <si>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</si>
  <si>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</si>
  <si>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</si>
  <si>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ZHUAPPPBO-XL</t>
  </si>
  <si>
    <t>B077Z2SC65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</si>
  <si>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</si>
  <si>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</si>
  <si>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</si>
  <si>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</si>
  <si>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</si>
  <si>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</si>
  <si>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</si>
  <si>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</si>
  <si>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</si>
  <si>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</si>
  <si>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</si>
  <si>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</si>
  <si>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</si>
  <si>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无销量广告费为28.74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</si>
  <si>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</si>
  <si>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</si>
  <si>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</si>
  <si>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</si>
  <si>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</si>
  <si>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</si>
  <si>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</si>
  <si>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</si>
  <si>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</si>
  <si>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</si>
  <si>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</si>
  <si>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</si>
  <si>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</si>
  <si>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</si>
  <si>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</si>
  <si>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</si>
  <si>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</si>
  <si>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</si>
  <si>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</si>
  <si>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</si>
  <si>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</si>
  <si>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</si>
  <si>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</si>
  <si>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</si>
  <si>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</si>
  <si>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</si>
  <si>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</si>
  <si>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</si>
  <si>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</si>
  <si>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</si>
  <si>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</si>
  <si>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</si>
  <si>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</si>
  <si>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</si>
  <si>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</si>
  <si>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</si>
  <si>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</si>
  <si>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无销量广告费为0.11</t>
  </si>
  <si>
    <t>无销量广告费为1.89</t>
  </si>
  <si>
    <t>无销量广告费为0.32</t>
  </si>
  <si>
    <t>ZXXBHO-S</t>
  </si>
  <si>
    <t>B074W6RWL6</t>
  </si>
  <si>
    <t>ZXXBHO-XL</t>
  </si>
  <si>
    <t>B074W5TPJ2</t>
  </si>
  <si>
    <t>无销量广告费为1.17</t>
  </si>
  <si>
    <t>ZXXBLV-L</t>
  </si>
  <si>
    <t>B074W2S5BX</t>
  </si>
  <si>
    <t>ZXXBLV-M</t>
  </si>
  <si>
    <t>B074W1JXQW</t>
  </si>
  <si>
    <t>ZXXBLV-S</t>
  </si>
  <si>
    <t>B074W79F2H</t>
  </si>
  <si>
    <t>无销量广告费为0.14</t>
  </si>
  <si>
    <t>无销量广告费为2.59</t>
  </si>
  <si>
    <t>无销量广告费为0.69</t>
  </si>
  <si>
    <t>ZXXBLV-XL</t>
  </si>
  <si>
    <t>B074W3PDMT</t>
  </si>
  <si>
    <t>ZXXCBO-S</t>
  </si>
  <si>
    <t>B074W49DXQ</t>
  </si>
  <si>
    <t>ZXXC</t>
  </si>
  <si>
    <t>ZXXCLV-M</t>
  </si>
  <si>
    <t>B074W6T3S1</t>
  </si>
  <si>
    <t>GMTBYPJBLACK</t>
  </si>
  <si>
    <t>GMTBY</t>
  </si>
  <si>
    <t>GMTBYPJBOGO</t>
  </si>
  <si>
    <t>GMTBYGREEN</t>
  </si>
  <si>
    <t>GMTBYWHITE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</si>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</sst>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9" fillId="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2" borderId="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3" fillId="22" borderId="7" applyNumberFormat="0" applyAlignment="0" applyProtection="0">
      <alignment vertical="center"/>
    </xf>
    <xf numFmtId="0" fontId="24" fillId="22" borderId="1" applyNumberFormat="0" applyAlignment="0" applyProtection="0">
      <alignment vertical="center"/>
    </xf>
    <xf numFmtId="0" fontId="15" fillId="17" borderId="4" applyNumberFormat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</cellStyleXfs>
  <cellXfs count="38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B07CYN4GVK</v>
          </cell>
          <cell r="B2">
            <v>86</v>
          </cell>
          <cell r="C2">
            <v>143</v>
          </cell>
          <cell r="D2">
            <v>15</v>
          </cell>
          <cell r="E2">
            <v>178</v>
          </cell>
        </row>
        <row r="3">
          <cell r="A3" t="str">
            <v>B01AXMP04U</v>
          </cell>
          <cell r="B3">
            <v>221</v>
          </cell>
          <cell r="C3">
            <v>215</v>
          </cell>
          <cell r="D3">
            <v>226</v>
          </cell>
          <cell r="E3">
            <v>174</v>
          </cell>
        </row>
        <row r="4">
          <cell r="A4" t="str">
            <v>B01AXMP1NA</v>
          </cell>
          <cell r="B4">
            <v>179</v>
          </cell>
          <cell r="C4">
            <v>175</v>
          </cell>
          <cell r="D4">
            <v>127</v>
          </cell>
          <cell r="E4">
            <v>122</v>
          </cell>
        </row>
        <row r="5">
          <cell r="A5" t="str">
            <v>B01H1X9QL2</v>
          </cell>
          <cell r="B5">
            <v>351</v>
          </cell>
          <cell r="C5">
            <v>372</v>
          </cell>
          <cell r="D5">
            <v>391</v>
          </cell>
          <cell r="E5">
            <v>421</v>
          </cell>
        </row>
        <row r="6">
          <cell r="A6" t="str">
            <v>B01N0OX2DR</v>
          </cell>
          <cell r="B6">
            <v>3111</v>
          </cell>
          <cell r="C6">
            <v>3061</v>
          </cell>
          <cell r="D6">
            <v>2712</v>
          </cell>
          <cell r="E6">
            <v>1622</v>
          </cell>
        </row>
        <row r="7">
          <cell r="A7" t="str">
            <v>B071V5YMVC</v>
          </cell>
          <cell r="B7">
            <v>224</v>
          </cell>
          <cell r="C7">
            <v>356</v>
          </cell>
          <cell r="D7">
            <v>235</v>
          </cell>
          <cell r="E7">
            <v>147</v>
          </cell>
        </row>
        <row r="8">
          <cell r="A8" t="str">
            <v>B074K8RKK4</v>
          </cell>
          <cell r="B8">
            <v>24</v>
          </cell>
          <cell r="C8">
            <v>19</v>
          </cell>
          <cell r="D8">
            <v>21</v>
          </cell>
          <cell r="E8">
            <v>10</v>
          </cell>
        </row>
        <row r="9">
          <cell r="A9" t="str">
            <v>B075WTPCQ5</v>
          </cell>
          <cell r="B9">
            <v>2544</v>
          </cell>
          <cell r="C9">
            <v>2494</v>
          </cell>
          <cell r="D9">
            <v>2117</v>
          </cell>
          <cell r="E9">
            <v>1330</v>
          </cell>
        </row>
        <row r="10">
          <cell r="A10" t="str">
            <v>B075XFFYG6</v>
          </cell>
          <cell r="B10">
            <v>799</v>
          </cell>
          <cell r="C10">
            <v>636</v>
          </cell>
          <cell r="D10">
            <v>1075</v>
          </cell>
          <cell r="E10">
            <v>786</v>
          </cell>
        </row>
        <row r="11">
          <cell r="A11" t="str">
            <v>B075XK4TVD</v>
          </cell>
          <cell r="B11">
            <v>409</v>
          </cell>
          <cell r="C11">
            <v>554</v>
          </cell>
          <cell r="D11">
            <v>1111</v>
          </cell>
          <cell r="E11">
            <v>397</v>
          </cell>
        </row>
        <row r="12">
          <cell r="A12" t="str">
            <v>B079G5QNWG</v>
          </cell>
          <cell r="B12">
            <v>1</v>
          </cell>
          <cell r="C12">
            <v>1</v>
          </cell>
          <cell r="D12">
            <v>3</v>
          </cell>
          <cell r="E12">
            <v>5</v>
          </cell>
        </row>
        <row r="13">
          <cell r="A13" t="str">
            <v>B07BK4DF3D</v>
          </cell>
          <cell r="B13">
            <v>461</v>
          </cell>
          <cell r="C13">
            <v>24</v>
          </cell>
          <cell r="D13">
            <v>750</v>
          </cell>
          <cell r="E13">
            <v>399</v>
          </cell>
        </row>
        <row r="14">
          <cell r="A14" t="str">
            <v>B07DV5JV44</v>
          </cell>
          <cell r="B14">
            <v>57</v>
          </cell>
          <cell r="C14">
            <v>0</v>
          </cell>
          <cell r="D14">
            <v>178</v>
          </cell>
          <cell r="E14">
            <v>78</v>
          </cell>
        </row>
        <row r="15">
          <cell r="A15" t="str">
            <v>B019V6P53K</v>
          </cell>
          <cell r="B15">
            <v>9</v>
          </cell>
          <cell r="C15">
            <v>17</v>
          </cell>
          <cell r="D15">
            <v>16</v>
          </cell>
          <cell r="E15">
            <v>3</v>
          </cell>
        </row>
        <row r="16">
          <cell r="A16" t="str">
            <v>B01AXMO99M</v>
          </cell>
          <cell r="B16">
            <v>80</v>
          </cell>
          <cell r="C16">
            <v>56</v>
          </cell>
          <cell r="D16">
            <v>63</v>
          </cell>
          <cell r="E16">
            <v>78</v>
          </cell>
        </row>
        <row r="17">
          <cell r="A17" t="str">
            <v>B01AXMOPYQ</v>
          </cell>
          <cell r="B17">
            <v>104</v>
          </cell>
          <cell r="C17">
            <v>83</v>
          </cell>
          <cell r="D17">
            <v>76</v>
          </cell>
          <cell r="E17">
            <v>75</v>
          </cell>
        </row>
        <row r="18">
          <cell r="A18" t="str">
            <v>B01AXMOX9I</v>
          </cell>
          <cell r="B18">
            <v>158</v>
          </cell>
          <cell r="C18">
            <v>156</v>
          </cell>
          <cell r="D18">
            <v>111</v>
          </cell>
          <cell r="E18">
            <v>141</v>
          </cell>
        </row>
        <row r="19">
          <cell r="A19" t="str">
            <v>B01AXMOYLU</v>
          </cell>
          <cell r="B19">
            <v>522</v>
          </cell>
          <cell r="C19">
            <v>384</v>
          </cell>
          <cell r="D19">
            <v>221</v>
          </cell>
          <cell r="E19">
            <v>212</v>
          </cell>
        </row>
        <row r="20">
          <cell r="A20" t="str">
            <v>B01AXMPKZE</v>
          </cell>
          <cell r="B20">
            <v>6</v>
          </cell>
          <cell r="C20">
            <v>9</v>
          </cell>
          <cell r="D20">
            <v>1</v>
          </cell>
          <cell r="E20">
            <v>2</v>
          </cell>
        </row>
        <row r="21">
          <cell r="A21" t="str">
            <v>B01AXMPPJU</v>
          </cell>
          <cell r="B21">
            <v>4</v>
          </cell>
          <cell r="C21">
            <v>7</v>
          </cell>
          <cell r="D21">
            <v>1</v>
          </cell>
          <cell r="E21">
            <v>3</v>
          </cell>
        </row>
        <row r="22">
          <cell r="A22" t="str">
            <v>B01AXMPVDU</v>
          </cell>
          <cell r="B22">
            <v>8</v>
          </cell>
          <cell r="C22">
            <v>9</v>
          </cell>
          <cell r="D22">
            <v>2</v>
          </cell>
          <cell r="E22">
            <v>4</v>
          </cell>
        </row>
        <row r="23">
          <cell r="A23" t="str">
            <v>B01AXMPWJ8</v>
          </cell>
          <cell r="B23">
            <v>3</v>
          </cell>
          <cell r="C23">
            <v>3</v>
          </cell>
          <cell r="D23">
            <v>3</v>
          </cell>
          <cell r="E23">
            <v>2</v>
          </cell>
        </row>
        <row r="24">
          <cell r="A24" t="str">
            <v>B01AXMPXWO</v>
          </cell>
          <cell r="B24">
            <v>2</v>
          </cell>
          <cell r="C24">
            <v>9</v>
          </cell>
          <cell r="D24">
            <v>1</v>
          </cell>
          <cell r="E24">
            <v>2</v>
          </cell>
        </row>
        <row r="25">
          <cell r="A25" t="str">
            <v>B01AXMQ23I</v>
          </cell>
          <cell r="B25">
            <v>15</v>
          </cell>
          <cell r="C25">
            <v>7</v>
          </cell>
          <cell r="D25">
            <v>6</v>
          </cell>
          <cell r="E25">
            <v>5</v>
          </cell>
        </row>
        <row r="26">
          <cell r="A26" t="str">
            <v>B01AXMQ3YQ</v>
          </cell>
          <cell r="B26">
            <v>5</v>
          </cell>
          <cell r="C26">
            <v>6</v>
          </cell>
          <cell r="D26">
            <v>0</v>
          </cell>
          <cell r="E26">
            <v>0</v>
          </cell>
        </row>
        <row r="27">
          <cell r="A27" t="str">
            <v>B01AXMQH3I</v>
          </cell>
          <cell r="B27">
            <v>0</v>
          </cell>
          <cell r="C27">
            <v>0</v>
          </cell>
          <cell r="D27">
            <v>0</v>
          </cell>
          <cell r="E27">
            <v>4</v>
          </cell>
        </row>
        <row r="28">
          <cell r="A28" t="str">
            <v>B01BHQVKJA</v>
          </cell>
          <cell r="B28">
            <v>1</v>
          </cell>
          <cell r="C28">
            <v>3</v>
          </cell>
          <cell r="D28">
            <v>3</v>
          </cell>
          <cell r="E28">
            <v>4</v>
          </cell>
        </row>
        <row r="29">
          <cell r="A29" t="str">
            <v>B01BHQVLCQ</v>
          </cell>
          <cell r="B29">
            <v>16</v>
          </cell>
          <cell r="C29">
            <v>12</v>
          </cell>
          <cell r="D29">
            <v>9</v>
          </cell>
          <cell r="E29">
            <v>7</v>
          </cell>
        </row>
        <row r="30">
          <cell r="A30" t="str">
            <v>B01BHQVM1Q</v>
          </cell>
          <cell r="B30">
            <v>3</v>
          </cell>
          <cell r="C30">
            <v>3</v>
          </cell>
          <cell r="D30">
            <v>2</v>
          </cell>
          <cell r="E30">
            <v>3</v>
          </cell>
        </row>
        <row r="31">
          <cell r="A31" t="str">
            <v>B01BHQVMT8</v>
          </cell>
          <cell r="B31">
            <v>6</v>
          </cell>
          <cell r="C31">
            <v>6</v>
          </cell>
          <cell r="D31">
            <v>3</v>
          </cell>
          <cell r="E31">
            <v>6</v>
          </cell>
        </row>
        <row r="32">
          <cell r="A32" t="str">
            <v>B01BHQVNQU</v>
          </cell>
          <cell r="B32">
            <v>5</v>
          </cell>
          <cell r="C32">
            <v>4</v>
          </cell>
          <cell r="D32">
            <v>3</v>
          </cell>
          <cell r="E32">
            <v>1</v>
          </cell>
        </row>
        <row r="33">
          <cell r="A33" t="str">
            <v>B01BHQVOOQ</v>
          </cell>
          <cell r="B33">
            <v>7</v>
          </cell>
          <cell r="C33">
            <v>3</v>
          </cell>
          <cell r="D33">
            <v>5</v>
          </cell>
          <cell r="E33">
            <v>7</v>
          </cell>
        </row>
        <row r="34">
          <cell r="A34" t="str">
            <v>B01BHQVOS2</v>
          </cell>
          <cell r="B34">
            <v>14</v>
          </cell>
          <cell r="C34">
            <v>13</v>
          </cell>
          <cell r="D34">
            <v>18</v>
          </cell>
          <cell r="E34">
            <v>25</v>
          </cell>
        </row>
        <row r="35">
          <cell r="A35" t="str">
            <v>B01BHQVPLS</v>
          </cell>
          <cell r="B35">
            <v>6</v>
          </cell>
          <cell r="C35">
            <v>0</v>
          </cell>
          <cell r="D35">
            <v>6</v>
          </cell>
          <cell r="E35">
            <v>4</v>
          </cell>
        </row>
        <row r="36">
          <cell r="A36" t="str">
            <v>B01BHQVPS6</v>
          </cell>
          <cell r="B36">
            <v>35</v>
          </cell>
          <cell r="C36">
            <v>60</v>
          </cell>
          <cell r="D36">
            <v>58</v>
          </cell>
          <cell r="E36">
            <v>41</v>
          </cell>
        </row>
        <row r="37">
          <cell r="A37" t="str">
            <v>B01BHQVSLK</v>
          </cell>
          <cell r="B37">
            <v>16</v>
          </cell>
          <cell r="C37">
            <v>13</v>
          </cell>
          <cell r="D37">
            <v>15</v>
          </cell>
          <cell r="E37">
            <v>15</v>
          </cell>
        </row>
        <row r="38">
          <cell r="A38" t="str">
            <v>B01BHQWEQS</v>
          </cell>
          <cell r="B38">
            <v>4</v>
          </cell>
          <cell r="C38">
            <v>12</v>
          </cell>
          <cell r="D38">
            <v>13</v>
          </cell>
          <cell r="E38">
            <v>7</v>
          </cell>
        </row>
        <row r="39">
          <cell r="A39" t="str">
            <v>B01C8QGSYU</v>
          </cell>
          <cell r="B39">
            <v>41</v>
          </cell>
          <cell r="C39">
            <v>52</v>
          </cell>
          <cell r="D39">
            <v>41</v>
          </cell>
          <cell r="E39">
            <v>15</v>
          </cell>
        </row>
        <row r="40">
          <cell r="A40" t="str">
            <v>B01C8QGUDY</v>
          </cell>
          <cell r="B40">
            <v>7</v>
          </cell>
          <cell r="C40">
            <v>9</v>
          </cell>
          <cell r="D40">
            <v>10</v>
          </cell>
          <cell r="E40">
            <v>3</v>
          </cell>
        </row>
        <row r="41">
          <cell r="A41" t="str">
            <v>B01C8QGVS8</v>
          </cell>
          <cell r="B41">
            <v>21</v>
          </cell>
          <cell r="C41">
            <v>22</v>
          </cell>
          <cell r="D41">
            <v>21</v>
          </cell>
          <cell r="E41">
            <v>4</v>
          </cell>
        </row>
        <row r="42">
          <cell r="A42" t="str">
            <v>B01C8QGX6I</v>
          </cell>
          <cell r="B42">
            <v>21</v>
          </cell>
          <cell r="C42">
            <v>38</v>
          </cell>
          <cell r="D42">
            <v>38</v>
          </cell>
          <cell r="E42">
            <v>4</v>
          </cell>
        </row>
        <row r="43">
          <cell r="A43" t="str">
            <v>B01C8QGY08</v>
          </cell>
          <cell r="B43">
            <v>3</v>
          </cell>
          <cell r="C43">
            <v>4</v>
          </cell>
          <cell r="D43">
            <v>8</v>
          </cell>
          <cell r="E43">
            <v>3</v>
          </cell>
        </row>
        <row r="44">
          <cell r="A44" t="str">
            <v>B01C8QGY0I</v>
          </cell>
          <cell r="B44">
            <v>0</v>
          </cell>
          <cell r="C44">
            <v>0</v>
          </cell>
          <cell r="D44">
            <v>0</v>
          </cell>
          <cell r="E44">
            <v>1</v>
          </cell>
        </row>
        <row r="45">
          <cell r="A45" t="str">
            <v>B01C8QGZKC</v>
          </cell>
          <cell r="B45">
            <v>17</v>
          </cell>
          <cell r="C45">
            <v>17</v>
          </cell>
          <cell r="D45">
            <v>30</v>
          </cell>
          <cell r="E45">
            <v>1</v>
          </cell>
        </row>
        <row r="46">
          <cell r="A46" t="str">
            <v>B01C8QH11E</v>
          </cell>
          <cell r="B46">
            <v>5</v>
          </cell>
          <cell r="C46">
            <v>7</v>
          </cell>
          <cell r="D46">
            <v>6</v>
          </cell>
          <cell r="E46">
            <v>2</v>
          </cell>
        </row>
        <row r="47">
          <cell r="A47" t="str">
            <v>B01C8QH28Q</v>
          </cell>
          <cell r="B47">
            <v>8</v>
          </cell>
          <cell r="C47">
            <v>3</v>
          </cell>
          <cell r="D47">
            <v>8</v>
          </cell>
          <cell r="E47">
            <v>2</v>
          </cell>
        </row>
        <row r="48">
          <cell r="A48" t="str">
            <v>B01C8QH2A4</v>
          </cell>
          <cell r="B48">
            <v>0</v>
          </cell>
          <cell r="C48">
            <v>0</v>
          </cell>
          <cell r="D48">
            <v>0</v>
          </cell>
          <cell r="E48">
            <v>1</v>
          </cell>
        </row>
        <row r="49">
          <cell r="A49" t="str">
            <v>B01C8QH38A</v>
          </cell>
          <cell r="B49">
            <v>7</v>
          </cell>
          <cell r="C49">
            <v>7</v>
          </cell>
          <cell r="D49">
            <v>7</v>
          </cell>
          <cell r="E49">
            <v>3</v>
          </cell>
        </row>
        <row r="50">
          <cell r="A50" t="str">
            <v>B01C8QH6YG</v>
          </cell>
          <cell r="B50">
            <v>1</v>
          </cell>
          <cell r="C50">
            <v>2</v>
          </cell>
          <cell r="D50">
            <v>3</v>
          </cell>
          <cell r="E50">
            <v>2</v>
          </cell>
        </row>
        <row r="51">
          <cell r="A51" t="str">
            <v>B01C8QHANI</v>
          </cell>
          <cell r="B51">
            <v>0</v>
          </cell>
          <cell r="C51">
            <v>5</v>
          </cell>
          <cell r="D51">
            <v>2</v>
          </cell>
          <cell r="E51">
            <v>2</v>
          </cell>
        </row>
        <row r="52">
          <cell r="A52" t="str">
            <v>B01C8QHC36</v>
          </cell>
          <cell r="B52">
            <v>1</v>
          </cell>
          <cell r="C52">
            <v>3</v>
          </cell>
          <cell r="D52">
            <v>0</v>
          </cell>
          <cell r="E52">
            <v>2</v>
          </cell>
        </row>
        <row r="53">
          <cell r="A53" t="str">
            <v>B01C8QHWKO</v>
          </cell>
          <cell r="B53">
            <v>22</v>
          </cell>
          <cell r="C53">
            <v>29</v>
          </cell>
          <cell r="D53">
            <v>20</v>
          </cell>
          <cell r="E53">
            <v>20</v>
          </cell>
        </row>
        <row r="54">
          <cell r="A54" t="str">
            <v>B01C8QI1HC</v>
          </cell>
          <cell r="B54">
            <v>2</v>
          </cell>
          <cell r="C54">
            <v>3</v>
          </cell>
          <cell r="D54">
            <v>7</v>
          </cell>
          <cell r="E54">
            <v>3</v>
          </cell>
        </row>
        <row r="55">
          <cell r="A55" t="str">
            <v>B01C8QI73A</v>
          </cell>
          <cell r="B55">
            <v>50</v>
          </cell>
          <cell r="C55">
            <v>44</v>
          </cell>
          <cell r="D55">
            <v>21</v>
          </cell>
          <cell r="E55">
            <v>10</v>
          </cell>
        </row>
        <row r="56">
          <cell r="A56" t="str">
            <v>B01C8QI7U8</v>
          </cell>
          <cell r="B56">
            <v>28</v>
          </cell>
          <cell r="C56">
            <v>20</v>
          </cell>
          <cell r="D56">
            <v>27</v>
          </cell>
          <cell r="E56">
            <v>6</v>
          </cell>
        </row>
        <row r="57">
          <cell r="A57" t="str">
            <v>B01C8QI90Q</v>
          </cell>
          <cell r="B57">
            <v>0</v>
          </cell>
          <cell r="C57">
            <v>14</v>
          </cell>
          <cell r="D57">
            <v>23</v>
          </cell>
          <cell r="E57">
            <v>8</v>
          </cell>
        </row>
        <row r="58">
          <cell r="A58" t="str">
            <v>B01C8QI9QK</v>
          </cell>
          <cell r="B58">
            <v>7</v>
          </cell>
          <cell r="C58">
            <v>5</v>
          </cell>
          <cell r="D58">
            <v>2</v>
          </cell>
          <cell r="E58">
            <v>7</v>
          </cell>
        </row>
        <row r="59">
          <cell r="A59" t="str">
            <v>B01C8QIA0U</v>
          </cell>
          <cell r="B59">
            <v>11</v>
          </cell>
          <cell r="C59">
            <v>7</v>
          </cell>
          <cell r="D59">
            <v>5</v>
          </cell>
          <cell r="E59">
            <v>2</v>
          </cell>
        </row>
        <row r="60">
          <cell r="A60" t="str">
            <v>B01C8QIC08</v>
          </cell>
          <cell r="B60">
            <v>8</v>
          </cell>
          <cell r="C60">
            <v>10</v>
          </cell>
          <cell r="D60">
            <v>10</v>
          </cell>
          <cell r="E60">
            <v>1</v>
          </cell>
        </row>
        <row r="61">
          <cell r="A61" t="str">
            <v>B01C8QID6G</v>
          </cell>
          <cell r="B61">
            <v>5</v>
          </cell>
          <cell r="C61">
            <v>11</v>
          </cell>
          <cell r="D61">
            <v>9</v>
          </cell>
          <cell r="E61">
            <v>1</v>
          </cell>
        </row>
        <row r="62">
          <cell r="A62" t="str">
            <v>B01C8QIE38</v>
          </cell>
          <cell r="B62">
            <v>9</v>
          </cell>
          <cell r="C62">
            <v>6</v>
          </cell>
          <cell r="D62">
            <v>0</v>
          </cell>
          <cell r="E62">
            <v>4</v>
          </cell>
        </row>
        <row r="63">
          <cell r="A63" t="str">
            <v>B01C8QIE88</v>
          </cell>
          <cell r="B63">
            <v>4</v>
          </cell>
          <cell r="C63">
            <v>11</v>
          </cell>
          <cell r="D63">
            <v>14</v>
          </cell>
          <cell r="E63">
            <v>1</v>
          </cell>
        </row>
        <row r="64">
          <cell r="A64" t="str">
            <v>B01C8QIF4Q</v>
          </cell>
          <cell r="B64">
            <v>17</v>
          </cell>
          <cell r="C64">
            <v>11</v>
          </cell>
          <cell r="D64">
            <v>10</v>
          </cell>
          <cell r="E64">
            <v>2</v>
          </cell>
        </row>
        <row r="65">
          <cell r="A65" t="str">
            <v>B01C8QIRLW</v>
          </cell>
          <cell r="B65">
            <v>5</v>
          </cell>
          <cell r="C65">
            <v>4</v>
          </cell>
          <cell r="D65">
            <v>7</v>
          </cell>
          <cell r="E65">
            <v>1</v>
          </cell>
        </row>
        <row r="66">
          <cell r="A66" t="str">
            <v>B01C8QJ1XU</v>
          </cell>
          <cell r="B66">
            <v>111</v>
          </cell>
          <cell r="C66">
            <v>92</v>
          </cell>
          <cell r="D66">
            <v>115</v>
          </cell>
          <cell r="E66">
            <v>87</v>
          </cell>
        </row>
        <row r="67">
          <cell r="A67" t="str">
            <v>B01C8QJ32O</v>
          </cell>
          <cell r="B67">
            <v>32</v>
          </cell>
          <cell r="C67">
            <v>38</v>
          </cell>
          <cell r="D67">
            <v>28</v>
          </cell>
          <cell r="E67">
            <v>41</v>
          </cell>
        </row>
        <row r="68">
          <cell r="A68" t="str">
            <v>B01C8QJ4SC</v>
          </cell>
          <cell r="B68">
            <v>30</v>
          </cell>
          <cell r="C68">
            <v>32</v>
          </cell>
          <cell r="D68">
            <v>19</v>
          </cell>
          <cell r="E68">
            <v>19</v>
          </cell>
        </row>
        <row r="69">
          <cell r="A69" t="str">
            <v>B01C8QJ734</v>
          </cell>
          <cell r="B69">
            <v>41</v>
          </cell>
          <cell r="C69">
            <v>47</v>
          </cell>
          <cell r="D69">
            <v>43</v>
          </cell>
          <cell r="E69">
            <v>32</v>
          </cell>
        </row>
        <row r="70">
          <cell r="A70" t="str">
            <v>B01C8QJ89C</v>
          </cell>
          <cell r="B70">
            <v>47</v>
          </cell>
          <cell r="C70">
            <v>42</v>
          </cell>
          <cell r="D70">
            <v>25</v>
          </cell>
          <cell r="E70">
            <v>26</v>
          </cell>
        </row>
        <row r="71">
          <cell r="A71" t="str">
            <v>B01C8QJ9AU</v>
          </cell>
          <cell r="B71">
            <v>26</v>
          </cell>
          <cell r="C71">
            <v>18</v>
          </cell>
          <cell r="D71">
            <v>19</v>
          </cell>
          <cell r="E71">
            <v>33</v>
          </cell>
        </row>
        <row r="72">
          <cell r="A72" t="str">
            <v>B01C8QJADG</v>
          </cell>
          <cell r="B72">
            <v>37</v>
          </cell>
          <cell r="C72">
            <v>30</v>
          </cell>
          <cell r="D72">
            <v>17</v>
          </cell>
          <cell r="E72">
            <v>35</v>
          </cell>
        </row>
        <row r="73">
          <cell r="A73" t="str">
            <v>B01C8QJNVA</v>
          </cell>
          <cell r="B73">
            <v>28</v>
          </cell>
          <cell r="C73">
            <v>27</v>
          </cell>
          <cell r="D73">
            <v>29</v>
          </cell>
          <cell r="E73">
            <v>14</v>
          </cell>
        </row>
        <row r="74">
          <cell r="A74" t="str">
            <v>B01C8QJP7W</v>
          </cell>
          <cell r="B74">
            <v>16</v>
          </cell>
          <cell r="C74">
            <v>16</v>
          </cell>
          <cell r="D74">
            <v>14</v>
          </cell>
          <cell r="E74">
            <v>27</v>
          </cell>
        </row>
        <row r="75">
          <cell r="A75" t="str">
            <v>B01C8QJQGM</v>
          </cell>
          <cell r="B75">
            <v>10</v>
          </cell>
          <cell r="C75">
            <v>15</v>
          </cell>
          <cell r="D75">
            <v>7</v>
          </cell>
          <cell r="E75">
            <v>13</v>
          </cell>
        </row>
        <row r="76">
          <cell r="A76" t="str">
            <v>B01C8QJRM0</v>
          </cell>
          <cell r="B76">
            <v>9</v>
          </cell>
          <cell r="C76">
            <v>16</v>
          </cell>
          <cell r="D76">
            <v>13</v>
          </cell>
          <cell r="E76">
            <v>10</v>
          </cell>
        </row>
        <row r="77">
          <cell r="A77" t="str">
            <v>B01C8QJSTM</v>
          </cell>
          <cell r="B77">
            <v>6</v>
          </cell>
          <cell r="C77">
            <v>10</v>
          </cell>
          <cell r="D77">
            <v>4</v>
          </cell>
          <cell r="E77">
            <v>7</v>
          </cell>
        </row>
        <row r="78">
          <cell r="A78" t="str">
            <v>B01C8QJU2C</v>
          </cell>
          <cell r="B78">
            <v>10</v>
          </cell>
          <cell r="C78">
            <v>12</v>
          </cell>
          <cell r="D78">
            <v>7</v>
          </cell>
          <cell r="E78">
            <v>9</v>
          </cell>
        </row>
        <row r="79">
          <cell r="A79" t="str">
            <v>B01C8QJV4Y</v>
          </cell>
          <cell r="B79">
            <v>7</v>
          </cell>
          <cell r="C79">
            <v>15</v>
          </cell>
          <cell r="D79">
            <v>6</v>
          </cell>
          <cell r="E79">
            <v>13</v>
          </cell>
        </row>
        <row r="80">
          <cell r="A80" t="str">
            <v>B01C8QJWB6</v>
          </cell>
          <cell r="B80">
            <v>9</v>
          </cell>
          <cell r="C80">
            <v>12</v>
          </cell>
          <cell r="D80">
            <v>4</v>
          </cell>
          <cell r="E80">
            <v>8</v>
          </cell>
        </row>
        <row r="81">
          <cell r="A81" t="str">
            <v>B01C8QJZ3Q</v>
          </cell>
          <cell r="B81">
            <v>42</v>
          </cell>
          <cell r="C81">
            <v>42</v>
          </cell>
          <cell r="D81">
            <v>36</v>
          </cell>
          <cell r="E81">
            <v>21</v>
          </cell>
        </row>
        <row r="82">
          <cell r="A82" t="str">
            <v>B01C8QK07Q</v>
          </cell>
          <cell r="B82">
            <v>41</v>
          </cell>
          <cell r="C82">
            <v>31</v>
          </cell>
          <cell r="D82">
            <v>36</v>
          </cell>
          <cell r="E82">
            <v>12</v>
          </cell>
        </row>
        <row r="83">
          <cell r="A83" t="str">
            <v>B01C8QK1DY</v>
          </cell>
          <cell r="B83">
            <v>24</v>
          </cell>
          <cell r="C83">
            <v>36</v>
          </cell>
          <cell r="D83">
            <v>37</v>
          </cell>
          <cell r="E83">
            <v>24</v>
          </cell>
        </row>
        <row r="84">
          <cell r="A84" t="str">
            <v>B01C8QK38M</v>
          </cell>
          <cell r="B84">
            <v>20</v>
          </cell>
          <cell r="C84">
            <v>16</v>
          </cell>
          <cell r="D84">
            <v>12</v>
          </cell>
          <cell r="E84">
            <v>3</v>
          </cell>
        </row>
        <row r="85">
          <cell r="A85" t="str">
            <v>B01C8QK4B8</v>
          </cell>
          <cell r="B85">
            <v>13</v>
          </cell>
          <cell r="C85">
            <v>11</v>
          </cell>
          <cell r="D85">
            <v>11</v>
          </cell>
          <cell r="E85">
            <v>6</v>
          </cell>
        </row>
        <row r="86">
          <cell r="A86" t="str">
            <v>B01C8QK5OO</v>
          </cell>
          <cell r="B86">
            <v>14</v>
          </cell>
          <cell r="C86">
            <v>14</v>
          </cell>
          <cell r="D86">
            <v>13</v>
          </cell>
          <cell r="E86">
            <v>5</v>
          </cell>
        </row>
        <row r="87">
          <cell r="A87" t="str">
            <v>B01C8QK6YI</v>
          </cell>
          <cell r="B87">
            <v>13</v>
          </cell>
          <cell r="C87">
            <v>13</v>
          </cell>
          <cell r="D87">
            <v>12</v>
          </cell>
          <cell r="E87">
            <v>4</v>
          </cell>
        </row>
        <row r="88">
          <cell r="A88" t="str">
            <v>B01C8QKBHK</v>
          </cell>
          <cell r="B88">
            <v>2</v>
          </cell>
          <cell r="C88">
            <v>2</v>
          </cell>
          <cell r="D88">
            <v>3</v>
          </cell>
          <cell r="E88">
            <v>5</v>
          </cell>
        </row>
        <row r="89">
          <cell r="A89" t="str">
            <v>B01C8QKE2M</v>
          </cell>
          <cell r="B89">
            <v>3</v>
          </cell>
          <cell r="C89">
            <v>3</v>
          </cell>
          <cell r="D89">
            <v>2</v>
          </cell>
          <cell r="E89">
            <v>5</v>
          </cell>
        </row>
        <row r="90">
          <cell r="A90" t="str">
            <v>B01C8QKGNY</v>
          </cell>
          <cell r="B90">
            <v>2</v>
          </cell>
          <cell r="C90">
            <v>4</v>
          </cell>
          <cell r="D90">
            <v>2</v>
          </cell>
          <cell r="E90">
            <v>4</v>
          </cell>
        </row>
        <row r="91">
          <cell r="A91" t="str">
            <v>B01C8QKK44</v>
          </cell>
          <cell r="B91">
            <v>2</v>
          </cell>
          <cell r="C91">
            <v>3</v>
          </cell>
          <cell r="D91">
            <v>2</v>
          </cell>
          <cell r="E91">
            <v>3</v>
          </cell>
        </row>
        <row r="92">
          <cell r="A92" t="str">
            <v>B01C8QL660</v>
          </cell>
          <cell r="B92">
            <v>4</v>
          </cell>
          <cell r="C92">
            <v>7</v>
          </cell>
          <cell r="D92">
            <v>6</v>
          </cell>
          <cell r="E92">
            <v>5</v>
          </cell>
        </row>
        <row r="93">
          <cell r="A93" t="str">
            <v>B01C8QL8B8</v>
          </cell>
          <cell r="B93">
            <v>3</v>
          </cell>
          <cell r="C93">
            <v>4</v>
          </cell>
          <cell r="D93">
            <v>5</v>
          </cell>
          <cell r="E93">
            <v>4</v>
          </cell>
        </row>
        <row r="94">
          <cell r="A94" t="str">
            <v>B01C8QLALQ</v>
          </cell>
          <cell r="B94">
            <v>1</v>
          </cell>
          <cell r="C94">
            <v>2</v>
          </cell>
          <cell r="D94">
            <v>0</v>
          </cell>
          <cell r="E94">
            <v>1</v>
          </cell>
        </row>
        <row r="95">
          <cell r="A95" t="str">
            <v>B01C8RELTS</v>
          </cell>
          <cell r="B95">
            <v>4</v>
          </cell>
          <cell r="C95">
            <v>7</v>
          </cell>
          <cell r="D95">
            <v>4</v>
          </cell>
          <cell r="E95">
            <v>3</v>
          </cell>
        </row>
        <row r="96">
          <cell r="A96" t="str">
            <v>B01C8REPAI</v>
          </cell>
          <cell r="B96">
            <v>14</v>
          </cell>
          <cell r="C96">
            <v>2</v>
          </cell>
          <cell r="D96">
            <v>3</v>
          </cell>
          <cell r="E96">
            <v>5</v>
          </cell>
        </row>
        <row r="97">
          <cell r="A97" t="str">
            <v>B01CFH87G4</v>
          </cell>
          <cell r="B97">
            <v>38</v>
          </cell>
          <cell r="C97">
            <v>29</v>
          </cell>
          <cell r="D97">
            <v>28</v>
          </cell>
          <cell r="E97">
            <v>3</v>
          </cell>
        </row>
        <row r="98">
          <cell r="A98" t="str">
            <v>B01CFH8836</v>
          </cell>
          <cell r="B98">
            <v>83</v>
          </cell>
          <cell r="C98">
            <v>281</v>
          </cell>
          <cell r="D98">
            <v>104</v>
          </cell>
          <cell r="E98">
            <v>13</v>
          </cell>
        </row>
        <row r="99">
          <cell r="A99" t="str">
            <v>B01CFH8ALQ</v>
          </cell>
          <cell r="B99">
            <v>53</v>
          </cell>
          <cell r="C99">
            <v>72</v>
          </cell>
          <cell r="D99">
            <v>25</v>
          </cell>
          <cell r="E99">
            <v>3</v>
          </cell>
        </row>
        <row r="100">
          <cell r="A100" t="str">
            <v>B01CNJQ6T4</v>
          </cell>
          <cell r="B100">
            <v>0</v>
          </cell>
          <cell r="C100">
            <v>0</v>
          </cell>
          <cell r="D100">
            <v>2</v>
          </cell>
          <cell r="E100">
            <v>3</v>
          </cell>
        </row>
        <row r="101">
          <cell r="A101" t="str">
            <v>B01CNJQ7TS</v>
          </cell>
          <cell r="B101">
            <v>2</v>
          </cell>
          <cell r="C101">
            <v>2</v>
          </cell>
          <cell r="D101">
            <v>3</v>
          </cell>
          <cell r="E101">
            <v>2</v>
          </cell>
        </row>
        <row r="102">
          <cell r="A102" t="str">
            <v>B01DZVJKEM</v>
          </cell>
          <cell r="B102">
            <v>2</v>
          </cell>
          <cell r="C102">
            <v>3</v>
          </cell>
          <cell r="D102">
            <v>0</v>
          </cell>
          <cell r="E102">
            <v>2</v>
          </cell>
        </row>
        <row r="103">
          <cell r="A103" t="str">
            <v>B01EG11EN0</v>
          </cell>
          <cell r="B103">
            <v>7</v>
          </cell>
          <cell r="C103">
            <v>2</v>
          </cell>
          <cell r="D103">
            <v>7</v>
          </cell>
          <cell r="E103">
            <v>7</v>
          </cell>
        </row>
        <row r="104">
          <cell r="A104" t="str">
            <v>B01F5LOTZK</v>
          </cell>
          <cell r="B104">
            <v>2</v>
          </cell>
          <cell r="C104">
            <v>0</v>
          </cell>
          <cell r="D104">
            <v>3</v>
          </cell>
          <cell r="E104">
            <v>3</v>
          </cell>
        </row>
        <row r="105">
          <cell r="A105" t="str">
            <v>B01F5LOVPI</v>
          </cell>
          <cell r="B105">
            <v>3</v>
          </cell>
          <cell r="C105">
            <v>2</v>
          </cell>
          <cell r="D105">
            <v>3</v>
          </cell>
          <cell r="E105">
            <v>1</v>
          </cell>
        </row>
        <row r="106">
          <cell r="A106" t="str">
            <v>B01F5LOXBU</v>
          </cell>
          <cell r="B106">
            <v>2</v>
          </cell>
          <cell r="C106">
            <v>5</v>
          </cell>
          <cell r="D106">
            <v>2</v>
          </cell>
          <cell r="E106">
            <v>1</v>
          </cell>
        </row>
        <row r="107">
          <cell r="A107" t="str">
            <v>B01F5LOYG4</v>
          </cell>
          <cell r="B107">
            <v>3</v>
          </cell>
          <cell r="C107">
            <v>2</v>
          </cell>
          <cell r="D107">
            <v>4</v>
          </cell>
          <cell r="E107">
            <v>3</v>
          </cell>
        </row>
        <row r="108">
          <cell r="A108" t="str">
            <v>B01F5LPRMY</v>
          </cell>
          <cell r="B108">
            <v>1</v>
          </cell>
          <cell r="C108">
            <v>3</v>
          </cell>
          <cell r="D108">
            <v>5</v>
          </cell>
          <cell r="E108">
            <v>3</v>
          </cell>
        </row>
        <row r="109">
          <cell r="A109" t="str">
            <v>B01F5LPTAO</v>
          </cell>
          <cell r="B109">
            <v>2</v>
          </cell>
          <cell r="C109">
            <v>5</v>
          </cell>
          <cell r="D109">
            <v>5</v>
          </cell>
          <cell r="E109">
            <v>3</v>
          </cell>
        </row>
        <row r="110">
          <cell r="A110" t="str">
            <v>B01F5LPV52</v>
          </cell>
          <cell r="B110">
            <v>2</v>
          </cell>
          <cell r="C110">
            <v>3</v>
          </cell>
          <cell r="D110">
            <v>8</v>
          </cell>
          <cell r="E110">
            <v>3</v>
          </cell>
        </row>
        <row r="111">
          <cell r="A111" t="str">
            <v>B01F5LPWZQ</v>
          </cell>
          <cell r="B111">
            <v>1</v>
          </cell>
          <cell r="C111">
            <v>2</v>
          </cell>
          <cell r="D111">
            <v>6</v>
          </cell>
          <cell r="E111">
            <v>1</v>
          </cell>
        </row>
        <row r="112">
          <cell r="A112" t="str">
            <v>B01F5LPX32</v>
          </cell>
          <cell r="B112">
            <v>1</v>
          </cell>
          <cell r="C112">
            <v>5</v>
          </cell>
          <cell r="D112">
            <v>6</v>
          </cell>
          <cell r="E112">
            <v>3</v>
          </cell>
        </row>
        <row r="113">
          <cell r="A113" t="str">
            <v>B01F5LPYAO</v>
          </cell>
          <cell r="B113">
            <v>5</v>
          </cell>
          <cell r="C113">
            <v>4</v>
          </cell>
          <cell r="D113">
            <v>2</v>
          </cell>
          <cell r="E113">
            <v>4</v>
          </cell>
        </row>
        <row r="114">
          <cell r="A114" t="str">
            <v>B01F5LPZG2</v>
          </cell>
          <cell r="B114">
            <v>3</v>
          </cell>
          <cell r="C114">
            <v>4</v>
          </cell>
          <cell r="D114">
            <v>3</v>
          </cell>
          <cell r="E114">
            <v>5</v>
          </cell>
        </row>
        <row r="115">
          <cell r="A115" t="str">
            <v>B01F5LQ57U</v>
          </cell>
          <cell r="B115">
            <v>2</v>
          </cell>
          <cell r="C115">
            <v>3</v>
          </cell>
          <cell r="D115">
            <v>3</v>
          </cell>
          <cell r="E115">
            <v>1</v>
          </cell>
        </row>
        <row r="116">
          <cell r="A116" t="str">
            <v>B01F5LQBSI</v>
          </cell>
          <cell r="B116">
            <v>3</v>
          </cell>
          <cell r="C116">
            <v>5</v>
          </cell>
          <cell r="D116">
            <v>6</v>
          </cell>
          <cell r="E116">
            <v>5</v>
          </cell>
        </row>
        <row r="117">
          <cell r="A117" t="str">
            <v>B01F5LQH4Q</v>
          </cell>
          <cell r="B117">
            <v>5</v>
          </cell>
          <cell r="C117">
            <v>3</v>
          </cell>
          <cell r="D117">
            <v>5</v>
          </cell>
          <cell r="E117">
            <v>3</v>
          </cell>
        </row>
        <row r="118">
          <cell r="A118" t="str">
            <v>B01F5LQI72</v>
          </cell>
          <cell r="B118">
            <v>8</v>
          </cell>
          <cell r="C118">
            <v>2</v>
          </cell>
          <cell r="D118">
            <v>4</v>
          </cell>
          <cell r="E118">
            <v>3</v>
          </cell>
        </row>
        <row r="119">
          <cell r="A119" t="str">
            <v>B01F5LQJMG</v>
          </cell>
          <cell r="B119">
            <v>3</v>
          </cell>
          <cell r="C119">
            <v>2</v>
          </cell>
          <cell r="D119">
            <v>7</v>
          </cell>
          <cell r="E119">
            <v>3</v>
          </cell>
        </row>
        <row r="120">
          <cell r="A120" t="str">
            <v>B01F5LQLA6</v>
          </cell>
          <cell r="B120">
            <v>4</v>
          </cell>
          <cell r="C120">
            <v>4</v>
          </cell>
          <cell r="D120">
            <v>5</v>
          </cell>
          <cell r="E120">
            <v>2</v>
          </cell>
        </row>
        <row r="121">
          <cell r="A121" t="str">
            <v>B01F5LQLW4</v>
          </cell>
          <cell r="B121">
            <v>7</v>
          </cell>
          <cell r="C121">
            <v>6</v>
          </cell>
          <cell r="D121">
            <v>12</v>
          </cell>
          <cell r="E121">
            <v>3</v>
          </cell>
        </row>
        <row r="122">
          <cell r="A122" t="str">
            <v>B01F5LQQX8</v>
          </cell>
          <cell r="B122">
            <v>10</v>
          </cell>
          <cell r="C122">
            <v>10</v>
          </cell>
          <cell r="D122">
            <v>10</v>
          </cell>
          <cell r="E122">
            <v>4</v>
          </cell>
        </row>
        <row r="123">
          <cell r="A123" t="str">
            <v>B01F5LQV9W</v>
          </cell>
          <cell r="B123">
            <v>6</v>
          </cell>
          <cell r="C123">
            <v>1</v>
          </cell>
          <cell r="D123">
            <v>10</v>
          </cell>
          <cell r="E123">
            <v>4</v>
          </cell>
        </row>
        <row r="124">
          <cell r="A124" t="str">
            <v>B01F5LRA0G</v>
          </cell>
          <cell r="B124">
            <v>3</v>
          </cell>
          <cell r="C124">
            <v>2</v>
          </cell>
          <cell r="D124">
            <v>7</v>
          </cell>
          <cell r="E124">
            <v>4</v>
          </cell>
        </row>
        <row r="125">
          <cell r="A125" t="str">
            <v>B01F5LSHAI</v>
          </cell>
          <cell r="B125">
            <v>2</v>
          </cell>
          <cell r="C125">
            <v>1</v>
          </cell>
          <cell r="D125">
            <v>9</v>
          </cell>
          <cell r="E125">
            <v>2</v>
          </cell>
        </row>
        <row r="126">
          <cell r="A126" t="str">
            <v>B01F5LSKQ4</v>
          </cell>
          <cell r="B126">
            <v>3</v>
          </cell>
          <cell r="C126">
            <v>1</v>
          </cell>
          <cell r="D126">
            <v>6</v>
          </cell>
          <cell r="E126">
            <v>3</v>
          </cell>
        </row>
        <row r="127">
          <cell r="A127" t="str">
            <v>B01F5LSPOG</v>
          </cell>
          <cell r="B127">
            <v>2</v>
          </cell>
          <cell r="C127">
            <v>1</v>
          </cell>
          <cell r="D127">
            <v>6</v>
          </cell>
          <cell r="E127">
            <v>3</v>
          </cell>
        </row>
        <row r="128">
          <cell r="A128" t="str">
            <v>B01FHNOCA8</v>
          </cell>
          <cell r="B128">
            <v>20</v>
          </cell>
          <cell r="C128">
            <v>18</v>
          </cell>
          <cell r="D128">
            <v>15</v>
          </cell>
          <cell r="E128">
            <v>4</v>
          </cell>
        </row>
        <row r="129">
          <cell r="A129" t="str">
            <v>B01FS78ER0</v>
          </cell>
          <cell r="B129">
            <v>2</v>
          </cell>
          <cell r="C129">
            <v>3</v>
          </cell>
          <cell r="D129">
            <v>5</v>
          </cell>
          <cell r="E129">
            <v>2</v>
          </cell>
        </row>
        <row r="130">
          <cell r="A130" t="str">
            <v>B01FS78GPU</v>
          </cell>
          <cell r="B130">
            <v>3</v>
          </cell>
          <cell r="C130">
            <v>1</v>
          </cell>
          <cell r="D130">
            <v>7</v>
          </cell>
          <cell r="E130">
            <v>3</v>
          </cell>
        </row>
        <row r="131">
          <cell r="A131" t="str">
            <v>B01FS78I3A</v>
          </cell>
          <cell r="B131">
            <v>3</v>
          </cell>
          <cell r="C131">
            <v>4</v>
          </cell>
          <cell r="D131">
            <v>7</v>
          </cell>
          <cell r="E131">
            <v>3</v>
          </cell>
        </row>
        <row r="132">
          <cell r="A132" t="str">
            <v>B01FS78IA8</v>
          </cell>
          <cell r="B132">
            <v>28</v>
          </cell>
          <cell r="C132">
            <v>21</v>
          </cell>
          <cell r="D132">
            <v>22</v>
          </cell>
          <cell r="E132">
            <v>22</v>
          </cell>
        </row>
        <row r="133">
          <cell r="A133" t="str">
            <v>B01FS78RKY</v>
          </cell>
          <cell r="B133">
            <v>4</v>
          </cell>
          <cell r="C133">
            <v>3</v>
          </cell>
          <cell r="D133">
            <v>7</v>
          </cell>
          <cell r="E133">
            <v>3</v>
          </cell>
        </row>
        <row r="134">
          <cell r="A134" t="str">
            <v>B01H1X94SC</v>
          </cell>
          <cell r="B134">
            <v>24</v>
          </cell>
          <cell r="C134">
            <v>24</v>
          </cell>
          <cell r="D134">
            <v>31</v>
          </cell>
          <cell r="E134">
            <v>24</v>
          </cell>
        </row>
        <row r="135">
          <cell r="A135" t="str">
            <v>B01H1X9GOY</v>
          </cell>
          <cell r="B135">
            <v>30</v>
          </cell>
          <cell r="C135">
            <v>34</v>
          </cell>
          <cell r="D135">
            <v>34</v>
          </cell>
          <cell r="E135">
            <v>23</v>
          </cell>
        </row>
        <row r="136">
          <cell r="A136" t="str">
            <v>B01H1X9H2K</v>
          </cell>
          <cell r="B136">
            <v>75</v>
          </cell>
          <cell r="C136">
            <v>63</v>
          </cell>
          <cell r="D136">
            <v>63</v>
          </cell>
          <cell r="E136">
            <v>50</v>
          </cell>
        </row>
        <row r="137">
          <cell r="A137" t="str">
            <v>B01H1X9IS8</v>
          </cell>
          <cell r="B137">
            <v>76</v>
          </cell>
          <cell r="C137">
            <v>21</v>
          </cell>
          <cell r="D137">
            <v>19</v>
          </cell>
          <cell r="E137">
            <v>25</v>
          </cell>
        </row>
        <row r="138">
          <cell r="A138" t="str">
            <v>B01H1X9J3W</v>
          </cell>
          <cell r="B138">
            <v>64</v>
          </cell>
          <cell r="C138">
            <v>89</v>
          </cell>
          <cell r="D138">
            <v>131</v>
          </cell>
          <cell r="E138">
            <v>80</v>
          </cell>
        </row>
        <row r="139">
          <cell r="A139" t="str">
            <v>B01H1X9LNA</v>
          </cell>
          <cell r="B139">
            <v>24</v>
          </cell>
          <cell r="C139">
            <v>22</v>
          </cell>
          <cell r="D139">
            <v>24</v>
          </cell>
          <cell r="E139">
            <v>22</v>
          </cell>
        </row>
        <row r="140">
          <cell r="A140" t="str">
            <v>B01H1X9LZS</v>
          </cell>
          <cell r="B140">
            <v>92</v>
          </cell>
          <cell r="C140">
            <v>67</v>
          </cell>
          <cell r="D140">
            <v>94</v>
          </cell>
          <cell r="E140">
            <v>79</v>
          </cell>
        </row>
        <row r="141">
          <cell r="A141" t="str">
            <v>B01H1X9MJI</v>
          </cell>
          <cell r="B141">
            <v>35</v>
          </cell>
          <cell r="C141">
            <v>46</v>
          </cell>
          <cell r="D141">
            <v>45</v>
          </cell>
          <cell r="E141">
            <v>30</v>
          </cell>
        </row>
        <row r="142">
          <cell r="A142" t="str">
            <v>B01H1X9MTS</v>
          </cell>
          <cell r="B142">
            <v>49</v>
          </cell>
          <cell r="C142">
            <v>44</v>
          </cell>
          <cell r="D142">
            <v>45</v>
          </cell>
          <cell r="E142">
            <v>46</v>
          </cell>
        </row>
        <row r="143">
          <cell r="A143" t="str">
            <v>B01H1X9NS8</v>
          </cell>
          <cell r="B143">
            <v>62</v>
          </cell>
          <cell r="C143">
            <v>56</v>
          </cell>
          <cell r="D143">
            <v>64</v>
          </cell>
          <cell r="E143">
            <v>35</v>
          </cell>
        </row>
        <row r="144">
          <cell r="A144" t="str">
            <v>B01H1X9QAI</v>
          </cell>
          <cell r="B144">
            <v>142</v>
          </cell>
          <cell r="C144">
            <v>139</v>
          </cell>
          <cell r="D144">
            <v>85</v>
          </cell>
          <cell r="E144">
            <v>87</v>
          </cell>
        </row>
        <row r="145">
          <cell r="A145" t="str">
            <v>B01HD5WM8C</v>
          </cell>
          <cell r="B145">
            <v>16</v>
          </cell>
          <cell r="C145">
            <v>6</v>
          </cell>
          <cell r="D145">
            <v>5</v>
          </cell>
          <cell r="E145">
            <v>8</v>
          </cell>
        </row>
        <row r="146">
          <cell r="A146" t="str">
            <v>B01HHQ4PSM</v>
          </cell>
          <cell r="B146">
            <v>1</v>
          </cell>
          <cell r="C146">
            <v>0</v>
          </cell>
          <cell r="D146">
            <v>0</v>
          </cell>
          <cell r="E146">
            <v>3</v>
          </cell>
        </row>
        <row r="147">
          <cell r="A147" t="str">
            <v>B01HI25JNK</v>
          </cell>
          <cell r="B147">
            <v>16</v>
          </cell>
          <cell r="C147">
            <v>10</v>
          </cell>
          <cell r="D147">
            <v>12</v>
          </cell>
          <cell r="E147">
            <v>8</v>
          </cell>
        </row>
        <row r="148">
          <cell r="A148" t="str">
            <v>B01J9WXAOW</v>
          </cell>
          <cell r="B148">
            <v>48</v>
          </cell>
          <cell r="C148">
            <v>40</v>
          </cell>
          <cell r="D148">
            <v>26</v>
          </cell>
          <cell r="E148">
            <v>29</v>
          </cell>
        </row>
        <row r="149">
          <cell r="A149" t="str">
            <v>B01JIQOP7K</v>
          </cell>
          <cell r="B149">
            <v>2</v>
          </cell>
          <cell r="C149">
            <v>3</v>
          </cell>
          <cell r="D149">
            <v>6</v>
          </cell>
          <cell r="E149">
            <v>4</v>
          </cell>
        </row>
        <row r="150">
          <cell r="A150" t="str">
            <v>B01JIQOZ6G</v>
          </cell>
          <cell r="B150">
            <v>2</v>
          </cell>
          <cell r="C150">
            <v>5</v>
          </cell>
          <cell r="D150">
            <v>5</v>
          </cell>
          <cell r="E150">
            <v>6</v>
          </cell>
        </row>
        <row r="151">
          <cell r="A151" t="str">
            <v>B01JIVDTL8</v>
          </cell>
          <cell r="B151">
            <v>0</v>
          </cell>
          <cell r="C151">
            <v>0</v>
          </cell>
          <cell r="D151">
            <v>1</v>
          </cell>
          <cell r="E151">
            <v>1</v>
          </cell>
        </row>
        <row r="152">
          <cell r="A152" t="str">
            <v>B01JIVDZ4O</v>
          </cell>
          <cell r="B152">
            <v>2</v>
          </cell>
          <cell r="C152">
            <v>4</v>
          </cell>
          <cell r="D152">
            <v>5</v>
          </cell>
          <cell r="E152">
            <v>3</v>
          </cell>
        </row>
        <row r="153">
          <cell r="A153" t="str">
            <v>B01JIWOFRY</v>
          </cell>
          <cell r="B153">
            <v>1</v>
          </cell>
          <cell r="C153">
            <v>6</v>
          </cell>
          <cell r="D153">
            <v>5</v>
          </cell>
          <cell r="E153">
            <v>5</v>
          </cell>
        </row>
        <row r="154">
          <cell r="A154" t="str">
            <v>B01JIXIBZU</v>
          </cell>
          <cell r="B154">
            <v>4</v>
          </cell>
          <cell r="C154">
            <v>7</v>
          </cell>
          <cell r="D154">
            <v>14</v>
          </cell>
          <cell r="E154">
            <v>5</v>
          </cell>
        </row>
        <row r="155">
          <cell r="A155" t="str">
            <v>B01JIXJ6JU</v>
          </cell>
          <cell r="B155">
            <v>1</v>
          </cell>
          <cell r="C155">
            <v>2</v>
          </cell>
          <cell r="D155">
            <v>6</v>
          </cell>
          <cell r="E155">
            <v>6</v>
          </cell>
        </row>
        <row r="156">
          <cell r="A156" t="str">
            <v>B01JIXJ7AS</v>
          </cell>
          <cell r="B156">
            <v>1</v>
          </cell>
          <cell r="C156">
            <v>6</v>
          </cell>
          <cell r="D156">
            <v>6</v>
          </cell>
          <cell r="E156">
            <v>8</v>
          </cell>
        </row>
        <row r="157">
          <cell r="A157" t="str">
            <v>B01JIXJGGI</v>
          </cell>
          <cell r="B157">
            <v>1</v>
          </cell>
          <cell r="C157">
            <v>5</v>
          </cell>
          <cell r="D157">
            <v>5</v>
          </cell>
          <cell r="E157">
            <v>4</v>
          </cell>
        </row>
        <row r="158">
          <cell r="A158" t="str">
            <v>B01JIXJIHA</v>
          </cell>
          <cell r="B158">
            <v>0</v>
          </cell>
          <cell r="C158">
            <v>0</v>
          </cell>
          <cell r="D158">
            <v>0</v>
          </cell>
          <cell r="E158">
            <v>7</v>
          </cell>
        </row>
        <row r="159">
          <cell r="A159" t="str">
            <v>B01JIXJQ3Q</v>
          </cell>
          <cell r="B159">
            <v>7</v>
          </cell>
          <cell r="C159">
            <v>4</v>
          </cell>
          <cell r="D159">
            <v>7</v>
          </cell>
          <cell r="E159">
            <v>2</v>
          </cell>
        </row>
        <row r="160">
          <cell r="A160" t="str">
            <v>B01JIXJQZY</v>
          </cell>
          <cell r="B160">
            <v>5</v>
          </cell>
          <cell r="C160">
            <v>6</v>
          </cell>
          <cell r="D160">
            <v>6</v>
          </cell>
          <cell r="E160">
            <v>3</v>
          </cell>
        </row>
        <row r="161">
          <cell r="A161" t="str">
            <v>B01JIXJRRQ</v>
          </cell>
          <cell r="B161">
            <v>6</v>
          </cell>
          <cell r="C161">
            <v>8</v>
          </cell>
          <cell r="D161">
            <v>20</v>
          </cell>
          <cell r="E161">
            <v>5</v>
          </cell>
        </row>
        <row r="162">
          <cell r="A162" t="str">
            <v>B01JLWM1S6</v>
          </cell>
          <cell r="B162">
            <v>1</v>
          </cell>
          <cell r="C162">
            <v>3</v>
          </cell>
          <cell r="D162">
            <v>5</v>
          </cell>
          <cell r="E162">
            <v>2</v>
          </cell>
        </row>
        <row r="163">
          <cell r="A163" t="str">
            <v>B01JTZC25C</v>
          </cell>
          <cell r="B163">
            <v>20</v>
          </cell>
          <cell r="C163">
            <v>16</v>
          </cell>
          <cell r="D163">
            <v>16</v>
          </cell>
          <cell r="E163">
            <v>13</v>
          </cell>
        </row>
        <row r="164">
          <cell r="A164" t="str">
            <v>B01JTZJNMM</v>
          </cell>
          <cell r="B164">
            <v>5</v>
          </cell>
          <cell r="C164">
            <v>6</v>
          </cell>
          <cell r="D164">
            <v>8</v>
          </cell>
          <cell r="E164">
            <v>2</v>
          </cell>
        </row>
        <row r="165">
          <cell r="A165" t="str">
            <v>B01M3R3CVA</v>
          </cell>
          <cell r="B165">
            <v>23</v>
          </cell>
          <cell r="C165">
            <v>15</v>
          </cell>
          <cell r="D165">
            <v>15</v>
          </cell>
          <cell r="E165">
            <v>6</v>
          </cell>
        </row>
        <row r="166">
          <cell r="A166" t="str">
            <v>B01MQVZTK6</v>
          </cell>
          <cell r="B166">
            <v>2</v>
          </cell>
          <cell r="C166">
            <v>5</v>
          </cell>
          <cell r="D166">
            <v>7</v>
          </cell>
          <cell r="E166">
            <v>8</v>
          </cell>
        </row>
        <row r="167">
          <cell r="A167" t="str">
            <v>B01MU0MJXX</v>
          </cell>
          <cell r="B167">
            <v>30</v>
          </cell>
          <cell r="C167">
            <v>22</v>
          </cell>
          <cell r="D167">
            <v>14</v>
          </cell>
          <cell r="E167">
            <v>11</v>
          </cell>
        </row>
        <row r="168">
          <cell r="A168" t="str">
            <v>B01MU5D7SA</v>
          </cell>
          <cell r="B168">
            <v>3</v>
          </cell>
          <cell r="C168">
            <v>5</v>
          </cell>
          <cell r="D168">
            <v>4</v>
          </cell>
          <cell r="E168">
            <v>6</v>
          </cell>
        </row>
        <row r="169">
          <cell r="A169" t="str">
            <v>B01MXWAV9T</v>
          </cell>
          <cell r="B169">
            <v>506</v>
          </cell>
          <cell r="C169">
            <v>619</v>
          </cell>
          <cell r="D169">
            <v>19</v>
          </cell>
          <cell r="E169">
            <v>106</v>
          </cell>
        </row>
        <row r="170">
          <cell r="A170" t="str">
            <v>B01MY2YKZD</v>
          </cell>
          <cell r="B170">
            <v>2</v>
          </cell>
          <cell r="C170">
            <v>2</v>
          </cell>
          <cell r="D170">
            <v>3</v>
          </cell>
          <cell r="E170">
            <v>2</v>
          </cell>
        </row>
        <row r="171">
          <cell r="A171" t="str">
            <v>B01MY2YM1G</v>
          </cell>
          <cell r="B171">
            <v>1</v>
          </cell>
          <cell r="C171">
            <v>4</v>
          </cell>
          <cell r="D171">
            <v>2</v>
          </cell>
          <cell r="E171">
            <v>5</v>
          </cell>
        </row>
        <row r="172">
          <cell r="A172" t="str">
            <v>B01MZ4IUXK</v>
          </cell>
          <cell r="B172">
            <v>1</v>
          </cell>
          <cell r="C172">
            <v>4</v>
          </cell>
          <cell r="D172">
            <v>3</v>
          </cell>
          <cell r="E172">
            <v>7</v>
          </cell>
        </row>
        <row r="173">
          <cell r="A173" t="str">
            <v>B01N11KD8V</v>
          </cell>
          <cell r="B173">
            <v>2</v>
          </cell>
          <cell r="C173">
            <v>5</v>
          </cell>
          <cell r="D173">
            <v>4</v>
          </cell>
          <cell r="E173">
            <v>7</v>
          </cell>
        </row>
        <row r="174">
          <cell r="A174" t="str">
            <v>B01N1QHOWE</v>
          </cell>
          <cell r="B174">
            <v>0</v>
          </cell>
          <cell r="C174">
            <v>2</v>
          </cell>
          <cell r="D174">
            <v>2</v>
          </cell>
          <cell r="E174">
            <v>5</v>
          </cell>
        </row>
        <row r="175">
          <cell r="A175" t="str">
            <v>B01N1TCE79</v>
          </cell>
          <cell r="B175">
            <v>1</v>
          </cell>
          <cell r="C175">
            <v>2</v>
          </cell>
          <cell r="D175">
            <v>1</v>
          </cell>
          <cell r="E175">
            <v>2</v>
          </cell>
        </row>
        <row r="176">
          <cell r="A176" t="str">
            <v>B01N5F80GD</v>
          </cell>
          <cell r="B176">
            <v>7</v>
          </cell>
          <cell r="C176">
            <v>8</v>
          </cell>
          <cell r="D176">
            <v>6</v>
          </cell>
          <cell r="E176">
            <v>8</v>
          </cell>
        </row>
        <row r="177">
          <cell r="A177" t="str">
            <v>B01N5K55XV</v>
          </cell>
          <cell r="B177">
            <v>2</v>
          </cell>
          <cell r="C177">
            <v>1</v>
          </cell>
          <cell r="D177">
            <v>2</v>
          </cell>
          <cell r="E177">
            <v>2</v>
          </cell>
        </row>
        <row r="178">
          <cell r="A178" t="str">
            <v>B01N5K66OY</v>
          </cell>
          <cell r="B178">
            <v>1</v>
          </cell>
          <cell r="C178">
            <v>2</v>
          </cell>
          <cell r="D178">
            <v>2</v>
          </cell>
          <cell r="E178">
            <v>2</v>
          </cell>
        </row>
        <row r="179">
          <cell r="A179" t="str">
            <v>B01N5K685I</v>
          </cell>
          <cell r="B179">
            <v>4</v>
          </cell>
          <cell r="C179">
            <v>6</v>
          </cell>
          <cell r="D179">
            <v>2</v>
          </cell>
          <cell r="E179">
            <v>6</v>
          </cell>
        </row>
        <row r="180">
          <cell r="A180" t="str">
            <v>B01N6EZKR8</v>
          </cell>
          <cell r="B180">
            <v>4</v>
          </cell>
          <cell r="C180">
            <v>2</v>
          </cell>
          <cell r="D180">
            <v>2</v>
          </cell>
          <cell r="E180">
            <v>6</v>
          </cell>
        </row>
        <row r="181">
          <cell r="A181" t="str">
            <v>B01N6LLBPH</v>
          </cell>
          <cell r="B181">
            <v>14</v>
          </cell>
          <cell r="C181">
            <v>12</v>
          </cell>
          <cell r="D181">
            <v>12</v>
          </cell>
          <cell r="E181">
            <v>17</v>
          </cell>
        </row>
        <row r="182">
          <cell r="A182" t="str">
            <v>B01N6LLCID</v>
          </cell>
          <cell r="B182">
            <v>4</v>
          </cell>
          <cell r="C182">
            <v>3</v>
          </cell>
          <cell r="D182">
            <v>2</v>
          </cell>
          <cell r="E182">
            <v>3</v>
          </cell>
        </row>
        <row r="183">
          <cell r="A183" t="str">
            <v>B01N7A9Z1L</v>
          </cell>
          <cell r="B183">
            <v>3</v>
          </cell>
          <cell r="C183">
            <v>4</v>
          </cell>
          <cell r="D183">
            <v>1</v>
          </cell>
          <cell r="E183">
            <v>2</v>
          </cell>
        </row>
        <row r="184">
          <cell r="A184" t="str">
            <v>B01N7ENPJR</v>
          </cell>
          <cell r="B184">
            <v>2</v>
          </cell>
          <cell r="C184">
            <v>12</v>
          </cell>
          <cell r="D184">
            <v>2</v>
          </cell>
          <cell r="E184">
            <v>3</v>
          </cell>
        </row>
        <row r="185">
          <cell r="A185" t="str">
            <v>B01NBIQ076</v>
          </cell>
          <cell r="B185">
            <v>657</v>
          </cell>
          <cell r="C185">
            <v>379</v>
          </cell>
          <cell r="D185">
            <v>543</v>
          </cell>
          <cell r="E185">
            <v>265</v>
          </cell>
        </row>
        <row r="186">
          <cell r="A186" t="str">
            <v>B01NBPDI0J</v>
          </cell>
          <cell r="B186">
            <v>16</v>
          </cell>
          <cell r="C186">
            <v>10</v>
          </cell>
          <cell r="D186">
            <v>11</v>
          </cell>
          <cell r="E186">
            <v>19</v>
          </cell>
        </row>
        <row r="187">
          <cell r="A187" t="str">
            <v>B01NCQUN57</v>
          </cell>
          <cell r="B187">
            <v>7</v>
          </cell>
          <cell r="C187">
            <v>7</v>
          </cell>
          <cell r="D187">
            <v>5</v>
          </cell>
          <cell r="E187">
            <v>10</v>
          </cell>
        </row>
        <row r="188">
          <cell r="A188" t="str">
            <v>B01NGTHW1H</v>
          </cell>
          <cell r="B188">
            <v>0</v>
          </cell>
          <cell r="C188">
            <v>0</v>
          </cell>
          <cell r="D188">
            <v>0</v>
          </cell>
          <cell r="E188">
            <v>3</v>
          </cell>
        </row>
        <row r="189">
          <cell r="A189" t="str">
            <v>B01NGTXV1B</v>
          </cell>
          <cell r="B189">
            <v>468</v>
          </cell>
          <cell r="C189">
            <v>627</v>
          </cell>
          <cell r="D189">
            <v>402</v>
          </cell>
          <cell r="E189">
            <v>149</v>
          </cell>
        </row>
        <row r="190">
          <cell r="A190" t="str">
            <v>B01NH0QNOS</v>
          </cell>
          <cell r="B190">
            <v>6</v>
          </cell>
          <cell r="C190">
            <v>5</v>
          </cell>
          <cell r="D190">
            <v>3</v>
          </cell>
          <cell r="E190">
            <v>5</v>
          </cell>
        </row>
        <row r="191">
          <cell r="A191" t="str">
            <v>B06VVVKQGY</v>
          </cell>
          <cell r="B191">
            <v>0</v>
          </cell>
          <cell r="C191">
            <v>1</v>
          </cell>
          <cell r="D191">
            <v>0</v>
          </cell>
          <cell r="E191">
            <v>1</v>
          </cell>
        </row>
        <row r="192">
          <cell r="A192" t="str">
            <v>B06XGC4JMJ</v>
          </cell>
          <cell r="B192">
            <v>4</v>
          </cell>
          <cell r="C192">
            <v>2</v>
          </cell>
          <cell r="D192">
            <v>5</v>
          </cell>
          <cell r="E192">
            <v>1</v>
          </cell>
        </row>
        <row r="193">
          <cell r="A193" t="str">
            <v>B06XWZGBSS</v>
          </cell>
          <cell r="B193">
            <v>30</v>
          </cell>
          <cell r="C193">
            <v>38</v>
          </cell>
          <cell r="D193">
            <v>27</v>
          </cell>
          <cell r="E193">
            <v>17</v>
          </cell>
        </row>
        <row r="194">
          <cell r="A194" t="str">
            <v>B06XX63P51</v>
          </cell>
          <cell r="B194">
            <v>27</v>
          </cell>
          <cell r="C194">
            <v>28</v>
          </cell>
          <cell r="D194">
            <v>22</v>
          </cell>
          <cell r="E194">
            <v>22</v>
          </cell>
        </row>
        <row r="195">
          <cell r="A195" t="str">
            <v>B06XX6W66W</v>
          </cell>
          <cell r="B195">
            <v>67</v>
          </cell>
          <cell r="C195">
            <v>60</v>
          </cell>
          <cell r="D195">
            <v>33</v>
          </cell>
          <cell r="E195">
            <v>23</v>
          </cell>
        </row>
        <row r="196">
          <cell r="A196" t="str">
            <v>B06XXBVWRG</v>
          </cell>
          <cell r="B196">
            <v>127</v>
          </cell>
          <cell r="C196">
            <v>125</v>
          </cell>
          <cell r="D196">
            <v>85</v>
          </cell>
          <cell r="E196">
            <v>67</v>
          </cell>
        </row>
        <row r="197">
          <cell r="A197" t="str">
            <v>B06XXGBRDS</v>
          </cell>
          <cell r="B197">
            <v>54</v>
          </cell>
          <cell r="C197">
            <v>154</v>
          </cell>
          <cell r="D197">
            <v>190</v>
          </cell>
          <cell r="E197">
            <v>144</v>
          </cell>
        </row>
        <row r="198">
          <cell r="A198" t="str">
            <v>B06XXKFJL6</v>
          </cell>
          <cell r="B198">
            <v>0</v>
          </cell>
          <cell r="C198">
            <v>0</v>
          </cell>
          <cell r="D198">
            <v>0</v>
          </cell>
          <cell r="E198">
            <v>5</v>
          </cell>
        </row>
        <row r="199">
          <cell r="A199" t="str">
            <v>B06XYCCH1V</v>
          </cell>
          <cell r="B199">
            <v>42</v>
          </cell>
          <cell r="C199">
            <v>13</v>
          </cell>
          <cell r="D199">
            <v>10</v>
          </cell>
          <cell r="E199">
            <v>76</v>
          </cell>
        </row>
        <row r="200">
          <cell r="A200" t="str">
            <v>B06Y1Z87TL</v>
          </cell>
          <cell r="B200">
            <v>55</v>
          </cell>
          <cell r="C200">
            <v>35</v>
          </cell>
          <cell r="D200">
            <v>12</v>
          </cell>
          <cell r="E200">
            <v>3</v>
          </cell>
        </row>
        <row r="201">
          <cell r="A201" t="str">
            <v>B06Y2FCQ18</v>
          </cell>
          <cell r="B201">
            <v>23</v>
          </cell>
          <cell r="C201">
            <v>31</v>
          </cell>
          <cell r="D201">
            <v>6</v>
          </cell>
          <cell r="E201">
            <v>9</v>
          </cell>
        </row>
        <row r="202">
          <cell r="A202" t="str">
            <v>B06Y3VWWSZ</v>
          </cell>
          <cell r="B202">
            <v>3</v>
          </cell>
          <cell r="C202">
            <v>4</v>
          </cell>
          <cell r="D202">
            <v>2</v>
          </cell>
          <cell r="E202">
            <v>1</v>
          </cell>
        </row>
        <row r="203">
          <cell r="A203" t="str">
            <v>B06Y3WW4P7</v>
          </cell>
          <cell r="B203">
            <v>1</v>
          </cell>
          <cell r="C203">
            <v>2</v>
          </cell>
          <cell r="D203">
            <v>0</v>
          </cell>
          <cell r="E203">
            <v>2</v>
          </cell>
        </row>
        <row r="204">
          <cell r="A204" t="str">
            <v>B06Y47NXM7</v>
          </cell>
          <cell r="B204">
            <v>2</v>
          </cell>
          <cell r="C204">
            <v>5</v>
          </cell>
          <cell r="D204">
            <v>4</v>
          </cell>
          <cell r="E204">
            <v>3</v>
          </cell>
        </row>
        <row r="205">
          <cell r="A205" t="str">
            <v>B06Y47R11C</v>
          </cell>
          <cell r="B205">
            <v>4</v>
          </cell>
          <cell r="C205">
            <v>1</v>
          </cell>
          <cell r="D205">
            <v>3</v>
          </cell>
          <cell r="E205">
            <v>1</v>
          </cell>
        </row>
        <row r="206">
          <cell r="A206" t="str">
            <v>B06Y5DBBRQ</v>
          </cell>
          <cell r="B206">
            <v>2</v>
          </cell>
          <cell r="C206">
            <v>2</v>
          </cell>
          <cell r="D206">
            <v>4</v>
          </cell>
          <cell r="E206">
            <v>1</v>
          </cell>
        </row>
        <row r="207">
          <cell r="A207" t="str">
            <v>B06Y5QY9XG</v>
          </cell>
          <cell r="B207">
            <v>2</v>
          </cell>
          <cell r="C207">
            <v>2</v>
          </cell>
          <cell r="D207">
            <v>4</v>
          </cell>
          <cell r="E207">
            <v>1</v>
          </cell>
        </row>
        <row r="208">
          <cell r="A208" t="str">
            <v>B06Y5SKG6M</v>
          </cell>
          <cell r="B208">
            <v>0</v>
          </cell>
          <cell r="C208">
            <v>0</v>
          </cell>
          <cell r="D208">
            <v>0</v>
          </cell>
          <cell r="E208">
            <v>1</v>
          </cell>
        </row>
        <row r="209">
          <cell r="A209" t="str">
            <v>B06Y5TB89Q</v>
          </cell>
          <cell r="B209">
            <v>0</v>
          </cell>
          <cell r="C209">
            <v>0</v>
          </cell>
          <cell r="D209">
            <v>3</v>
          </cell>
          <cell r="E209">
            <v>6</v>
          </cell>
        </row>
        <row r="210">
          <cell r="A210" t="str">
            <v>B06Y5WTT68</v>
          </cell>
          <cell r="B210">
            <v>4</v>
          </cell>
          <cell r="C210">
            <v>20</v>
          </cell>
          <cell r="D210">
            <v>2</v>
          </cell>
          <cell r="E210">
            <v>4</v>
          </cell>
        </row>
        <row r="211">
          <cell r="A211" t="str">
            <v>B0713QQ11B</v>
          </cell>
          <cell r="B211">
            <v>15</v>
          </cell>
          <cell r="C211">
            <v>22</v>
          </cell>
          <cell r="D211">
            <v>17</v>
          </cell>
          <cell r="E211">
            <v>8</v>
          </cell>
        </row>
        <row r="212">
          <cell r="A212" t="str">
            <v>B07148FBL8</v>
          </cell>
          <cell r="B212">
            <v>265</v>
          </cell>
          <cell r="C212">
            <v>300</v>
          </cell>
          <cell r="D212">
            <v>223</v>
          </cell>
          <cell r="E212">
            <v>278</v>
          </cell>
        </row>
        <row r="213">
          <cell r="A213" t="str">
            <v>B0718W42Y4</v>
          </cell>
          <cell r="B213">
            <v>6</v>
          </cell>
          <cell r="C213">
            <v>9</v>
          </cell>
          <cell r="D213">
            <v>10</v>
          </cell>
          <cell r="E213">
            <v>4</v>
          </cell>
        </row>
        <row r="214">
          <cell r="A214" t="str">
            <v>B0718WW48R</v>
          </cell>
          <cell r="B214">
            <v>47</v>
          </cell>
          <cell r="C214">
            <v>69</v>
          </cell>
          <cell r="D214">
            <v>50</v>
          </cell>
          <cell r="E214">
            <v>27</v>
          </cell>
        </row>
        <row r="215">
          <cell r="A215" t="str">
            <v>B0718Y1XP3</v>
          </cell>
          <cell r="B215">
            <v>10</v>
          </cell>
          <cell r="C215">
            <v>17</v>
          </cell>
          <cell r="D215">
            <v>8</v>
          </cell>
          <cell r="E215">
            <v>9</v>
          </cell>
        </row>
        <row r="216">
          <cell r="A216" t="str">
            <v>B0719C6QGW</v>
          </cell>
          <cell r="B216">
            <v>3</v>
          </cell>
          <cell r="C216">
            <v>4</v>
          </cell>
          <cell r="D216">
            <v>2</v>
          </cell>
          <cell r="E216">
            <v>2</v>
          </cell>
        </row>
        <row r="217">
          <cell r="A217" t="str">
            <v>B071CMK396</v>
          </cell>
          <cell r="B217">
            <v>9</v>
          </cell>
          <cell r="C217">
            <v>7</v>
          </cell>
          <cell r="D217">
            <v>6</v>
          </cell>
          <cell r="E217">
            <v>3</v>
          </cell>
        </row>
        <row r="218">
          <cell r="A218" t="str">
            <v>B071DMDF82</v>
          </cell>
          <cell r="B218">
            <v>3</v>
          </cell>
          <cell r="C218">
            <v>3</v>
          </cell>
          <cell r="D218">
            <v>4</v>
          </cell>
          <cell r="E218">
            <v>5</v>
          </cell>
        </row>
        <row r="219">
          <cell r="A219" t="str">
            <v>B071KBYH7N</v>
          </cell>
          <cell r="B219">
            <v>13</v>
          </cell>
          <cell r="C219">
            <v>9</v>
          </cell>
          <cell r="D219">
            <v>4</v>
          </cell>
          <cell r="E219">
            <v>6</v>
          </cell>
        </row>
        <row r="220">
          <cell r="A220" t="str">
            <v>B071NDLM15</v>
          </cell>
          <cell r="B220">
            <v>3</v>
          </cell>
          <cell r="C220">
            <v>6</v>
          </cell>
          <cell r="D220">
            <v>5</v>
          </cell>
          <cell r="E220">
            <v>2</v>
          </cell>
        </row>
        <row r="221">
          <cell r="A221" t="str">
            <v>B071NGGPFS</v>
          </cell>
          <cell r="B221">
            <v>10</v>
          </cell>
          <cell r="C221">
            <v>14</v>
          </cell>
          <cell r="D221">
            <v>22</v>
          </cell>
          <cell r="E221">
            <v>11</v>
          </cell>
        </row>
        <row r="222">
          <cell r="A222" t="str">
            <v>B071RKG97D</v>
          </cell>
          <cell r="B222">
            <v>2</v>
          </cell>
          <cell r="C222">
            <v>4</v>
          </cell>
          <cell r="D222">
            <v>12</v>
          </cell>
          <cell r="E222">
            <v>3</v>
          </cell>
        </row>
        <row r="223">
          <cell r="A223" t="str">
            <v>B071S1W6MX</v>
          </cell>
          <cell r="B223">
            <v>1</v>
          </cell>
          <cell r="C223">
            <v>4</v>
          </cell>
          <cell r="D223">
            <v>1</v>
          </cell>
          <cell r="E223">
            <v>2</v>
          </cell>
        </row>
        <row r="224">
          <cell r="A224" t="str">
            <v>B071VMQGXB</v>
          </cell>
          <cell r="B224">
            <v>1</v>
          </cell>
          <cell r="C224">
            <v>5</v>
          </cell>
          <cell r="D224">
            <v>0</v>
          </cell>
          <cell r="E224">
            <v>3</v>
          </cell>
        </row>
        <row r="225">
          <cell r="A225" t="str">
            <v>B071YNH8GF</v>
          </cell>
          <cell r="B225">
            <v>14</v>
          </cell>
          <cell r="C225">
            <v>21</v>
          </cell>
          <cell r="D225">
            <v>26</v>
          </cell>
          <cell r="E225">
            <v>17</v>
          </cell>
        </row>
        <row r="226">
          <cell r="A226" t="str">
            <v>B071YNHCL8</v>
          </cell>
          <cell r="B226">
            <v>8</v>
          </cell>
          <cell r="C226">
            <v>11</v>
          </cell>
          <cell r="D226">
            <v>7</v>
          </cell>
          <cell r="E226">
            <v>9</v>
          </cell>
        </row>
        <row r="227">
          <cell r="A227" t="str">
            <v>B0722JM9C8</v>
          </cell>
          <cell r="B227">
            <v>8</v>
          </cell>
          <cell r="C227">
            <v>3</v>
          </cell>
          <cell r="D227">
            <v>17</v>
          </cell>
          <cell r="E227">
            <v>14</v>
          </cell>
        </row>
        <row r="228">
          <cell r="A228" t="str">
            <v>B0722LH1R1</v>
          </cell>
          <cell r="B228">
            <v>3</v>
          </cell>
          <cell r="C228">
            <v>5</v>
          </cell>
          <cell r="D228">
            <v>7</v>
          </cell>
          <cell r="E228">
            <v>6</v>
          </cell>
        </row>
        <row r="229">
          <cell r="A229" t="str">
            <v>B07234VYL2</v>
          </cell>
          <cell r="B229">
            <v>11</v>
          </cell>
          <cell r="C229">
            <v>6</v>
          </cell>
          <cell r="D229">
            <v>5</v>
          </cell>
          <cell r="E229">
            <v>8</v>
          </cell>
        </row>
        <row r="230">
          <cell r="A230" t="str">
            <v>B0727P48K4</v>
          </cell>
          <cell r="B230">
            <v>41</v>
          </cell>
          <cell r="C230">
            <v>39</v>
          </cell>
          <cell r="D230">
            <v>24</v>
          </cell>
          <cell r="E230">
            <v>19</v>
          </cell>
        </row>
        <row r="231">
          <cell r="A231" t="str">
            <v>B0727S2N9C</v>
          </cell>
          <cell r="B231">
            <v>16</v>
          </cell>
          <cell r="C231">
            <v>3</v>
          </cell>
          <cell r="D231">
            <v>19</v>
          </cell>
          <cell r="E231">
            <v>14</v>
          </cell>
        </row>
        <row r="232">
          <cell r="A232" t="str">
            <v>B07284TRTW</v>
          </cell>
          <cell r="B232">
            <v>0</v>
          </cell>
          <cell r="C232">
            <v>0</v>
          </cell>
          <cell r="D232">
            <v>0</v>
          </cell>
          <cell r="E232">
            <v>2</v>
          </cell>
        </row>
        <row r="233">
          <cell r="A233" t="str">
            <v>B072DWNB73</v>
          </cell>
          <cell r="B233">
            <v>11</v>
          </cell>
          <cell r="C233">
            <v>18</v>
          </cell>
          <cell r="D233">
            <v>22</v>
          </cell>
          <cell r="E233">
            <v>9</v>
          </cell>
        </row>
        <row r="234">
          <cell r="A234" t="str">
            <v>B072HHBCK2</v>
          </cell>
          <cell r="B234">
            <v>7</v>
          </cell>
          <cell r="C234">
            <v>17</v>
          </cell>
          <cell r="D234">
            <v>17</v>
          </cell>
          <cell r="E234">
            <v>4</v>
          </cell>
        </row>
        <row r="235">
          <cell r="A235" t="str">
            <v>B072L19WL7</v>
          </cell>
          <cell r="B235">
            <v>1</v>
          </cell>
          <cell r="C235">
            <v>2</v>
          </cell>
          <cell r="D235">
            <v>5</v>
          </cell>
          <cell r="E235">
            <v>2</v>
          </cell>
        </row>
        <row r="236">
          <cell r="A236" t="str">
            <v>B072L1B5LR</v>
          </cell>
          <cell r="B236">
            <v>1</v>
          </cell>
          <cell r="C236">
            <v>1</v>
          </cell>
          <cell r="D236">
            <v>3</v>
          </cell>
          <cell r="E236">
            <v>2</v>
          </cell>
        </row>
        <row r="237">
          <cell r="A237" t="str">
            <v>B072L36CJW</v>
          </cell>
          <cell r="B237">
            <v>4</v>
          </cell>
          <cell r="C237">
            <v>11</v>
          </cell>
          <cell r="D237">
            <v>11</v>
          </cell>
          <cell r="E237">
            <v>8</v>
          </cell>
        </row>
        <row r="238">
          <cell r="A238" t="str">
            <v>B072XFQHM5</v>
          </cell>
          <cell r="B238">
            <v>12</v>
          </cell>
          <cell r="C238">
            <v>7</v>
          </cell>
          <cell r="D238">
            <v>8</v>
          </cell>
          <cell r="E238">
            <v>2</v>
          </cell>
        </row>
        <row r="239">
          <cell r="A239" t="str">
            <v>B072XFTL1N</v>
          </cell>
          <cell r="B239">
            <v>64</v>
          </cell>
          <cell r="C239">
            <v>48</v>
          </cell>
          <cell r="D239">
            <v>46</v>
          </cell>
          <cell r="E239">
            <v>30</v>
          </cell>
        </row>
        <row r="240">
          <cell r="A240" t="str">
            <v>B073QP2NR8</v>
          </cell>
          <cell r="B240">
            <v>12</v>
          </cell>
          <cell r="C240">
            <v>18</v>
          </cell>
          <cell r="D240">
            <v>14</v>
          </cell>
          <cell r="E240">
            <v>7</v>
          </cell>
        </row>
        <row r="241">
          <cell r="A241" t="str">
            <v>B073QP5GLR</v>
          </cell>
          <cell r="B241">
            <v>14</v>
          </cell>
          <cell r="C241">
            <v>13</v>
          </cell>
          <cell r="D241">
            <v>14</v>
          </cell>
          <cell r="E241">
            <v>2</v>
          </cell>
        </row>
        <row r="242">
          <cell r="A242" t="str">
            <v>B073QP8N2J</v>
          </cell>
          <cell r="B242">
            <v>28</v>
          </cell>
          <cell r="C242">
            <v>55</v>
          </cell>
          <cell r="D242">
            <v>31</v>
          </cell>
          <cell r="E242">
            <v>8</v>
          </cell>
        </row>
        <row r="243">
          <cell r="A243" t="str">
            <v>B073QPBC2V</v>
          </cell>
          <cell r="B243">
            <v>16</v>
          </cell>
          <cell r="C243">
            <v>13</v>
          </cell>
          <cell r="D243">
            <v>8</v>
          </cell>
          <cell r="E243">
            <v>5</v>
          </cell>
        </row>
        <row r="244">
          <cell r="A244" t="str">
            <v>B073QPMMCK</v>
          </cell>
          <cell r="B244">
            <v>19</v>
          </cell>
          <cell r="C244">
            <v>23</v>
          </cell>
          <cell r="D244">
            <v>23</v>
          </cell>
          <cell r="E244">
            <v>8</v>
          </cell>
        </row>
        <row r="245">
          <cell r="A245" t="str">
            <v>B073QPRGCH</v>
          </cell>
          <cell r="B245">
            <v>17</v>
          </cell>
          <cell r="C245">
            <v>23</v>
          </cell>
          <cell r="D245">
            <v>16</v>
          </cell>
          <cell r="E245">
            <v>6</v>
          </cell>
        </row>
        <row r="246">
          <cell r="A246" t="str">
            <v>B073R8G5PX</v>
          </cell>
          <cell r="B246">
            <v>11</v>
          </cell>
          <cell r="C246">
            <v>15</v>
          </cell>
          <cell r="D246">
            <v>8</v>
          </cell>
          <cell r="E246">
            <v>7</v>
          </cell>
        </row>
        <row r="247">
          <cell r="A247" t="str">
            <v>B0745B7VHV</v>
          </cell>
          <cell r="B247">
            <v>4</v>
          </cell>
          <cell r="C247">
            <v>2</v>
          </cell>
          <cell r="D247">
            <v>6</v>
          </cell>
          <cell r="E247">
            <v>9</v>
          </cell>
        </row>
        <row r="248">
          <cell r="A248" t="str">
            <v>B0745BHBNH</v>
          </cell>
          <cell r="B248">
            <v>1</v>
          </cell>
          <cell r="C248">
            <v>7</v>
          </cell>
          <cell r="D248">
            <v>6</v>
          </cell>
          <cell r="E248">
            <v>4</v>
          </cell>
        </row>
        <row r="249">
          <cell r="A249" t="str">
            <v>B0745BHDGZ</v>
          </cell>
          <cell r="B249">
            <v>5</v>
          </cell>
          <cell r="C249">
            <v>5</v>
          </cell>
          <cell r="D249">
            <v>3</v>
          </cell>
          <cell r="E249">
            <v>8</v>
          </cell>
        </row>
        <row r="250">
          <cell r="A250" t="str">
            <v>B0745BVQ73</v>
          </cell>
          <cell r="B250">
            <v>5</v>
          </cell>
          <cell r="C250">
            <v>10</v>
          </cell>
          <cell r="D250">
            <v>2</v>
          </cell>
          <cell r="E250">
            <v>6</v>
          </cell>
        </row>
        <row r="251">
          <cell r="A251" t="str">
            <v>B0745BVSDV</v>
          </cell>
          <cell r="B251">
            <v>4</v>
          </cell>
          <cell r="C251">
            <v>5</v>
          </cell>
          <cell r="D251">
            <v>4</v>
          </cell>
          <cell r="E251">
            <v>9</v>
          </cell>
        </row>
        <row r="252">
          <cell r="A252" t="str">
            <v>B0745BY58P</v>
          </cell>
          <cell r="B252">
            <v>10</v>
          </cell>
          <cell r="C252">
            <v>6</v>
          </cell>
          <cell r="D252">
            <v>15</v>
          </cell>
          <cell r="E252">
            <v>8</v>
          </cell>
        </row>
        <row r="253">
          <cell r="A253" t="str">
            <v>B0745BZ2BM</v>
          </cell>
          <cell r="B253">
            <v>4</v>
          </cell>
          <cell r="C253">
            <v>6</v>
          </cell>
          <cell r="D253">
            <v>7</v>
          </cell>
          <cell r="E253">
            <v>8</v>
          </cell>
        </row>
        <row r="254">
          <cell r="A254" t="str">
            <v>B0745C4VZQ</v>
          </cell>
          <cell r="B254">
            <v>5</v>
          </cell>
          <cell r="C254">
            <v>3</v>
          </cell>
          <cell r="D254">
            <v>5</v>
          </cell>
          <cell r="E254">
            <v>12</v>
          </cell>
        </row>
        <row r="255">
          <cell r="A255" t="str">
            <v>B0745CCWQ1</v>
          </cell>
          <cell r="B255">
            <v>6</v>
          </cell>
          <cell r="C255">
            <v>3</v>
          </cell>
          <cell r="D255">
            <v>6</v>
          </cell>
          <cell r="E255">
            <v>3</v>
          </cell>
        </row>
        <row r="256">
          <cell r="A256" t="str">
            <v>B0746HTPDT</v>
          </cell>
          <cell r="B256">
            <v>18</v>
          </cell>
          <cell r="C256">
            <v>16</v>
          </cell>
          <cell r="D256">
            <v>14</v>
          </cell>
          <cell r="E256">
            <v>11</v>
          </cell>
        </row>
        <row r="257">
          <cell r="A257" t="str">
            <v>B0746HWXW9</v>
          </cell>
          <cell r="B257">
            <v>5</v>
          </cell>
          <cell r="C257">
            <v>9</v>
          </cell>
          <cell r="D257">
            <v>3</v>
          </cell>
          <cell r="E257">
            <v>4</v>
          </cell>
        </row>
        <row r="258">
          <cell r="A258" t="str">
            <v>B0746J3Z2M</v>
          </cell>
          <cell r="B258">
            <v>4</v>
          </cell>
          <cell r="C258">
            <v>5</v>
          </cell>
          <cell r="D258">
            <v>5</v>
          </cell>
          <cell r="E258">
            <v>5</v>
          </cell>
        </row>
        <row r="259">
          <cell r="A259" t="str">
            <v>B0746J9RTZ</v>
          </cell>
          <cell r="B259">
            <v>9</v>
          </cell>
          <cell r="C259">
            <v>10</v>
          </cell>
          <cell r="D259">
            <v>11</v>
          </cell>
          <cell r="E259">
            <v>15</v>
          </cell>
        </row>
        <row r="260">
          <cell r="A260" t="str">
            <v>B0746JC58W</v>
          </cell>
          <cell r="B260">
            <v>11</v>
          </cell>
          <cell r="C260">
            <v>9</v>
          </cell>
          <cell r="D260">
            <v>7</v>
          </cell>
          <cell r="E260">
            <v>7</v>
          </cell>
        </row>
        <row r="261">
          <cell r="A261" t="str">
            <v>B0746JDTRV</v>
          </cell>
          <cell r="B261">
            <v>7</v>
          </cell>
          <cell r="C261">
            <v>6</v>
          </cell>
          <cell r="D261">
            <v>3</v>
          </cell>
          <cell r="E261">
            <v>2</v>
          </cell>
        </row>
        <row r="262">
          <cell r="A262" t="str">
            <v>B0746JHCMC</v>
          </cell>
          <cell r="B262">
            <v>6</v>
          </cell>
          <cell r="C262">
            <v>6</v>
          </cell>
          <cell r="D262">
            <v>5</v>
          </cell>
          <cell r="E262">
            <v>3</v>
          </cell>
        </row>
        <row r="263">
          <cell r="A263" t="str">
            <v>B0746JJJK4</v>
          </cell>
          <cell r="B263">
            <v>5</v>
          </cell>
          <cell r="C263">
            <v>6</v>
          </cell>
          <cell r="D263">
            <v>6</v>
          </cell>
          <cell r="E263">
            <v>2</v>
          </cell>
        </row>
        <row r="264">
          <cell r="A264" t="str">
            <v>B0746JKPG1</v>
          </cell>
          <cell r="B264">
            <v>13</v>
          </cell>
          <cell r="C264">
            <v>5</v>
          </cell>
          <cell r="D264">
            <v>5</v>
          </cell>
          <cell r="E264">
            <v>4</v>
          </cell>
        </row>
        <row r="265">
          <cell r="A265" t="str">
            <v>B0746JNMF8</v>
          </cell>
          <cell r="B265">
            <v>13</v>
          </cell>
          <cell r="C265">
            <v>11</v>
          </cell>
          <cell r="D265">
            <v>7</v>
          </cell>
          <cell r="E265">
            <v>5</v>
          </cell>
        </row>
        <row r="266">
          <cell r="A266" t="str">
            <v>B0746JPNZJ</v>
          </cell>
          <cell r="B266">
            <v>31</v>
          </cell>
          <cell r="C266">
            <v>18</v>
          </cell>
          <cell r="D266">
            <v>16</v>
          </cell>
          <cell r="E266">
            <v>16</v>
          </cell>
        </row>
        <row r="267">
          <cell r="A267" t="str">
            <v>B0746JQ2MS</v>
          </cell>
          <cell r="B267">
            <v>14</v>
          </cell>
          <cell r="C267">
            <v>17</v>
          </cell>
          <cell r="D267">
            <v>7</v>
          </cell>
          <cell r="E267">
            <v>7</v>
          </cell>
        </row>
        <row r="268">
          <cell r="A268" t="str">
            <v>B0746JYN2R</v>
          </cell>
          <cell r="B268">
            <v>13</v>
          </cell>
          <cell r="C268">
            <v>9</v>
          </cell>
          <cell r="D268">
            <v>13</v>
          </cell>
          <cell r="E268">
            <v>1</v>
          </cell>
        </row>
        <row r="269">
          <cell r="A269" t="str">
            <v>B0746KC71K</v>
          </cell>
          <cell r="B269">
            <v>7</v>
          </cell>
          <cell r="C269">
            <v>5</v>
          </cell>
          <cell r="D269">
            <v>2</v>
          </cell>
          <cell r="E269">
            <v>2</v>
          </cell>
        </row>
        <row r="270">
          <cell r="A270" t="str">
            <v>B0747JGPQB</v>
          </cell>
          <cell r="B270">
            <v>11</v>
          </cell>
          <cell r="C270">
            <v>9</v>
          </cell>
          <cell r="D270">
            <v>9</v>
          </cell>
          <cell r="E270">
            <v>2</v>
          </cell>
        </row>
        <row r="271">
          <cell r="A271" t="str">
            <v>B0747JGPQG</v>
          </cell>
          <cell r="B271">
            <v>16</v>
          </cell>
          <cell r="C271">
            <v>13</v>
          </cell>
          <cell r="D271">
            <v>12</v>
          </cell>
          <cell r="E271">
            <v>8</v>
          </cell>
        </row>
        <row r="272">
          <cell r="A272" t="str">
            <v>B0747JKFNG</v>
          </cell>
          <cell r="B272">
            <v>12</v>
          </cell>
          <cell r="C272">
            <v>26</v>
          </cell>
          <cell r="D272">
            <v>25</v>
          </cell>
          <cell r="E272">
            <v>15</v>
          </cell>
        </row>
        <row r="273">
          <cell r="A273" t="str">
            <v>B0747KXTTW</v>
          </cell>
          <cell r="B273">
            <v>23</v>
          </cell>
          <cell r="C273">
            <v>41</v>
          </cell>
          <cell r="D273">
            <v>14</v>
          </cell>
          <cell r="E273">
            <v>3</v>
          </cell>
        </row>
        <row r="274">
          <cell r="A274" t="str">
            <v>B0747L4P7Z</v>
          </cell>
          <cell r="B274">
            <v>21</v>
          </cell>
          <cell r="C274">
            <v>20</v>
          </cell>
          <cell r="D274">
            <v>21</v>
          </cell>
          <cell r="E274">
            <v>4</v>
          </cell>
        </row>
        <row r="275">
          <cell r="A275" t="str">
            <v>B0747N1T3J</v>
          </cell>
          <cell r="B275">
            <v>3</v>
          </cell>
          <cell r="C275">
            <v>7</v>
          </cell>
          <cell r="D275">
            <v>6</v>
          </cell>
          <cell r="E275">
            <v>2</v>
          </cell>
        </row>
        <row r="276">
          <cell r="A276" t="str">
            <v>B0747N5YGY</v>
          </cell>
          <cell r="B276">
            <v>2</v>
          </cell>
          <cell r="C276">
            <v>0</v>
          </cell>
          <cell r="D276">
            <v>6</v>
          </cell>
          <cell r="E276">
            <v>5</v>
          </cell>
        </row>
        <row r="277">
          <cell r="A277" t="str">
            <v>B0747NFJMX</v>
          </cell>
          <cell r="B277">
            <v>13</v>
          </cell>
          <cell r="C277">
            <v>5</v>
          </cell>
          <cell r="D277">
            <v>6</v>
          </cell>
          <cell r="E277">
            <v>4</v>
          </cell>
        </row>
        <row r="278">
          <cell r="A278" t="str">
            <v>B0748CMBS7</v>
          </cell>
          <cell r="B278">
            <v>10</v>
          </cell>
          <cell r="C278">
            <v>0</v>
          </cell>
          <cell r="D278">
            <v>3</v>
          </cell>
          <cell r="E278">
            <v>6</v>
          </cell>
        </row>
        <row r="279">
          <cell r="A279" t="str">
            <v>B0748DH3DB</v>
          </cell>
          <cell r="B279">
            <v>18</v>
          </cell>
          <cell r="C279">
            <v>17</v>
          </cell>
          <cell r="D279">
            <v>10</v>
          </cell>
          <cell r="E279">
            <v>7</v>
          </cell>
        </row>
        <row r="280">
          <cell r="A280" t="str">
            <v>B074J9LJHF</v>
          </cell>
          <cell r="B280">
            <v>1</v>
          </cell>
          <cell r="C280">
            <v>2</v>
          </cell>
          <cell r="D280">
            <v>5</v>
          </cell>
          <cell r="E280">
            <v>2</v>
          </cell>
        </row>
        <row r="281">
          <cell r="A281" t="str">
            <v>B074JBM8J1</v>
          </cell>
          <cell r="B281">
            <v>3</v>
          </cell>
          <cell r="C281">
            <v>2</v>
          </cell>
          <cell r="D281">
            <v>7</v>
          </cell>
          <cell r="E281">
            <v>2</v>
          </cell>
        </row>
        <row r="282">
          <cell r="A282" t="str">
            <v>B074JDBJFN</v>
          </cell>
          <cell r="B282">
            <v>3</v>
          </cell>
          <cell r="C282">
            <v>3</v>
          </cell>
          <cell r="D282">
            <v>5</v>
          </cell>
          <cell r="E282">
            <v>3</v>
          </cell>
        </row>
        <row r="283">
          <cell r="A283" t="str">
            <v>B074KDD9P4</v>
          </cell>
          <cell r="B283">
            <v>89</v>
          </cell>
          <cell r="C283">
            <v>65</v>
          </cell>
          <cell r="D283">
            <v>43</v>
          </cell>
          <cell r="E283">
            <v>17</v>
          </cell>
        </row>
        <row r="284">
          <cell r="A284" t="str">
            <v>B074KDF6TV</v>
          </cell>
          <cell r="B284">
            <v>21</v>
          </cell>
          <cell r="C284">
            <v>18</v>
          </cell>
          <cell r="D284">
            <v>21</v>
          </cell>
          <cell r="E284">
            <v>8</v>
          </cell>
        </row>
        <row r="285">
          <cell r="A285" t="str">
            <v>B074PKRJP6</v>
          </cell>
          <cell r="B285">
            <v>13</v>
          </cell>
          <cell r="C285">
            <v>10</v>
          </cell>
          <cell r="D285">
            <v>16</v>
          </cell>
          <cell r="E285">
            <v>9</v>
          </cell>
        </row>
        <row r="286">
          <cell r="A286" t="str">
            <v>B074PL1QFY</v>
          </cell>
          <cell r="B286">
            <v>13</v>
          </cell>
          <cell r="C286">
            <v>13</v>
          </cell>
          <cell r="D286">
            <v>16</v>
          </cell>
          <cell r="E286">
            <v>12</v>
          </cell>
        </row>
        <row r="287">
          <cell r="A287" t="str">
            <v>B074PL73NX</v>
          </cell>
          <cell r="B287">
            <v>25</v>
          </cell>
          <cell r="C287">
            <v>29</v>
          </cell>
          <cell r="D287">
            <v>44</v>
          </cell>
          <cell r="E287">
            <v>17</v>
          </cell>
        </row>
        <row r="288">
          <cell r="A288" t="str">
            <v>B074PL8264</v>
          </cell>
          <cell r="B288">
            <v>22</v>
          </cell>
          <cell r="C288">
            <v>23</v>
          </cell>
          <cell r="D288">
            <v>30</v>
          </cell>
          <cell r="E288">
            <v>14</v>
          </cell>
        </row>
        <row r="289">
          <cell r="A289" t="str">
            <v>B074PLCZ8Z</v>
          </cell>
          <cell r="B289">
            <v>15</v>
          </cell>
          <cell r="C289">
            <v>19</v>
          </cell>
          <cell r="D289">
            <v>21</v>
          </cell>
          <cell r="E289">
            <v>18</v>
          </cell>
        </row>
        <row r="290">
          <cell r="A290" t="str">
            <v>B074PLDC18</v>
          </cell>
          <cell r="B290">
            <v>41</v>
          </cell>
          <cell r="C290">
            <v>69</v>
          </cell>
          <cell r="D290">
            <v>76</v>
          </cell>
          <cell r="E290">
            <v>50</v>
          </cell>
        </row>
        <row r="291">
          <cell r="A291" t="str">
            <v>B074PLW9HM</v>
          </cell>
          <cell r="B291">
            <v>21</v>
          </cell>
          <cell r="C291">
            <v>17</v>
          </cell>
          <cell r="D291">
            <v>22</v>
          </cell>
          <cell r="E291">
            <v>14</v>
          </cell>
        </row>
        <row r="292">
          <cell r="A292" t="str">
            <v>B074PM11B6</v>
          </cell>
          <cell r="B292">
            <v>26</v>
          </cell>
          <cell r="C292">
            <v>47</v>
          </cell>
          <cell r="D292">
            <v>43</v>
          </cell>
          <cell r="E292">
            <v>31</v>
          </cell>
        </row>
        <row r="293">
          <cell r="A293" t="str">
            <v>B074SJ3FPV</v>
          </cell>
          <cell r="B293">
            <v>4</v>
          </cell>
          <cell r="C293">
            <v>4</v>
          </cell>
          <cell r="D293">
            <v>3</v>
          </cell>
          <cell r="E293">
            <v>1</v>
          </cell>
        </row>
        <row r="294">
          <cell r="A294" t="str">
            <v>B074SJS9D2</v>
          </cell>
          <cell r="B294">
            <v>11</v>
          </cell>
          <cell r="C294">
            <v>10</v>
          </cell>
          <cell r="D294">
            <v>5</v>
          </cell>
          <cell r="E294">
            <v>7</v>
          </cell>
        </row>
        <row r="295">
          <cell r="A295" t="str">
            <v>B074V4W4MJ</v>
          </cell>
          <cell r="B295">
            <v>564</v>
          </cell>
          <cell r="C295">
            <v>655</v>
          </cell>
          <cell r="D295">
            <v>3466</v>
          </cell>
          <cell r="E295">
            <v>426</v>
          </cell>
        </row>
        <row r="296">
          <cell r="A296" t="str">
            <v>B074W13L99</v>
          </cell>
          <cell r="B296">
            <v>1</v>
          </cell>
          <cell r="C296">
            <v>5</v>
          </cell>
          <cell r="D296">
            <v>2</v>
          </cell>
          <cell r="E296">
            <v>2</v>
          </cell>
        </row>
        <row r="297">
          <cell r="A297" t="str">
            <v>B074W1JXQW</v>
          </cell>
          <cell r="B297">
            <v>2</v>
          </cell>
          <cell r="C297">
            <v>6</v>
          </cell>
          <cell r="D297">
            <v>1</v>
          </cell>
          <cell r="E297">
            <v>4</v>
          </cell>
        </row>
        <row r="298">
          <cell r="A298" t="str">
            <v>B074W2S5BX</v>
          </cell>
          <cell r="B298">
            <v>1</v>
          </cell>
          <cell r="C298">
            <v>4</v>
          </cell>
          <cell r="D298">
            <v>2</v>
          </cell>
          <cell r="E298">
            <v>3</v>
          </cell>
        </row>
        <row r="299">
          <cell r="A299" t="str">
            <v>B074W3PDMT</v>
          </cell>
          <cell r="B299">
            <v>1</v>
          </cell>
          <cell r="C299">
            <v>6</v>
          </cell>
          <cell r="D299">
            <v>2</v>
          </cell>
          <cell r="E299">
            <v>2</v>
          </cell>
        </row>
        <row r="300">
          <cell r="A300" t="str">
            <v>B074W525HZ</v>
          </cell>
          <cell r="B300">
            <v>2</v>
          </cell>
          <cell r="C300">
            <v>6</v>
          </cell>
          <cell r="D300">
            <v>6</v>
          </cell>
          <cell r="E300">
            <v>2</v>
          </cell>
        </row>
        <row r="301">
          <cell r="A301" t="str">
            <v>B074W5TPJ2</v>
          </cell>
          <cell r="B301">
            <v>2</v>
          </cell>
          <cell r="C301">
            <v>4</v>
          </cell>
          <cell r="D301">
            <v>7</v>
          </cell>
          <cell r="E301">
            <v>4</v>
          </cell>
        </row>
        <row r="302">
          <cell r="A302" t="str">
            <v>B074W6RWL6</v>
          </cell>
          <cell r="B302">
            <v>3</v>
          </cell>
          <cell r="C302">
            <v>9</v>
          </cell>
          <cell r="D302">
            <v>4</v>
          </cell>
          <cell r="E302">
            <v>3</v>
          </cell>
        </row>
        <row r="303">
          <cell r="A303" t="str">
            <v>B074W79F2H</v>
          </cell>
          <cell r="B303">
            <v>19</v>
          </cell>
          <cell r="C303">
            <v>7</v>
          </cell>
          <cell r="D303">
            <v>3</v>
          </cell>
          <cell r="E303">
            <v>1</v>
          </cell>
        </row>
        <row r="304">
          <cell r="A304" t="str">
            <v>B0756CHGKN</v>
          </cell>
          <cell r="B304">
            <v>2</v>
          </cell>
          <cell r="C304">
            <v>2</v>
          </cell>
          <cell r="D304">
            <v>2</v>
          </cell>
          <cell r="E304">
            <v>2</v>
          </cell>
        </row>
        <row r="305">
          <cell r="A305" t="str">
            <v>B0756F238Y</v>
          </cell>
          <cell r="B305">
            <v>2</v>
          </cell>
          <cell r="C305">
            <v>0</v>
          </cell>
          <cell r="D305">
            <v>0</v>
          </cell>
          <cell r="E305">
            <v>1</v>
          </cell>
        </row>
        <row r="306">
          <cell r="A306" t="str">
            <v>B075CJ14DX</v>
          </cell>
          <cell r="B306">
            <v>0</v>
          </cell>
          <cell r="C306">
            <v>2</v>
          </cell>
          <cell r="D306">
            <v>1</v>
          </cell>
          <cell r="E306">
            <v>2</v>
          </cell>
        </row>
        <row r="307">
          <cell r="A307" t="str">
            <v>B075CJ26XY</v>
          </cell>
          <cell r="B307">
            <v>0</v>
          </cell>
          <cell r="C307">
            <v>2</v>
          </cell>
          <cell r="D307">
            <v>1</v>
          </cell>
          <cell r="E307">
            <v>2</v>
          </cell>
        </row>
        <row r="308">
          <cell r="A308" t="str">
            <v>B075CLLVBH</v>
          </cell>
          <cell r="B308">
            <v>0</v>
          </cell>
          <cell r="C308">
            <v>2</v>
          </cell>
          <cell r="D308">
            <v>1</v>
          </cell>
          <cell r="E308">
            <v>3</v>
          </cell>
        </row>
        <row r="309">
          <cell r="A309" t="str">
            <v>B075CLNS1L</v>
          </cell>
          <cell r="B309">
            <v>0</v>
          </cell>
          <cell r="C309">
            <v>2</v>
          </cell>
          <cell r="D309">
            <v>2</v>
          </cell>
          <cell r="E309">
            <v>3</v>
          </cell>
        </row>
        <row r="310">
          <cell r="A310" t="str">
            <v>B075CM2SDV</v>
          </cell>
          <cell r="B310">
            <v>0</v>
          </cell>
          <cell r="C310">
            <v>2</v>
          </cell>
          <cell r="D310">
            <v>1</v>
          </cell>
          <cell r="E310">
            <v>4</v>
          </cell>
        </row>
        <row r="311">
          <cell r="A311" t="str">
            <v>B075CM6XZ8</v>
          </cell>
          <cell r="B311">
            <v>0</v>
          </cell>
          <cell r="C311">
            <v>2</v>
          </cell>
          <cell r="D311">
            <v>1</v>
          </cell>
          <cell r="E311">
            <v>6</v>
          </cell>
        </row>
        <row r="312">
          <cell r="A312" t="str">
            <v>B075CM9YGG</v>
          </cell>
          <cell r="B312">
            <v>1</v>
          </cell>
          <cell r="C312">
            <v>2</v>
          </cell>
          <cell r="D312">
            <v>1</v>
          </cell>
          <cell r="E312">
            <v>4</v>
          </cell>
        </row>
        <row r="313">
          <cell r="A313" t="str">
            <v>B075CMBYLG</v>
          </cell>
          <cell r="B313">
            <v>2</v>
          </cell>
          <cell r="C313">
            <v>2</v>
          </cell>
          <cell r="D313">
            <v>1</v>
          </cell>
          <cell r="E313">
            <v>2</v>
          </cell>
        </row>
        <row r="314">
          <cell r="A314" t="str">
            <v>B075CMT47H</v>
          </cell>
          <cell r="B314">
            <v>0</v>
          </cell>
          <cell r="C314">
            <v>4</v>
          </cell>
          <cell r="D314">
            <v>1</v>
          </cell>
          <cell r="E314">
            <v>4</v>
          </cell>
        </row>
        <row r="315">
          <cell r="A315" t="str">
            <v>B075CMX27Q</v>
          </cell>
          <cell r="B315">
            <v>1</v>
          </cell>
          <cell r="C315">
            <v>2</v>
          </cell>
          <cell r="D315">
            <v>2</v>
          </cell>
          <cell r="E315">
            <v>3</v>
          </cell>
        </row>
        <row r="316">
          <cell r="A316" t="str">
            <v>B075CMX72N</v>
          </cell>
          <cell r="B316">
            <v>1</v>
          </cell>
          <cell r="C316">
            <v>4</v>
          </cell>
          <cell r="D316">
            <v>2</v>
          </cell>
          <cell r="E316">
            <v>1</v>
          </cell>
        </row>
        <row r="317">
          <cell r="A317" t="str">
            <v>B075CMYF9H</v>
          </cell>
          <cell r="B317">
            <v>1</v>
          </cell>
          <cell r="C317">
            <v>2</v>
          </cell>
          <cell r="D317">
            <v>5</v>
          </cell>
          <cell r="E317">
            <v>3</v>
          </cell>
        </row>
        <row r="318">
          <cell r="A318" t="str">
            <v>B075CMYF9L</v>
          </cell>
          <cell r="B318">
            <v>4</v>
          </cell>
          <cell r="C318">
            <v>1</v>
          </cell>
          <cell r="D318">
            <v>4</v>
          </cell>
          <cell r="E318">
            <v>2</v>
          </cell>
        </row>
        <row r="319">
          <cell r="A319" t="str">
            <v>B075CMZTNT</v>
          </cell>
          <cell r="B319">
            <v>1</v>
          </cell>
          <cell r="C319">
            <v>1</v>
          </cell>
          <cell r="D319">
            <v>2</v>
          </cell>
          <cell r="E319">
            <v>2</v>
          </cell>
        </row>
        <row r="320">
          <cell r="A320" t="str">
            <v>B075CN3GW6</v>
          </cell>
          <cell r="B320">
            <v>1</v>
          </cell>
          <cell r="C320">
            <v>1</v>
          </cell>
          <cell r="D320">
            <v>3</v>
          </cell>
          <cell r="E320">
            <v>3</v>
          </cell>
        </row>
        <row r="321">
          <cell r="A321" t="str">
            <v>B075CN4GC6</v>
          </cell>
          <cell r="B321">
            <v>0</v>
          </cell>
          <cell r="C321">
            <v>0</v>
          </cell>
          <cell r="D321">
            <v>3</v>
          </cell>
          <cell r="E321">
            <v>3</v>
          </cell>
        </row>
        <row r="322">
          <cell r="A322" t="str">
            <v>B075CN5BTC</v>
          </cell>
          <cell r="B322">
            <v>1</v>
          </cell>
          <cell r="C322">
            <v>0</v>
          </cell>
          <cell r="D322">
            <v>2</v>
          </cell>
          <cell r="E322">
            <v>3</v>
          </cell>
        </row>
        <row r="323">
          <cell r="A323" t="str">
            <v>B075CN5CQM</v>
          </cell>
          <cell r="B323">
            <v>1</v>
          </cell>
          <cell r="C323">
            <v>1</v>
          </cell>
          <cell r="D323">
            <v>2</v>
          </cell>
          <cell r="E323">
            <v>2</v>
          </cell>
        </row>
        <row r="324">
          <cell r="A324" t="str">
            <v>B075CN5LX4</v>
          </cell>
          <cell r="B324">
            <v>0</v>
          </cell>
          <cell r="C324">
            <v>1</v>
          </cell>
          <cell r="D324">
            <v>2</v>
          </cell>
          <cell r="E324">
            <v>2</v>
          </cell>
        </row>
        <row r="325">
          <cell r="A325" t="str">
            <v>B075CN5Y4M</v>
          </cell>
          <cell r="B325">
            <v>2</v>
          </cell>
          <cell r="C325">
            <v>2</v>
          </cell>
          <cell r="D325">
            <v>3</v>
          </cell>
          <cell r="E325">
            <v>3</v>
          </cell>
        </row>
        <row r="326">
          <cell r="A326" t="str">
            <v>B075CNC9Y3</v>
          </cell>
          <cell r="B326">
            <v>2</v>
          </cell>
          <cell r="C326">
            <v>3</v>
          </cell>
          <cell r="D326">
            <v>1</v>
          </cell>
          <cell r="E326">
            <v>3</v>
          </cell>
        </row>
        <row r="327">
          <cell r="A327" t="str">
            <v>B075CNDLKZ</v>
          </cell>
          <cell r="B327">
            <v>1</v>
          </cell>
          <cell r="C327">
            <v>3</v>
          </cell>
          <cell r="D327">
            <v>1</v>
          </cell>
          <cell r="E327">
            <v>3</v>
          </cell>
        </row>
        <row r="328">
          <cell r="A328" t="str">
            <v>B075CNDM2J</v>
          </cell>
          <cell r="B328">
            <v>1</v>
          </cell>
          <cell r="C328">
            <v>3</v>
          </cell>
          <cell r="D328">
            <v>1</v>
          </cell>
          <cell r="E328">
            <v>3</v>
          </cell>
        </row>
        <row r="329">
          <cell r="A329" t="str">
            <v>B075CNH519</v>
          </cell>
          <cell r="B329">
            <v>1</v>
          </cell>
          <cell r="C329">
            <v>1</v>
          </cell>
          <cell r="D329">
            <v>0</v>
          </cell>
          <cell r="E329">
            <v>2</v>
          </cell>
        </row>
        <row r="330">
          <cell r="A330" t="str">
            <v>B075CNJ8RC</v>
          </cell>
          <cell r="B330">
            <v>1</v>
          </cell>
          <cell r="C330">
            <v>4</v>
          </cell>
          <cell r="D330">
            <v>1</v>
          </cell>
          <cell r="E330">
            <v>2</v>
          </cell>
        </row>
        <row r="331">
          <cell r="A331" t="str">
            <v>B075CNLHM6</v>
          </cell>
          <cell r="B331">
            <v>1</v>
          </cell>
          <cell r="C331">
            <v>3</v>
          </cell>
          <cell r="D331">
            <v>0</v>
          </cell>
          <cell r="E331">
            <v>1</v>
          </cell>
        </row>
        <row r="332">
          <cell r="A332" t="str">
            <v>B075CNRVLR</v>
          </cell>
          <cell r="B332">
            <v>2</v>
          </cell>
          <cell r="C332">
            <v>2</v>
          </cell>
          <cell r="D332">
            <v>2</v>
          </cell>
          <cell r="E332">
            <v>1</v>
          </cell>
        </row>
        <row r="333">
          <cell r="A333" t="str">
            <v>B075CNRVWL</v>
          </cell>
          <cell r="B333">
            <v>2</v>
          </cell>
          <cell r="C333">
            <v>3</v>
          </cell>
          <cell r="D333">
            <v>1</v>
          </cell>
          <cell r="E333">
            <v>2</v>
          </cell>
        </row>
        <row r="334">
          <cell r="A334" t="str">
            <v>B075CNTLTN</v>
          </cell>
          <cell r="B334">
            <v>4</v>
          </cell>
          <cell r="C334">
            <v>4</v>
          </cell>
          <cell r="D334">
            <v>0</v>
          </cell>
          <cell r="E334">
            <v>4</v>
          </cell>
        </row>
        <row r="335">
          <cell r="A335" t="str">
            <v>B075CNX4Q9</v>
          </cell>
          <cell r="B335">
            <v>1</v>
          </cell>
          <cell r="C335">
            <v>4</v>
          </cell>
          <cell r="D335">
            <v>0</v>
          </cell>
          <cell r="E335">
            <v>3</v>
          </cell>
        </row>
        <row r="336">
          <cell r="A336" t="str">
            <v>B075CNY3N4</v>
          </cell>
          <cell r="B336">
            <v>2</v>
          </cell>
          <cell r="C336">
            <v>5</v>
          </cell>
          <cell r="D336">
            <v>1</v>
          </cell>
          <cell r="E336">
            <v>2</v>
          </cell>
        </row>
        <row r="337">
          <cell r="A337" t="str">
            <v>B075D6HKH7</v>
          </cell>
          <cell r="B337">
            <v>0</v>
          </cell>
          <cell r="C337">
            <v>0</v>
          </cell>
          <cell r="D337">
            <v>0</v>
          </cell>
          <cell r="E337">
            <v>1</v>
          </cell>
        </row>
        <row r="338">
          <cell r="A338" t="str">
            <v>B075DCZ5D1</v>
          </cell>
          <cell r="B338">
            <v>0</v>
          </cell>
          <cell r="C338">
            <v>0</v>
          </cell>
          <cell r="D338">
            <v>0</v>
          </cell>
          <cell r="E338">
            <v>1</v>
          </cell>
        </row>
        <row r="339">
          <cell r="A339" t="str">
            <v>B075J7NJV2</v>
          </cell>
          <cell r="B339">
            <v>557</v>
          </cell>
          <cell r="C339">
            <v>855</v>
          </cell>
          <cell r="D339">
            <v>1652</v>
          </cell>
          <cell r="E339">
            <v>568</v>
          </cell>
        </row>
        <row r="340">
          <cell r="A340" t="str">
            <v>B075J94VLL</v>
          </cell>
          <cell r="B340">
            <v>747</v>
          </cell>
          <cell r="C340">
            <v>976</v>
          </cell>
          <cell r="D340">
            <v>1666</v>
          </cell>
          <cell r="E340">
            <v>597</v>
          </cell>
        </row>
        <row r="341">
          <cell r="A341" t="str">
            <v>B075QF56L3</v>
          </cell>
          <cell r="B341">
            <v>0</v>
          </cell>
          <cell r="C341">
            <v>0</v>
          </cell>
          <cell r="D341">
            <v>0</v>
          </cell>
          <cell r="E341">
            <v>1</v>
          </cell>
        </row>
        <row r="342">
          <cell r="A342" t="str">
            <v>B075QFMG4P</v>
          </cell>
          <cell r="B342">
            <v>0</v>
          </cell>
          <cell r="C342">
            <v>0</v>
          </cell>
          <cell r="D342">
            <v>0</v>
          </cell>
          <cell r="E342">
            <v>1</v>
          </cell>
        </row>
        <row r="343">
          <cell r="A343" t="str">
            <v>B075QFP51N</v>
          </cell>
          <cell r="B343">
            <v>0</v>
          </cell>
          <cell r="C343">
            <v>0</v>
          </cell>
          <cell r="D343">
            <v>0</v>
          </cell>
          <cell r="E343">
            <v>1</v>
          </cell>
        </row>
        <row r="344">
          <cell r="A344" t="str">
            <v>B075QG33T1</v>
          </cell>
          <cell r="B344">
            <v>0</v>
          </cell>
          <cell r="C344">
            <v>0</v>
          </cell>
          <cell r="D344">
            <v>0</v>
          </cell>
          <cell r="E344">
            <v>1</v>
          </cell>
        </row>
        <row r="345">
          <cell r="A345" t="str">
            <v>B075R4RWDL</v>
          </cell>
          <cell r="B345">
            <v>0</v>
          </cell>
          <cell r="C345">
            <v>0</v>
          </cell>
          <cell r="D345">
            <v>0</v>
          </cell>
          <cell r="E345">
            <v>9</v>
          </cell>
        </row>
        <row r="346">
          <cell r="A346" t="str">
            <v>B075R4XJZV</v>
          </cell>
          <cell r="B346">
            <v>0</v>
          </cell>
          <cell r="C346">
            <v>0</v>
          </cell>
          <cell r="D346">
            <v>0</v>
          </cell>
          <cell r="E346">
            <v>3</v>
          </cell>
        </row>
        <row r="347">
          <cell r="A347" t="str">
            <v>B075R92YGF</v>
          </cell>
          <cell r="B347">
            <v>0</v>
          </cell>
          <cell r="C347">
            <v>0</v>
          </cell>
          <cell r="D347">
            <v>0</v>
          </cell>
          <cell r="E347">
            <v>1</v>
          </cell>
        </row>
        <row r="348">
          <cell r="A348" t="str">
            <v>B075RCQD9P</v>
          </cell>
          <cell r="B348">
            <v>39</v>
          </cell>
          <cell r="C348">
            <v>0</v>
          </cell>
          <cell r="D348">
            <v>0</v>
          </cell>
          <cell r="E348">
            <v>7</v>
          </cell>
        </row>
        <row r="349">
          <cell r="A349" t="str">
            <v>B075XH5ZB8</v>
          </cell>
          <cell r="B349">
            <v>2</v>
          </cell>
          <cell r="C349">
            <v>4</v>
          </cell>
          <cell r="D349">
            <v>1</v>
          </cell>
          <cell r="E349">
            <v>5</v>
          </cell>
        </row>
        <row r="350">
          <cell r="A350" t="str">
            <v>B075ZSTCLF</v>
          </cell>
          <cell r="B350">
            <v>461</v>
          </cell>
          <cell r="C350">
            <v>540</v>
          </cell>
          <cell r="D350">
            <v>11</v>
          </cell>
          <cell r="E350">
            <v>83</v>
          </cell>
        </row>
        <row r="351">
          <cell r="A351" t="str">
            <v>B075ZTGQCC</v>
          </cell>
          <cell r="B351">
            <v>431</v>
          </cell>
          <cell r="C351">
            <v>642</v>
          </cell>
          <cell r="D351">
            <v>23</v>
          </cell>
          <cell r="E351">
            <v>141</v>
          </cell>
        </row>
        <row r="352">
          <cell r="A352" t="str">
            <v>B0769WTB45</v>
          </cell>
          <cell r="B352">
            <v>1</v>
          </cell>
          <cell r="C352">
            <v>3</v>
          </cell>
          <cell r="D352">
            <v>1</v>
          </cell>
          <cell r="E352">
            <v>4</v>
          </cell>
        </row>
        <row r="353">
          <cell r="A353" t="str">
            <v>B076DLYXWT</v>
          </cell>
          <cell r="B353">
            <v>12</v>
          </cell>
          <cell r="C353">
            <v>13</v>
          </cell>
          <cell r="D353">
            <v>13</v>
          </cell>
          <cell r="E353">
            <v>7</v>
          </cell>
        </row>
        <row r="354">
          <cell r="A354" t="str">
            <v>B076DPGDHG</v>
          </cell>
          <cell r="B354">
            <v>11</v>
          </cell>
          <cell r="C354">
            <v>8</v>
          </cell>
          <cell r="D354">
            <v>4</v>
          </cell>
          <cell r="E354">
            <v>8</v>
          </cell>
        </row>
        <row r="355">
          <cell r="A355" t="str">
            <v>B076DPGDHH</v>
          </cell>
          <cell r="B355">
            <v>10</v>
          </cell>
          <cell r="C355">
            <v>13</v>
          </cell>
          <cell r="D355">
            <v>14</v>
          </cell>
          <cell r="E355">
            <v>18</v>
          </cell>
        </row>
        <row r="356">
          <cell r="A356" t="str">
            <v>B076DR4BK4</v>
          </cell>
          <cell r="B356">
            <v>2</v>
          </cell>
          <cell r="C356">
            <v>4</v>
          </cell>
          <cell r="D356">
            <v>2</v>
          </cell>
          <cell r="E356">
            <v>8</v>
          </cell>
        </row>
        <row r="357">
          <cell r="A357" t="str">
            <v>B076DR81SV</v>
          </cell>
          <cell r="B357">
            <v>6</v>
          </cell>
          <cell r="C357">
            <v>7</v>
          </cell>
          <cell r="D357">
            <v>4</v>
          </cell>
          <cell r="E357">
            <v>11</v>
          </cell>
        </row>
        <row r="358">
          <cell r="A358" t="str">
            <v>B076DSB43Y</v>
          </cell>
          <cell r="B358">
            <v>8</v>
          </cell>
          <cell r="C358">
            <v>3</v>
          </cell>
          <cell r="D358">
            <v>2</v>
          </cell>
          <cell r="E358">
            <v>8</v>
          </cell>
        </row>
        <row r="359">
          <cell r="A359" t="str">
            <v>B076DSM35T</v>
          </cell>
          <cell r="B359">
            <v>5</v>
          </cell>
          <cell r="C359">
            <v>6</v>
          </cell>
          <cell r="D359">
            <v>3</v>
          </cell>
          <cell r="E359">
            <v>7</v>
          </cell>
        </row>
        <row r="360">
          <cell r="A360" t="str">
            <v>B076DSWJN4</v>
          </cell>
          <cell r="B360">
            <v>8</v>
          </cell>
          <cell r="C360">
            <v>10</v>
          </cell>
          <cell r="D360">
            <v>10</v>
          </cell>
          <cell r="E360">
            <v>8</v>
          </cell>
        </row>
        <row r="361">
          <cell r="A361" t="str">
            <v>B076DT77BR</v>
          </cell>
          <cell r="B361">
            <v>10</v>
          </cell>
          <cell r="C361">
            <v>8</v>
          </cell>
          <cell r="D361">
            <v>10</v>
          </cell>
          <cell r="E361">
            <v>7</v>
          </cell>
        </row>
        <row r="362">
          <cell r="A362" t="str">
            <v>B076DTK34H</v>
          </cell>
          <cell r="B362">
            <v>14</v>
          </cell>
          <cell r="C362">
            <v>6</v>
          </cell>
          <cell r="D362">
            <v>7</v>
          </cell>
          <cell r="E362">
            <v>8</v>
          </cell>
        </row>
        <row r="363">
          <cell r="A363" t="str">
            <v>B076DW1RH6</v>
          </cell>
          <cell r="B363">
            <v>5</v>
          </cell>
          <cell r="C363">
            <v>4</v>
          </cell>
          <cell r="D363">
            <v>7</v>
          </cell>
          <cell r="E363">
            <v>5</v>
          </cell>
        </row>
        <row r="364">
          <cell r="A364" t="str">
            <v>B076DW59RG</v>
          </cell>
          <cell r="B364">
            <v>5</v>
          </cell>
          <cell r="C364">
            <v>10</v>
          </cell>
          <cell r="D364">
            <v>3</v>
          </cell>
          <cell r="E364">
            <v>3</v>
          </cell>
        </row>
        <row r="365">
          <cell r="A365" t="str">
            <v>B076DX1XK9</v>
          </cell>
          <cell r="B365">
            <v>12</v>
          </cell>
          <cell r="C365">
            <v>9</v>
          </cell>
          <cell r="D365">
            <v>9</v>
          </cell>
          <cell r="E365">
            <v>5</v>
          </cell>
        </row>
        <row r="366">
          <cell r="A366" t="str">
            <v>B076DXK13Z</v>
          </cell>
          <cell r="B366">
            <v>7</v>
          </cell>
          <cell r="C366">
            <v>5</v>
          </cell>
          <cell r="D366">
            <v>4</v>
          </cell>
          <cell r="E366">
            <v>5</v>
          </cell>
        </row>
        <row r="367">
          <cell r="A367" t="str">
            <v>B076DYFG4G</v>
          </cell>
          <cell r="B367">
            <v>12</v>
          </cell>
          <cell r="C367">
            <v>11</v>
          </cell>
          <cell r="D367">
            <v>7</v>
          </cell>
          <cell r="E367">
            <v>8</v>
          </cell>
        </row>
        <row r="368">
          <cell r="A368" t="str">
            <v>B076DYK2G6</v>
          </cell>
          <cell r="B368">
            <v>6</v>
          </cell>
          <cell r="C368">
            <v>7</v>
          </cell>
          <cell r="D368">
            <v>2</v>
          </cell>
          <cell r="E368">
            <v>4</v>
          </cell>
        </row>
        <row r="369">
          <cell r="A369" t="str">
            <v>B076GWWM8X</v>
          </cell>
          <cell r="B369">
            <v>0</v>
          </cell>
          <cell r="C369">
            <v>0</v>
          </cell>
          <cell r="D369">
            <v>2</v>
          </cell>
          <cell r="E369">
            <v>2</v>
          </cell>
        </row>
        <row r="370">
          <cell r="A370" t="str">
            <v>B076GZ17CW</v>
          </cell>
          <cell r="B370">
            <v>2</v>
          </cell>
          <cell r="C370">
            <v>0</v>
          </cell>
          <cell r="D370">
            <v>0</v>
          </cell>
          <cell r="E370">
            <v>3</v>
          </cell>
        </row>
        <row r="371">
          <cell r="A371" t="str">
            <v>B076P8S1LC</v>
          </cell>
          <cell r="B371">
            <v>74</v>
          </cell>
          <cell r="C371">
            <v>85</v>
          </cell>
          <cell r="D371">
            <v>17</v>
          </cell>
          <cell r="E371">
            <v>19</v>
          </cell>
        </row>
        <row r="372">
          <cell r="A372" t="str">
            <v>B0771JJC17</v>
          </cell>
          <cell r="B372">
            <v>40</v>
          </cell>
          <cell r="C372">
            <v>32</v>
          </cell>
          <cell r="D372">
            <v>32</v>
          </cell>
          <cell r="E372">
            <v>6</v>
          </cell>
        </row>
        <row r="373">
          <cell r="A373" t="str">
            <v>B0771L2H52</v>
          </cell>
          <cell r="B373">
            <v>32</v>
          </cell>
          <cell r="C373">
            <v>41</v>
          </cell>
          <cell r="D373">
            <v>24</v>
          </cell>
          <cell r="E373">
            <v>3</v>
          </cell>
        </row>
        <row r="374">
          <cell r="A374" t="str">
            <v>B0776Q3PVM</v>
          </cell>
          <cell r="B374">
            <v>4</v>
          </cell>
          <cell r="C374">
            <v>6</v>
          </cell>
          <cell r="D374">
            <v>3</v>
          </cell>
          <cell r="E374">
            <v>5</v>
          </cell>
        </row>
        <row r="375">
          <cell r="A375" t="str">
            <v>B0776QVRRT</v>
          </cell>
          <cell r="B375">
            <v>2</v>
          </cell>
          <cell r="C375">
            <v>7</v>
          </cell>
          <cell r="D375">
            <v>1</v>
          </cell>
          <cell r="E375">
            <v>6</v>
          </cell>
        </row>
        <row r="376">
          <cell r="A376" t="str">
            <v>B0776SM4GN</v>
          </cell>
          <cell r="B376">
            <v>3</v>
          </cell>
          <cell r="C376">
            <v>7</v>
          </cell>
          <cell r="D376">
            <v>1</v>
          </cell>
          <cell r="E376">
            <v>3</v>
          </cell>
        </row>
        <row r="377">
          <cell r="A377" t="str">
            <v>B077FLHKK7</v>
          </cell>
          <cell r="B377">
            <v>33</v>
          </cell>
          <cell r="C377">
            <v>44</v>
          </cell>
          <cell r="D377">
            <v>35</v>
          </cell>
          <cell r="E377">
            <v>14</v>
          </cell>
        </row>
        <row r="378">
          <cell r="A378" t="str">
            <v>B077FZ185H</v>
          </cell>
          <cell r="B378">
            <v>15</v>
          </cell>
          <cell r="C378">
            <v>19</v>
          </cell>
          <cell r="D378">
            <v>13</v>
          </cell>
          <cell r="E378">
            <v>13</v>
          </cell>
        </row>
        <row r="379">
          <cell r="A379" t="str">
            <v>B077GSTK1N</v>
          </cell>
          <cell r="B379">
            <v>3</v>
          </cell>
          <cell r="C379">
            <v>5</v>
          </cell>
          <cell r="D379">
            <v>2</v>
          </cell>
          <cell r="E379">
            <v>3</v>
          </cell>
        </row>
        <row r="380">
          <cell r="A380" t="str">
            <v>B077GT5NM7</v>
          </cell>
          <cell r="B380">
            <v>3</v>
          </cell>
          <cell r="C380">
            <v>4</v>
          </cell>
          <cell r="D380">
            <v>3</v>
          </cell>
          <cell r="E380">
            <v>2</v>
          </cell>
        </row>
        <row r="381">
          <cell r="A381" t="str">
            <v>B077GT9Y32</v>
          </cell>
          <cell r="B381">
            <v>5</v>
          </cell>
          <cell r="C381">
            <v>6</v>
          </cell>
          <cell r="D381">
            <v>4</v>
          </cell>
          <cell r="E381">
            <v>2</v>
          </cell>
        </row>
        <row r="382">
          <cell r="A382" t="str">
            <v>B077GTB515</v>
          </cell>
          <cell r="B382">
            <v>2</v>
          </cell>
          <cell r="C382">
            <v>3</v>
          </cell>
          <cell r="D382">
            <v>3</v>
          </cell>
          <cell r="E382">
            <v>3</v>
          </cell>
        </row>
        <row r="383">
          <cell r="A383" t="str">
            <v>B077GTC3DD</v>
          </cell>
          <cell r="B383">
            <v>2</v>
          </cell>
          <cell r="C383">
            <v>3</v>
          </cell>
          <cell r="D383">
            <v>3</v>
          </cell>
          <cell r="E383">
            <v>3</v>
          </cell>
        </row>
        <row r="384">
          <cell r="A384" t="str">
            <v>B077GTCV4D</v>
          </cell>
          <cell r="B384">
            <v>3</v>
          </cell>
          <cell r="C384">
            <v>3</v>
          </cell>
          <cell r="D384">
            <v>3</v>
          </cell>
          <cell r="E384">
            <v>1</v>
          </cell>
        </row>
        <row r="385">
          <cell r="A385" t="str">
            <v>B077GTDGCX</v>
          </cell>
          <cell r="B385">
            <v>3</v>
          </cell>
          <cell r="C385">
            <v>3</v>
          </cell>
          <cell r="D385">
            <v>2</v>
          </cell>
          <cell r="E385">
            <v>2</v>
          </cell>
        </row>
        <row r="386">
          <cell r="A386" t="str">
            <v>B077GTG3DN</v>
          </cell>
          <cell r="B386">
            <v>5</v>
          </cell>
          <cell r="C386">
            <v>4</v>
          </cell>
          <cell r="D386">
            <v>1</v>
          </cell>
          <cell r="E386">
            <v>1</v>
          </cell>
        </row>
        <row r="387">
          <cell r="A387" t="str">
            <v>B077GTHYN3</v>
          </cell>
          <cell r="B387">
            <v>3</v>
          </cell>
          <cell r="C387">
            <v>5</v>
          </cell>
          <cell r="D387">
            <v>1</v>
          </cell>
          <cell r="E387">
            <v>1</v>
          </cell>
        </row>
        <row r="388">
          <cell r="A388" t="str">
            <v>B077GTPRNJ</v>
          </cell>
          <cell r="B388">
            <v>2</v>
          </cell>
          <cell r="C388">
            <v>5</v>
          </cell>
          <cell r="D388">
            <v>0</v>
          </cell>
          <cell r="E388">
            <v>1</v>
          </cell>
        </row>
        <row r="389">
          <cell r="A389" t="str">
            <v>B077GTQ56H</v>
          </cell>
          <cell r="B389">
            <v>3</v>
          </cell>
          <cell r="C389">
            <v>4</v>
          </cell>
          <cell r="D389">
            <v>0</v>
          </cell>
          <cell r="E389">
            <v>1</v>
          </cell>
        </row>
        <row r="390">
          <cell r="A390" t="str">
            <v>B077GTR5GP</v>
          </cell>
          <cell r="B390">
            <v>2</v>
          </cell>
          <cell r="C390">
            <v>4</v>
          </cell>
          <cell r="D390">
            <v>0</v>
          </cell>
          <cell r="E390">
            <v>4</v>
          </cell>
        </row>
        <row r="391">
          <cell r="A391" t="str">
            <v>B077GTSW3V</v>
          </cell>
          <cell r="B391">
            <v>3</v>
          </cell>
          <cell r="C391">
            <v>5</v>
          </cell>
          <cell r="D391">
            <v>1</v>
          </cell>
          <cell r="E391">
            <v>2</v>
          </cell>
        </row>
        <row r="392">
          <cell r="A392" t="str">
            <v>B077GTT4DB</v>
          </cell>
          <cell r="B392">
            <v>1</v>
          </cell>
          <cell r="C392">
            <v>4</v>
          </cell>
          <cell r="D392">
            <v>1</v>
          </cell>
          <cell r="E392">
            <v>2</v>
          </cell>
        </row>
        <row r="393">
          <cell r="A393" t="str">
            <v>B077GTTW6F</v>
          </cell>
          <cell r="B393">
            <v>2</v>
          </cell>
          <cell r="C393">
            <v>3</v>
          </cell>
          <cell r="D393">
            <v>0</v>
          </cell>
          <cell r="E393">
            <v>3</v>
          </cell>
        </row>
        <row r="394">
          <cell r="A394" t="str">
            <v>B077GV12XZ</v>
          </cell>
          <cell r="B394">
            <v>3</v>
          </cell>
          <cell r="C394">
            <v>5</v>
          </cell>
          <cell r="D394">
            <v>1</v>
          </cell>
          <cell r="E394">
            <v>2</v>
          </cell>
        </row>
        <row r="395">
          <cell r="A395" t="str">
            <v>B077GVB9QZ</v>
          </cell>
          <cell r="B395">
            <v>2</v>
          </cell>
          <cell r="C395">
            <v>5</v>
          </cell>
          <cell r="D395">
            <v>0</v>
          </cell>
          <cell r="E395">
            <v>2</v>
          </cell>
        </row>
        <row r="396">
          <cell r="A396" t="str">
            <v>B077GVDKL1</v>
          </cell>
          <cell r="B396">
            <v>3</v>
          </cell>
          <cell r="C396">
            <v>5</v>
          </cell>
          <cell r="D396">
            <v>0</v>
          </cell>
          <cell r="E396">
            <v>2</v>
          </cell>
        </row>
        <row r="397">
          <cell r="A397" t="str">
            <v>B077GVFQ2V</v>
          </cell>
          <cell r="B397">
            <v>3</v>
          </cell>
          <cell r="C397">
            <v>7</v>
          </cell>
          <cell r="D397">
            <v>1</v>
          </cell>
          <cell r="E397">
            <v>3</v>
          </cell>
        </row>
        <row r="398">
          <cell r="A398" t="str">
            <v>B077GVL6JJ</v>
          </cell>
          <cell r="B398">
            <v>2</v>
          </cell>
          <cell r="C398">
            <v>4</v>
          </cell>
          <cell r="D398">
            <v>2</v>
          </cell>
          <cell r="E398">
            <v>3</v>
          </cell>
        </row>
        <row r="399">
          <cell r="A399" t="str">
            <v>B077GVPYG5</v>
          </cell>
          <cell r="B399">
            <v>2</v>
          </cell>
          <cell r="C399">
            <v>1</v>
          </cell>
          <cell r="D399">
            <v>0</v>
          </cell>
          <cell r="E399">
            <v>3</v>
          </cell>
        </row>
        <row r="400">
          <cell r="A400" t="str">
            <v>B077GVRC8H</v>
          </cell>
          <cell r="B400">
            <v>3</v>
          </cell>
          <cell r="C400">
            <v>2</v>
          </cell>
          <cell r="D400">
            <v>0</v>
          </cell>
          <cell r="E400">
            <v>1</v>
          </cell>
        </row>
        <row r="401">
          <cell r="A401" t="str">
            <v>B077GW6SRH</v>
          </cell>
          <cell r="B401">
            <v>1</v>
          </cell>
          <cell r="C401">
            <v>3</v>
          </cell>
          <cell r="D401">
            <v>2</v>
          </cell>
          <cell r="E401">
            <v>3</v>
          </cell>
        </row>
        <row r="402">
          <cell r="A402" t="str">
            <v>B077GWG4J3</v>
          </cell>
          <cell r="B402">
            <v>1</v>
          </cell>
          <cell r="C402">
            <v>3</v>
          </cell>
          <cell r="D402">
            <v>1</v>
          </cell>
          <cell r="E402">
            <v>4</v>
          </cell>
        </row>
        <row r="403">
          <cell r="A403" t="str">
            <v>B077MTV31P</v>
          </cell>
          <cell r="B403">
            <v>2</v>
          </cell>
          <cell r="C403">
            <v>3</v>
          </cell>
          <cell r="D403">
            <v>0</v>
          </cell>
          <cell r="E403">
            <v>4</v>
          </cell>
        </row>
        <row r="404">
          <cell r="A404" t="str">
            <v>B077MWVFXR</v>
          </cell>
          <cell r="B404">
            <v>2</v>
          </cell>
          <cell r="C404">
            <v>3</v>
          </cell>
          <cell r="D404">
            <v>1</v>
          </cell>
          <cell r="E404">
            <v>3</v>
          </cell>
        </row>
        <row r="405">
          <cell r="A405" t="str">
            <v>B077MWZHRH</v>
          </cell>
          <cell r="B405">
            <v>1</v>
          </cell>
          <cell r="C405">
            <v>3</v>
          </cell>
          <cell r="D405">
            <v>0</v>
          </cell>
          <cell r="E405">
            <v>4</v>
          </cell>
        </row>
        <row r="406">
          <cell r="A406" t="str">
            <v>B077MXLJYL</v>
          </cell>
          <cell r="B406">
            <v>1</v>
          </cell>
          <cell r="C406">
            <v>3</v>
          </cell>
          <cell r="D406">
            <v>0</v>
          </cell>
          <cell r="E406">
            <v>3</v>
          </cell>
        </row>
        <row r="407">
          <cell r="A407" t="str">
            <v>B077MXLJYR</v>
          </cell>
          <cell r="B407">
            <v>0</v>
          </cell>
          <cell r="C407">
            <v>1</v>
          </cell>
          <cell r="D407">
            <v>0</v>
          </cell>
          <cell r="E407">
            <v>1</v>
          </cell>
        </row>
        <row r="408">
          <cell r="A408" t="str">
            <v>B077MXMG77</v>
          </cell>
          <cell r="B408">
            <v>2</v>
          </cell>
          <cell r="C408">
            <v>4</v>
          </cell>
          <cell r="D408">
            <v>0</v>
          </cell>
          <cell r="E408">
            <v>4</v>
          </cell>
        </row>
        <row r="409">
          <cell r="A409" t="str">
            <v>B077MYVL7W</v>
          </cell>
          <cell r="B409">
            <v>2</v>
          </cell>
          <cell r="C409">
            <v>3</v>
          </cell>
          <cell r="D409">
            <v>0</v>
          </cell>
          <cell r="E409">
            <v>7</v>
          </cell>
        </row>
        <row r="410">
          <cell r="A410" t="str">
            <v>B077MZVCLY</v>
          </cell>
          <cell r="B410">
            <v>1</v>
          </cell>
          <cell r="C410">
            <v>2</v>
          </cell>
          <cell r="D410">
            <v>1</v>
          </cell>
          <cell r="E410">
            <v>4</v>
          </cell>
        </row>
        <row r="411">
          <cell r="A411" t="str">
            <v>B077N1HRR8</v>
          </cell>
          <cell r="B411">
            <v>2</v>
          </cell>
          <cell r="C411">
            <v>5</v>
          </cell>
          <cell r="D411">
            <v>1</v>
          </cell>
          <cell r="E411">
            <v>3</v>
          </cell>
        </row>
        <row r="412">
          <cell r="A412" t="str">
            <v>B077N1QGPK</v>
          </cell>
          <cell r="B412">
            <v>1</v>
          </cell>
          <cell r="C412">
            <v>5</v>
          </cell>
          <cell r="D412">
            <v>1</v>
          </cell>
          <cell r="E412">
            <v>3</v>
          </cell>
        </row>
        <row r="413">
          <cell r="A413" t="str">
            <v>B077N24PG2</v>
          </cell>
          <cell r="B413">
            <v>2</v>
          </cell>
          <cell r="C413">
            <v>4</v>
          </cell>
          <cell r="D413">
            <v>1</v>
          </cell>
          <cell r="E413">
            <v>2</v>
          </cell>
        </row>
        <row r="414">
          <cell r="A414" t="str">
            <v>B077N28DGY</v>
          </cell>
          <cell r="B414">
            <v>0</v>
          </cell>
          <cell r="C414">
            <v>4</v>
          </cell>
          <cell r="D414">
            <v>1</v>
          </cell>
          <cell r="E414">
            <v>2</v>
          </cell>
        </row>
        <row r="415">
          <cell r="A415" t="str">
            <v>B077N2B7N1</v>
          </cell>
          <cell r="B415">
            <v>0</v>
          </cell>
          <cell r="C415">
            <v>0</v>
          </cell>
          <cell r="D415">
            <v>0</v>
          </cell>
          <cell r="E415">
            <v>1</v>
          </cell>
        </row>
        <row r="416">
          <cell r="A416" t="str">
            <v>B077N3KY6X</v>
          </cell>
          <cell r="B416">
            <v>3</v>
          </cell>
          <cell r="C416">
            <v>5</v>
          </cell>
          <cell r="D416">
            <v>2</v>
          </cell>
          <cell r="E416">
            <v>5</v>
          </cell>
        </row>
        <row r="417">
          <cell r="A417" t="str">
            <v>B077N3LV33</v>
          </cell>
          <cell r="B417">
            <v>1</v>
          </cell>
          <cell r="C417">
            <v>4</v>
          </cell>
          <cell r="D417">
            <v>1</v>
          </cell>
          <cell r="E417">
            <v>5</v>
          </cell>
        </row>
        <row r="418">
          <cell r="A418" t="str">
            <v>B077N3LV38</v>
          </cell>
          <cell r="B418">
            <v>4</v>
          </cell>
          <cell r="C418">
            <v>3</v>
          </cell>
          <cell r="D418">
            <v>1</v>
          </cell>
          <cell r="E418">
            <v>6</v>
          </cell>
        </row>
        <row r="419">
          <cell r="A419" t="str">
            <v>B077N47MTG</v>
          </cell>
          <cell r="B419">
            <v>2</v>
          </cell>
          <cell r="C419">
            <v>1</v>
          </cell>
          <cell r="D419">
            <v>7</v>
          </cell>
          <cell r="E419">
            <v>12</v>
          </cell>
        </row>
        <row r="420">
          <cell r="A420" t="str">
            <v>B077N4VS3G</v>
          </cell>
          <cell r="B420">
            <v>1</v>
          </cell>
          <cell r="C420">
            <v>4</v>
          </cell>
          <cell r="D420">
            <v>2</v>
          </cell>
          <cell r="E420">
            <v>6</v>
          </cell>
        </row>
        <row r="421">
          <cell r="A421" t="str">
            <v>B077N58RS3</v>
          </cell>
          <cell r="B421">
            <v>0</v>
          </cell>
          <cell r="C421">
            <v>4</v>
          </cell>
          <cell r="D421">
            <v>3</v>
          </cell>
          <cell r="E421">
            <v>2</v>
          </cell>
        </row>
        <row r="422">
          <cell r="A422" t="str">
            <v>B077N641W6</v>
          </cell>
          <cell r="B422">
            <v>0</v>
          </cell>
          <cell r="C422">
            <v>3</v>
          </cell>
          <cell r="D422">
            <v>3</v>
          </cell>
          <cell r="E422">
            <v>1</v>
          </cell>
        </row>
        <row r="423">
          <cell r="A423" t="str">
            <v>B077N685Q4</v>
          </cell>
          <cell r="B423">
            <v>4</v>
          </cell>
          <cell r="C423">
            <v>4</v>
          </cell>
          <cell r="D423">
            <v>4</v>
          </cell>
          <cell r="E423">
            <v>2</v>
          </cell>
        </row>
        <row r="424">
          <cell r="A424" t="str">
            <v>B077N7P2RN</v>
          </cell>
          <cell r="B424">
            <v>3</v>
          </cell>
          <cell r="C424">
            <v>5</v>
          </cell>
          <cell r="D424">
            <v>1</v>
          </cell>
          <cell r="E424">
            <v>3</v>
          </cell>
        </row>
        <row r="425">
          <cell r="A425" t="str">
            <v>B077N845BF</v>
          </cell>
          <cell r="B425">
            <v>3</v>
          </cell>
          <cell r="C425">
            <v>6</v>
          </cell>
          <cell r="D425">
            <v>3</v>
          </cell>
          <cell r="E425">
            <v>4</v>
          </cell>
        </row>
        <row r="426">
          <cell r="A426" t="str">
            <v>B077N91KX8</v>
          </cell>
          <cell r="B426">
            <v>2</v>
          </cell>
          <cell r="C426">
            <v>3</v>
          </cell>
          <cell r="D426">
            <v>3</v>
          </cell>
          <cell r="E426">
            <v>2</v>
          </cell>
        </row>
        <row r="427">
          <cell r="A427" t="str">
            <v>B077NB45R7</v>
          </cell>
          <cell r="B427">
            <v>3</v>
          </cell>
          <cell r="C427">
            <v>1</v>
          </cell>
          <cell r="D427">
            <v>3</v>
          </cell>
          <cell r="E427">
            <v>2</v>
          </cell>
        </row>
        <row r="428">
          <cell r="A428" t="str">
            <v>B077NBB2XS</v>
          </cell>
          <cell r="B428">
            <v>8</v>
          </cell>
          <cell r="C428">
            <v>11</v>
          </cell>
          <cell r="D428">
            <v>9</v>
          </cell>
          <cell r="E428">
            <v>15</v>
          </cell>
        </row>
        <row r="429">
          <cell r="A429" t="str">
            <v>B077NBCRDS</v>
          </cell>
          <cell r="B429">
            <v>7</v>
          </cell>
          <cell r="C429">
            <v>6</v>
          </cell>
          <cell r="D429">
            <v>7</v>
          </cell>
          <cell r="E429">
            <v>6</v>
          </cell>
        </row>
        <row r="430">
          <cell r="A430" t="str">
            <v>B077ND3YXB</v>
          </cell>
          <cell r="B430">
            <v>5</v>
          </cell>
          <cell r="C430">
            <v>2</v>
          </cell>
          <cell r="D430">
            <v>1</v>
          </cell>
          <cell r="E430">
            <v>5</v>
          </cell>
        </row>
        <row r="431">
          <cell r="A431" t="str">
            <v>B077NNVQ58</v>
          </cell>
          <cell r="B431">
            <v>0</v>
          </cell>
          <cell r="C431">
            <v>2</v>
          </cell>
          <cell r="D431">
            <v>2</v>
          </cell>
          <cell r="E431">
            <v>1</v>
          </cell>
        </row>
        <row r="432">
          <cell r="A432" t="str">
            <v>B077P1HZH5</v>
          </cell>
          <cell r="B432">
            <v>3</v>
          </cell>
          <cell r="C432">
            <v>2</v>
          </cell>
          <cell r="D432">
            <v>3</v>
          </cell>
          <cell r="E432">
            <v>5</v>
          </cell>
        </row>
        <row r="433">
          <cell r="A433" t="str">
            <v>B077P25L34</v>
          </cell>
          <cell r="B433">
            <v>2</v>
          </cell>
          <cell r="C433">
            <v>5</v>
          </cell>
          <cell r="D433">
            <v>3</v>
          </cell>
          <cell r="E433">
            <v>4</v>
          </cell>
        </row>
        <row r="434">
          <cell r="A434" t="str">
            <v>B077P3P1K6</v>
          </cell>
          <cell r="B434">
            <v>2</v>
          </cell>
          <cell r="C434">
            <v>1</v>
          </cell>
          <cell r="D434">
            <v>0</v>
          </cell>
          <cell r="E434">
            <v>5</v>
          </cell>
        </row>
        <row r="435">
          <cell r="A435" t="str">
            <v>B077P3Q2LJ</v>
          </cell>
          <cell r="B435">
            <v>0</v>
          </cell>
          <cell r="C435">
            <v>1</v>
          </cell>
          <cell r="D435">
            <v>2</v>
          </cell>
          <cell r="E435">
            <v>4</v>
          </cell>
        </row>
        <row r="436">
          <cell r="A436" t="str">
            <v>B077P3W5CY</v>
          </cell>
          <cell r="B436">
            <v>3</v>
          </cell>
          <cell r="C436">
            <v>4</v>
          </cell>
          <cell r="D436">
            <v>0</v>
          </cell>
          <cell r="E436">
            <v>4</v>
          </cell>
        </row>
        <row r="437">
          <cell r="A437" t="str">
            <v>B077P4BJ4R</v>
          </cell>
          <cell r="B437">
            <v>3</v>
          </cell>
          <cell r="C437">
            <v>4</v>
          </cell>
          <cell r="D437">
            <v>0</v>
          </cell>
          <cell r="E437">
            <v>3</v>
          </cell>
        </row>
        <row r="438">
          <cell r="A438" t="str">
            <v>B077P4NDQF</v>
          </cell>
          <cell r="B438">
            <v>1</v>
          </cell>
          <cell r="C438">
            <v>1</v>
          </cell>
          <cell r="D438">
            <v>0</v>
          </cell>
          <cell r="E438">
            <v>2</v>
          </cell>
        </row>
        <row r="439">
          <cell r="A439" t="str">
            <v>B077P6DN7F</v>
          </cell>
          <cell r="B439">
            <v>2</v>
          </cell>
          <cell r="C439">
            <v>8</v>
          </cell>
          <cell r="D439">
            <v>44</v>
          </cell>
          <cell r="E439">
            <v>4</v>
          </cell>
        </row>
        <row r="440">
          <cell r="A440" t="str">
            <v>B077P6GQ66</v>
          </cell>
          <cell r="B440">
            <v>2</v>
          </cell>
          <cell r="C440">
            <v>5</v>
          </cell>
          <cell r="D440">
            <v>4</v>
          </cell>
          <cell r="E440">
            <v>1</v>
          </cell>
        </row>
        <row r="441">
          <cell r="A441" t="str">
            <v>B077P6GSLS</v>
          </cell>
          <cell r="B441">
            <v>1</v>
          </cell>
          <cell r="C441">
            <v>4</v>
          </cell>
          <cell r="D441">
            <v>2</v>
          </cell>
          <cell r="E441">
            <v>2</v>
          </cell>
        </row>
        <row r="442">
          <cell r="A442" t="str">
            <v>B077P76342</v>
          </cell>
          <cell r="B442">
            <v>1</v>
          </cell>
          <cell r="C442">
            <v>4</v>
          </cell>
          <cell r="D442">
            <v>2</v>
          </cell>
          <cell r="E442">
            <v>2</v>
          </cell>
        </row>
        <row r="443">
          <cell r="A443" t="str">
            <v>B077P822BJ</v>
          </cell>
          <cell r="B443">
            <v>0</v>
          </cell>
          <cell r="C443">
            <v>3</v>
          </cell>
          <cell r="D443">
            <v>1</v>
          </cell>
          <cell r="E443">
            <v>3</v>
          </cell>
        </row>
        <row r="444">
          <cell r="A444" t="str">
            <v>B077P832FW</v>
          </cell>
          <cell r="B444">
            <v>1</v>
          </cell>
          <cell r="C444">
            <v>3</v>
          </cell>
          <cell r="D444">
            <v>0</v>
          </cell>
          <cell r="E444">
            <v>2</v>
          </cell>
        </row>
        <row r="445">
          <cell r="A445" t="str">
            <v>B077P98RR5</v>
          </cell>
          <cell r="B445">
            <v>1</v>
          </cell>
          <cell r="C445">
            <v>2</v>
          </cell>
          <cell r="D445">
            <v>1</v>
          </cell>
          <cell r="E445">
            <v>2</v>
          </cell>
        </row>
        <row r="446">
          <cell r="A446" t="str">
            <v>B077PBWY75</v>
          </cell>
          <cell r="B446">
            <v>1</v>
          </cell>
          <cell r="C446">
            <v>2</v>
          </cell>
          <cell r="D446">
            <v>3</v>
          </cell>
          <cell r="E446">
            <v>2</v>
          </cell>
        </row>
        <row r="447">
          <cell r="A447" t="str">
            <v>B077PBYWZS</v>
          </cell>
          <cell r="B447">
            <v>1</v>
          </cell>
          <cell r="C447">
            <v>2</v>
          </cell>
          <cell r="D447">
            <v>4</v>
          </cell>
          <cell r="E447">
            <v>3</v>
          </cell>
        </row>
        <row r="448">
          <cell r="A448" t="str">
            <v>B077PC5BGR</v>
          </cell>
          <cell r="B448">
            <v>1</v>
          </cell>
          <cell r="C448">
            <v>2</v>
          </cell>
          <cell r="D448">
            <v>3</v>
          </cell>
          <cell r="E448">
            <v>3</v>
          </cell>
        </row>
        <row r="449">
          <cell r="A449" t="str">
            <v>B077PC5F9V</v>
          </cell>
          <cell r="B449">
            <v>0</v>
          </cell>
          <cell r="C449">
            <v>2</v>
          </cell>
          <cell r="D449">
            <v>4</v>
          </cell>
          <cell r="E449">
            <v>3</v>
          </cell>
        </row>
        <row r="450">
          <cell r="A450" t="str">
            <v>B077PD7WHY</v>
          </cell>
          <cell r="B450">
            <v>1</v>
          </cell>
          <cell r="C450">
            <v>3</v>
          </cell>
          <cell r="D450">
            <v>2</v>
          </cell>
          <cell r="E450">
            <v>4</v>
          </cell>
        </row>
        <row r="451">
          <cell r="A451" t="str">
            <v>B077PFB21G</v>
          </cell>
          <cell r="B451">
            <v>0</v>
          </cell>
          <cell r="C451">
            <v>3</v>
          </cell>
          <cell r="D451">
            <v>1</v>
          </cell>
          <cell r="E451">
            <v>3</v>
          </cell>
        </row>
        <row r="452">
          <cell r="A452" t="str">
            <v>B077PFB34T</v>
          </cell>
          <cell r="B452">
            <v>0</v>
          </cell>
          <cell r="C452">
            <v>3</v>
          </cell>
          <cell r="D452">
            <v>1</v>
          </cell>
          <cell r="E452">
            <v>2</v>
          </cell>
        </row>
        <row r="453">
          <cell r="A453" t="str">
            <v>B077PFD9LP</v>
          </cell>
          <cell r="B453">
            <v>1</v>
          </cell>
          <cell r="C453">
            <v>3</v>
          </cell>
          <cell r="D453">
            <v>2</v>
          </cell>
          <cell r="E453">
            <v>3</v>
          </cell>
        </row>
        <row r="454">
          <cell r="A454" t="str">
            <v>B077PGDGHH</v>
          </cell>
          <cell r="B454">
            <v>1</v>
          </cell>
          <cell r="C454">
            <v>4</v>
          </cell>
          <cell r="D454">
            <v>3</v>
          </cell>
          <cell r="E454">
            <v>2</v>
          </cell>
        </row>
        <row r="455">
          <cell r="A455" t="str">
            <v>B077PGJY38</v>
          </cell>
          <cell r="B455">
            <v>1</v>
          </cell>
          <cell r="C455">
            <v>3</v>
          </cell>
          <cell r="D455">
            <v>1</v>
          </cell>
          <cell r="E455">
            <v>2</v>
          </cell>
        </row>
        <row r="456">
          <cell r="A456" t="str">
            <v>B077PGPQKQ</v>
          </cell>
          <cell r="B456">
            <v>1</v>
          </cell>
          <cell r="C456">
            <v>5</v>
          </cell>
          <cell r="D456">
            <v>0</v>
          </cell>
          <cell r="E456">
            <v>2</v>
          </cell>
        </row>
        <row r="457">
          <cell r="A457" t="str">
            <v>B077PGPW9C</v>
          </cell>
          <cell r="B457">
            <v>1</v>
          </cell>
          <cell r="C457">
            <v>4</v>
          </cell>
          <cell r="D457">
            <v>0</v>
          </cell>
          <cell r="E457">
            <v>2</v>
          </cell>
        </row>
        <row r="458">
          <cell r="A458" t="str">
            <v>B077S7LWD7</v>
          </cell>
          <cell r="B458">
            <v>4</v>
          </cell>
          <cell r="C458">
            <v>5</v>
          </cell>
          <cell r="D458">
            <v>0</v>
          </cell>
          <cell r="E458">
            <v>8</v>
          </cell>
        </row>
        <row r="459">
          <cell r="A459" t="str">
            <v>B077SDYYKL</v>
          </cell>
          <cell r="B459">
            <v>2</v>
          </cell>
          <cell r="C459">
            <v>4</v>
          </cell>
          <cell r="D459">
            <v>2</v>
          </cell>
          <cell r="E459">
            <v>1</v>
          </cell>
        </row>
        <row r="460">
          <cell r="A460" t="str">
            <v>B077SNBTYK</v>
          </cell>
          <cell r="B460">
            <v>1</v>
          </cell>
          <cell r="C460">
            <v>4</v>
          </cell>
          <cell r="D460">
            <v>2</v>
          </cell>
          <cell r="E460">
            <v>1</v>
          </cell>
        </row>
        <row r="461">
          <cell r="A461" t="str">
            <v>B077SPDQMX</v>
          </cell>
          <cell r="B461">
            <v>1</v>
          </cell>
          <cell r="C461">
            <v>4</v>
          </cell>
          <cell r="D461">
            <v>1</v>
          </cell>
          <cell r="E461">
            <v>2</v>
          </cell>
        </row>
        <row r="462">
          <cell r="A462" t="str">
            <v>B077SPDT2V</v>
          </cell>
          <cell r="B462">
            <v>2</v>
          </cell>
          <cell r="C462">
            <v>1</v>
          </cell>
          <cell r="D462">
            <v>3</v>
          </cell>
          <cell r="E462">
            <v>2</v>
          </cell>
        </row>
        <row r="463">
          <cell r="A463" t="str">
            <v>B077SSQ158</v>
          </cell>
          <cell r="B463">
            <v>1</v>
          </cell>
          <cell r="C463">
            <v>5</v>
          </cell>
          <cell r="D463">
            <v>3</v>
          </cell>
          <cell r="E463">
            <v>4</v>
          </cell>
        </row>
        <row r="464">
          <cell r="A464" t="str">
            <v>B077SSQFMX</v>
          </cell>
          <cell r="B464">
            <v>1</v>
          </cell>
          <cell r="C464">
            <v>2</v>
          </cell>
          <cell r="D464">
            <v>1</v>
          </cell>
          <cell r="E464">
            <v>3</v>
          </cell>
        </row>
        <row r="465">
          <cell r="A465" t="str">
            <v>B077TDYRN1</v>
          </cell>
          <cell r="B465">
            <v>1</v>
          </cell>
          <cell r="C465">
            <v>3</v>
          </cell>
          <cell r="D465">
            <v>4</v>
          </cell>
          <cell r="E465">
            <v>3</v>
          </cell>
        </row>
        <row r="466">
          <cell r="A466" t="str">
            <v>B077YTW39Y</v>
          </cell>
          <cell r="B466">
            <v>5</v>
          </cell>
          <cell r="C466">
            <v>1</v>
          </cell>
          <cell r="D466">
            <v>0</v>
          </cell>
          <cell r="E466">
            <v>3</v>
          </cell>
        </row>
        <row r="467">
          <cell r="A467" t="str">
            <v>B077YZMM76</v>
          </cell>
          <cell r="B467">
            <v>3</v>
          </cell>
          <cell r="C467">
            <v>1</v>
          </cell>
          <cell r="D467">
            <v>1</v>
          </cell>
          <cell r="E467">
            <v>9</v>
          </cell>
        </row>
        <row r="468">
          <cell r="A468" t="str">
            <v>B077YZMR5R</v>
          </cell>
          <cell r="B468">
            <v>0</v>
          </cell>
          <cell r="C468">
            <v>0</v>
          </cell>
          <cell r="D468">
            <v>0</v>
          </cell>
          <cell r="E468">
            <v>2</v>
          </cell>
        </row>
        <row r="469">
          <cell r="A469" t="str">
            <v>B077YZQ6PF</v>
          </cell>
          <cell r="B469">
            <v>6</v>
          </cell>
          <cell r="C469">
            <v>1</v>
          </cell>
          <cell r="D469">
            <v>1</v>
          </cell>
          <cell r="E469">
            <v>4</v>
          </cell>
        </row>
        <row r="470">
          <cell r="A470" t="str">
            <v>B077Z3273G</v>
          </cell>
          <cell r="B470">
            <v>6</v>
          </cell>
          <cell r="C470">
            <v>2</v>
          </cell>
          <cell r="D470">
            <v>2</v>
          </cell>
          <cell r="E470">
            <v>6</v>
          </cell>
        </row>
        <row r="471">
          <cell r="A471" t="str">
            <v>B07841ZNJ5</v>
          </cell>
          <cell r="B471">
            <v>3</v>
          </cell>
          <cell r="C471">
            <v>2</v>
          </cell>
          <cell r="D471">
            <v>2</v>
          </cell>
          <cell r="E471">
            <v>2</v>
          </cell>
        </row>
        <row r="472">
          <cell r="A472" t="str">
            <v>B07842C2Q3</v>
          </cell>
          <cell r="B472">
            <v>3</v>
          </cell>
          <cell r="C472">
            <v>3</v>
          </cell>
          <cell r="D472">
            <v>3</v>
          </cell>
          <cell r="E472">
            <v>3</v>
          </cell>
        </row>
        <row r="473">
          <cell r="A473" t="str">
            <v>B07842CPN5</v>
          </cell>
          <cell r="B473">
            <v>2</v>
          </cell>
          <cell r="C473">
            <v>2</v>
          </cell>
          <cell r="D473">
            <v>2</v>
          </cell>
          <cell r="E473">
            <v>3</v>
          </cell>
        </row>
        <row r="474">
          <cell r="A474" t="str">
            <v>B07843N7TB</v>
          </cell>
          <cell r="B474">
            <v>4</v>
          </cell>
          <cell r="C474">
            <v>4</v>
          </cell>
          <cell r="D474">
            <v>3</v>
          </cell>
          <cell r="E474">
            <v>3</v>
          </cell>
        </row>
        <row r="475">
          <cell r="A475" t="str">
            <v>B07843R3WG</v>
          </cell>
          <cell r="B475">
            <v>3</v>
          </cell>
          <cell r="C475">
            <v>4</v>
          </cell>
          <cell r="D475">
            <v>1</v>
          </cell>
          <cell r="E475">
            <v>2</v>
          </cell>
        </row>
        <row r="476">
          <cell r="A476" t="str">
            <v>B07843RDHP</v>
          </cell>
          <cell r="B476">
            <v>1</v>
          </cell>
          <cell r="C476">
            <v>2</v>
          </cell>
          <cell r="D476">
            <v>0</v>
          </cell>
          <cell r="E476">
            <v>3</v>
          </cell>
        </row>
        <row r="477">
          <cell r="A477" t="str">
            <v>B07844VFWQ</v>
          </cell>
          <cell r="B477">
            <v>2</v>
          </cell>
          <cell r="C477">
            <v>3</v>
          </cell>
          <cell r="D477">
            <v>2</v>
          </cell>
          <cell r="E477">
            <v>4</v>
          </cell>
        </row>
        <row r="478">
          <cell r="A478" t="str">
            <v>B07844WCH2</v>
          </cell>
          <cell r="B478">
            <v>3</v>
          </cell>
          <cell r="C478">
            <v>2</v>
          </cell>
          <cell r="D478">
            <v>2</v>
          </cell>
          <cell r="E478">
            <v>2</v>
          </cell>
        </row>
        <row r="479">
          <cell r="A479" t="str">
            <v>B07846LZTV</v>
          </cell>
          <cell r="B479">
            <v>1</v>
          </cell>
          <cell r="C479">
            <v>0</v>
          </cell>
          <cell r="D479">
            <v>0</v>
          </cell>
          <cell r="E479">
            <v>2</v>
          </cell>
        </row>
        <row r="480">
          <cell r="A480" t="str">
            <v>B0784N7PCD</v>
          </cell>
          <cell r="B480">
            <v>6</v>
          </cell>
          <cell r="C480">
            <v>2</v>
          </cell>
          <cell r="D480">
            <v>5</v>
          </cell>
          <cell r="E480">
            <v>5</v>
          </cell>
        </row>
        <row r="481">
          <cell r="A481" t="str">
            <v>B0784RRGDD</v>
          </cell>
          <cell r="B481">
            <v>2</v>
          </cell>
          <cell r="C481">
            <v>2</v>
          </cell>
          <cell r="D481">
            <v>3</v>
          </cell>
          <cell r="E481">
            <v>2</v>
          </cell>
        </row>
        <row r="482">
          <cell r="A482" t="str">
            <v>B0784T4MYY</v>
          </cell>
          <cell r="B482">
            <v>1</v>
          </cell>
          <cell r="C482">
            <v>2</v>
          </cell>
          <cell r="D482">
            <v>2</v>
          </cell>
          <cell r="E482">
            <v>2</v>
          </cell>
        </row>
        <row r="483">
          <cell r="A483" t="str">
            <v>B07856FYRX</v>
          </cell>
          <cell r="B483">
            <v>12</v>
          </cell>
          <cell r="C483">
            <v>43</v>
          </cell>
          <cell r="D483">
            <v>36</v>
          </cell>
          <cell r="E483">
            <v>6</v>
          </cell>
        </row>
        <row r="484">
          <cell r="A484" t="str">
            <v>B0785NGDM9</v>
          </cell>
          <cell r="B484">
            <v>8</v>
          </cell>
          <cell r="C484">
            <v>3</v>
          </cell>
          <cell r="D484">
            <v>2</v>
          </cell>
          <cell r="E484">
            <v>7</v>
          </cell>
        </row>
        <row r="485">
          <cell r="A485" t="str">
            <v>B078C5JLZV</v>
          </cell>
          <cell r="B485">
            <v>2</v>
          </cell>
          <cell r="C485">
            <v>5</v>
          </cell>
          <cell r="D485">
            <v>3</v>
          </cell>
          <cell r="E485">
            <v>2</v>
          </cell>
        </row>
        <row r="486">
          <cell r="A486" t="str">
            <v>B078JHC2WQ</v>
          </cell>
          <cell r="B486">
            <v>0</v>
          </cell>
          <cell r="C486">
            <v>0</v>
          </cell>
          <cell r="D486">
            <v>0</v>
          </cell>
          <cell r="E486">
            <v>2</v>
          </cell>
        </row>
        <row r="487">
          <cell r="A487" t="str">
            <v>B078JJ7KDP</v>
          </cell>
          <cell r="B487">
            <v>0</v>
          </cell>
          <cell r="C487">
            <v>0</v>
          </cell>
          <cell r="D487">
            <v>0</v>
          </cell>
          <cell r="E487">
            <v>4</v>
          </cell>
        </row>
        <row r="488">
          <cell r="A488" t="str">
            <v>B078JK429P</v>
          </cell>
          <cell r="B488">
            <v>0</v>
          </cell>
          <cell r="C488">
            <v>0</v>
          </cell>
          <cell r="D488">
            <v>0</v>
          </cell>
          <cell r="E488">
            <v>6</v>
          </cell>
        </row>
        <row r="489">
          <cell r="A489" t="str">
            <v>B078JNY8M1</v>
          </cell>
          <cell r="B489">
            <v>0</v>
          </cell>
          <cell r="C489">
            <v>0</v>
          </cell>
          <cell r="D489">
            <v>0</v>
          </cell>
          <cell r="E489">
            <v>2</v>
          </cell>
        </row>
        <row r="490">
          <cell r="A490" t="str">
            <v>B078JQ3KLW</v>
          </cell>
          <cell r="B490">
            <v>65</v>
          </cell>
          <cell r="C490">
            <v>24</v>
          </cell>
          <cell r="D490">
            <v>0</v>
          </cell>
          <cell r="E490">
            <v>5</v>
          </cell>
        </row>
        <row r="491">
          <cell r="A491" t="str">
            <v>B078JQ7B7M</v>
          </cell>
          <cell r="B491">
            <v>16</v>
          </cell>
          <cell r="C491">
            <v>0</v>
          </cell>
          <cell r="D491">
            <v>0</v>
          </cell>
          <cell r="E491">
            <v>3</v>
          </cell>
        </row>
        <row r="492">
          <cell r="A492" t="str">
            <v>B078JQVN4Q</v>
          </cell>
          <cell r="B492">
            <v>11</v>
          </cell>
          <cell r="C492">
            <v>0</v>
          </cell>
          <cell r="D492">
            <v>0</v>
          </cell>
          <cell r="E492">
            <v>1</v>
          </cell>
        </row>
        <row r="493">
          <cell r="A493" t="str">
            <v>B078JQXPDD</v>
          </cell>
          <cell r="B493">
            <v>0</v>
          </cell>
          <cell r="C493">
            <v>0</v>
          </cell>
          <cell r="D493">
            <v>0</v>
          </cell>
          <cell r="E493">
            <v>2</v>
          </cell>
        </row>
        <row r="494">
          <cell r="A494" t="str">
            <v>B0798K6868</v>
          </cell>
          <cell r="B494">
            <v>2</v>
          </cell>
          <cell r="C494">
            <v>2</v>
          </cell>
          <cell r="D494">
            <v>2</v>
          </cell>
          <cell r="E494">
            <v>2</v>
          </cell>
        </row>
        <row r="495">
          <cell r="A495" t="str">
            <v>B0798LDZR1</v>
          </cell>
          <cell r="B495">
            <v>1</v>
          </cell>
          <cell r="C495">
            <v>2</v>
          </cell>
          <cell r="D495">
            <v>2</v>
          </cell>
          <cell r="E495">
            <v>2</v>
          </cell>
        </row>
        <row r="496">
          <cell r="A496" t="str">
            <v>B0798LP538</v>
          </cell>
          <cell r="B496">
            <v>2</v>
          </cell>
          <cell r="C496">
            <v>2</v>
          </cell>
          <cell r="D496">
            <v>3</v>
          </cell>
          <cell r="E496">
            <v>2</v>
          </cell>
        </row>
        <row r="497">
          <cell r="A497" t="str">
            <v>B0798LYM3Y</v>
          </cell>
          <cell r="B497">
            <v>3</v>
          </cell>
          <cell r="C497">
            <v>2</v>
          </cell>
          <cell r="D497">
            <v>2</v>
          </cell>
          <cell r="E497">
            <v>2</v>
          </cell>
        </row>
        <row r="498">
          <cell r="A498" t="str">
            <v>B0798LYWQ6</v>
          </cell>
          <cell r="B498">
            <v>3</v>
          </cell>
          <cell r="C498">
            <v>5</v>
          </cell>
          <cell r="D498">
            <v>3</v>
          </cell>
          <cell r="E498">
            <v>2</v>
          </cell>
        </row>
        <row r="499">
          <cell r="A499" t="str">
            <v>B0798MFCBV</v>
          </cell>
          <cell r="B499">
            <v>3</v>
          </cell>
          <cell r="C499">
            <v>6</v>
          </cell>
          <cell r="D499">
            <v>6</v>
          </cell>
          <cell r="E499">
            <v>3</v>
          </cell>
        </row>
        <row r="500">
          <cell r="A500" t="str">
            <v>B079FQ4PDH</v>
          </cell>
          <cell r="B500">
            <v>4</v>
          </cell>
          <cell r="C500">
            <v>5</v>
          </cell>
          <cell r="D500">
            <v>2</v>
          </cell>
          <cell r="E500">
            <v>1</v>
          </cell>
        </row>
        <row r="501">
          <cell r="A501" t="str">
            <v>B079FT1CC6</v>
          </cell>
          <cell r="B501">
            <v>1</v>
          </cell>
          <cell r="C501">
            <v>0</v>
          </cell>
          <cell r="D501">
            <v>0</v>
          </cell>
          <cell r="E501">
            <v>1</v>
          </cell>
        </row>
        <row r="502">
          <cell r="A502" t="str">
            <v>B079FTFFNT</v>
          </cell>
          <cell r="B502">
            <v>2</v>
          </cell>
          <cell r="C502">
            <v>4</v>
          </cell>
          <cell r="D502">
            <v>2</v>
          </cell>
          <cell r="E502">
            <v>3</v>
          </cell>
        </row>
        <row r="503">
          <cell r="A503" t="str">
            <v>B079FTV86C</v>
          </cell>
          <cell r="B503">
            <v>1</v>
          </cell>
          <cell r="C503">
            <v>4</v>
          </cell>
          <cell r="D503">
            <v>1</v>
          </cell>
          <cell r="E503">
            <v>1</v>
          </cell>
        </row>
        <row r="504">
          <cell r="A504" t="str">
            <v>B079FVVB6T</v>
          </cell>
          <cell r="B504">
            <v>1</v>
          </cell>
          <cell r="C504">
            <v>1</v>
          </cell>
          <cell r="D504">
            <v>0</v>
          </cell>
          <cell r="E504">
            <v>1</v>
          </cell>
        </row>
        <row r="505">
          <cell r="A505" t="str">
            <v>B079FXP1KJ</v>
          </cell>
          <cell r="B505">
            <v>0</v>
          </cell>
          <cell r="C505">
            <v>1</v>
          </cell>
          <cell r="D505">
            <v>2</v>
          </cell>
          <cell r="E505">
            <v>2</v>
          </cell>
        </row>
        <row r="506">
          <cell r="A506" t="str">
            <v>B079FXT799</v>
          </cell>
          <cell r="B506">
            <v>0</v>
          </cell>
          <cell r="C506">
            <v>1</v>
          </cell>
          <cell r="D506">
            <v>1</v>
          </cell>
          <cell r="E506">
            <v>1</v>
          </cell>
        </row>
        <row r="507">
          <cell r="A507" t="str">
            <v>B079FZKDFL</v>
          </cell>
          <cell r="B507">
            <v>0</v>
          </cell>
          <cell r="C507">
            <v>3</v>
          </cell>
          <cell r="D507">
            <v>2</v>
          </cell>
          <cell r="E507">
            <v>2</v>
          </cell>
        </row>
        <row r="508">
          <cell r="A508" t="str">
            <v>B079G223GW</v>
          </cell>
          <cell r="B508">
            <v>0</v>
          </cell>
          <cell r="C508">
            <v>2</v>
          </cell>
          <cell r="D508">
            <v>2</v>
          </cell>
          <cell r="E508">
            <v>2</v>
          </cell>
        </row>
        <row r="509">
          <cell r="A509" t="str">
            <v>B079G22H1J</v>
          </cell>
          <cell r="B509">
            <v>0</v>
          </cell>
          <cell r="C509">
            <v>3</v>
          </cell>
          <cell r="D509">
            <v>1</v>
          </cell>
          <cell r="E509">
            <v>4</v>
          </cell>
        </row>
        <row r="510">
          <cell r="A510" t="str">
            <v>B079G2PMNQ</v>
          </cell>
          <cell r="B510">
            <v>3</v>
          </cell>
          <cell r="C510">
            <v>3</v>
          </cell>
          <cell r="D510">
            <v>4</v>
          </cell>
          <cell r="E510">
            <v>4</v>
          </cell>
        </row>
        <row r="511">
          <cell r="A511" t="str">
            <v>B079G3D72G</v>
          </cell>
          <cell r="B511">
            <v>8</v>
          </cell>
          <cell r="C511">
            <v>7</v>
          </cell>
          <cell r="D511">
            <v>6</v>
          </cell>
          <cell r="E511">
            <v>5</v>
          </cell>
        </row>
        <row r="512">
          <cell r="A512" t="str">
            <v>B079G3L78V</v>
          </cell>
          <cell r="B512">
            <v>0</v>
          </cell>
          <cell r="C512">
            <v>3</v>
          </cell>
          <cell r="D512">
            <v>3</v>
          </cell>
          <cell r="E512">
            <v>3</v>
          </cell>
        </row>
        <row r="513">
          <cell r="A513" t="str">
            <v>B079G44DC9</v>
          </cell>
          <cell r="B513">
            <v>4</v>
          </cell>
          <cell r="C513">
            <v>2</v>
          </cell>
          <cell r="D513">
            <v>2</v>
          </cell>
          <cell r="E513">
            <v>1</v>
          </cell>
        </row>
        <row r="514">
          <cell r="A514" t="str">
            <v>B079G44DCB</v>
          </cell>
          <cell r="B514">
            <v>6</v>
          </cell>
          <cell r="C514">
            <v>3</v>
          </cell>
          <cell r="D514">
            <v>1</v>
          </cell>
          <cell r="E514">
            <v>2</v>
          </cell>
        </row>
        <row r="515">
          <cell r="A515" t="str">
            <v>B079G52PTQ</v>
          </cell>
          <cell r="B515">
            <v>0</v>
          </cell>
          <cell r="C515">
            <v>3</v>
          </cell>
          <cell r="D515">
            <v>1</v>
          </cell>
          <cell r="E515">
            <v>3</v>
          </cell>
        </row>
        <row r="516">
          <cell r="A516" t="str">
            <v>B079G7FNT3</v>
          </cell>
          <cell r="B516">
            <v>0</v>
          </cell>
          <cell r="C516">
            <v>2</v>
          </cell>
          <cell r="D516">
            <v>3</v>
          </cell>
          <cell r="E516">
            <v>2</v>
          </cell>
        </row>
        <row r="517">
          <cell r="A517" t="str">
            <v>B079G7M8MC</v>
          </cell>
          <cell r="B517">
            <v>0</v>
          </cell>
          <cell r="C517">
            <v>2</v>
          </cell>
          <cell r="D517">
            <v>1</v>
          </cell>
          <cell r="E517">
            <v>2</v>
          </cell>
        </row>
        <row r="518">
          <cell r="A518" t="str">
            <v>B079G965RV</v>
          </cell>
          <cell r="B518">
            <v>0</v>
          </cell>
          <cell r="C518">
            <v>1</v>
          </cell>
          <cell r="D518">
            <v>0</v>
          </cell>
          <cell r="E518">
            <v>1</v>
          </cell>
        </row>
        <row r="519">
          <cell r="A519" t="str">
            <v>B079GPWYL7</v>
          </cell>
          <cell r="B519">
            <v>0</v>
          </cell>
          <cell r="C519">
            <v>3</v>
          </cell>
          <cell r="D519">
            <v>1</v>
          </cell>
          <cell r="E519">
            <v>2</v>
          </cell>
        </row>
        <row r="520">
          <cell r="A520" t="str">
            <v>B079GRZ7K7</v>
          </cell>
          <cell r="B520">
            <v>2</v>
          </cell>
          <cell r="C520">
            <v>3</v>
          </cell>
          <cell r="D520">
            <v>0</v>
          </cell>
          <cell r="E520">
            <v>3</v>
          </cell>
        </row>
        <row r="521">
          <cell r="A521" t="str">
            <v>B079GS1FR8</v>
          </cell>
          <cell r="B521">
            <v>6</v>
          </cell>
          <cell r="C521">
            <v>7</v>
          </cell>
          <cell r="D521">
            <v>4</v>
          </cell>
          <cell r="E521">
            <v>1</v>
          </cell>
        </row>
        <row r="522">
          <cell r="A522" t="str">
            <v>B079GSYW38</v>
          </cell>
          <cell r="B522">
            <v>2</v>
          </cell>
          <cell r="C522">
            <v>4</v>
          </cell>
          <cell r="D522">
            <v>1</v>
          </cell>
          <cell r="E522">
            <v>7</v>
          </cell>
        </row>
        <row r="523">
          <cell r="A523" t="str">
            <v>B079GSZKVK</v>
          </cell>
          <cell r="B523">
            <v>3</v>
          </cell>
          <cell r="C523">
            <v>3</v>
          </cell>
          <cell r="D523">
            <v>1</v>
          </cell>
          <cell r="E523">
            <v>4</v>
          </cell>
        </row>
        <row r="524">
          <cell r="A524" t="str">
            <v>B079GWBWYN</v>
          </cell>
          <cell r="B524">
            <v>0</v>
          </cell>
          <cell r="C524">
            <v>0</v>
          </cell>
          <cell r="D524">
            <v>0</v>
          </cell>
          <cell r="E524">
            <v>2</v>
          </cell>
        </row>
        <row r="525">
          <cell r="A525" t="str">
            <v>B079JBWM3Q</v>
          </cell>
          <cell r="B525">
            <v>517</v>
          </cell>
          <cell r="C525">
            <v>660</v>
          </cell>
          <cell r="D525">
            <v>1175</v>
          </cell>
          <cell r="E525">
            <v>415</v>
          </cell>
        </row>
        <row r="526">
          <cell r="A526" t="str">
            <v>B07BCFLQFZ</v>
          </cell>
          <cell r="B526">
            <v>7</v>
          </cell>
          <cell r="C526">
            <v>7</v>
          </cell>
          <cell r="D526">
            <v>0</v>
          </cell>
          <cell r="E526">
            <v>4</v>
          </cell>
        </row>
        <row r="527">
          <cell r="A527" t="str">
            <v>B07BFP1QR6</v>
          </cell>
          <cell r="B527">
            <v>3</v>
          </cell>
          <cell r="C527">
            <v>1</v>
          </cell>
          <cell r="D527">
            <v>1</v>
          </cell>
          <cell r="E527">
            <v>1</v>
          </cell>
        </row>
        <row r="528">
          <cell r="A528" t="str">
            <v>B07BFP2PHH</v>
          </cell>
          <cell r="B528">
            <v>4</v>
          </cell>
          <cell r="C528">
            <v>1</v>
          </cell>
          <cell r="D528">
            <v>1</v>
          </cell>
          <cell r="E528">
            <v>1</v>
          </cell>
        </row>
        <row r="529">
          <cell r="A529" t="str">
            <v>B07BFP3YDG</v>
          </cell>
          <cell r="B529">
            <v>3</v>
          </cell>
          <cell r="C529">
            <v>1</v>
          </cell>
          <cell r="D529">
            <v>3</v>
          </cell>
          <cell r="E529">
            <v>2</v>
          </cell>
        </row>
        <row r="530">
          <cell r="A530" t="str">
            <v>B07BFP4RZK</v>
          </cell>
          <cell r="B530">
            <v>5</v>
          </cell>
          <cell r="C530">
            <v>1</v>
          </cell>
          <cell r="D530">
            <v>3</v>
          </cell>
          <cell r="E530">
            <v>1</v>
          </cell>
        </row>
        <row r="531">
          <cell r="A531" t="str">
            <v>B07BFP7H3J</v>
          </cell>
          <cell r="B531">
            <v>3</v>
          </cell>
          <cell r="C531">
            <v>1</v>
          </cell>
          <cell r="D531">
            <v>2</v>
          </cell>
          <cell r="E531">
            <v>2</v>
          </cell>
        </row>
        <row r="532">
          <cell r="A532" t="str">
            <v>B07BFP8PZB</v>
          </cell>
          <cell r="B532">
            <v>2</v>
          </cell>
          <cell r="C532">
            <v>1</v>
          </cell>
          <cell r="D532">
            <v>2</v>
          </cell>
          <cell r="E532">
            <v>1</v>
          </cell>
        </row>
        <row r="533">
          <cell r="A533" t="str">
            <v>B07BFP948J</v>
          </cell>
          <cell r="B533">
            <v>2</v>
          </cell>
          <cell r="C533">
            <v>1</v>
          </cell>
          <cell r="D533">
            <v>2</v>
          </cell>
          <cell r="E533">
            <v>2</v>
          </cell>
        </row>
        <row r="534">
          <cell r="A534" t="str">
            <v>B07BFPB578</v>
          </cell>
          <cell r="B534">
            <v>0</v>
          </cell>
          <cell r="C534">
            <v>1</v>
          </cell>
          <cell r="D534">
            <v>2</v>
          </cell>
          <cell r="E534">
            <v>2</v>
          </cell>
        </row>
        <row r="535">
          <cell r="A535" t="str">
            <v>B07BFPBRX6</v>
          </cell>
          <cell r="B535">
            <v>0</v>
          </cell>
          <cell r="C535">
            <v>0</v>
          </cell>
          <cell r="D535">
            <v>2</v>
          </cell>
          <cell r="E535">
            <v>2</v>
          </cell>
        </row>
        <row r="536">
          <cell r="A536" t="str">
            <v>B07BFPCZ6K</v>
          </cell>
          <cell r="B536">
            <v>0</v>
          </cell>
          <cell r="C536">
            <v>1</v>
          </cell>
          <cell r="D536">
            <v>1</v>
          </cell>
          <cell r="E536">
            <v>2</v>
          </cell>
        </row>
        <row r="537">
          <cell r="A537" t="str">
            <v>B07BFPF8BC</v>
          </cell>
          <cell r="B537">
            <v>0</v>
          </cell>
          <cell r="C537">
            <v>1</v>
          </cell>
          <cell r="D537">
            <v>1</v>
          </cell>
          <cell r="E537">
            <v>1</v>
          </cell>
        </row>
        <row r="538">
          <cell r="A538" t="str">
            <v>B07BFPFC9Z</v>
          </cell>
          <cell r="B538">
            <v>0</v>
          </cell>
          <cell r="C538">
            <v>2</v>
          </cell>
          <cell r="D538">
            <v>2</v>
          </cell>
          <cell r="E538">
            <v>2</v>
          </cell>
        </row>
        <row r="539">
          <cell r="A539" t="str">
            <v>B07BFPFSK5</v>
          </cell>
          <cell r="B539">
            <v>0</v>
          </cell>
          <cell r="C539">
            <v>2</v>
          </cell>
          <cell r="D539">
            <v>1</v>
          </cell>
          <cell r="E539">
            <v>1</v>
          </cell>
        </row>
        <row r="540">
          <cell r="A540" t="str">
            <v>B07BFPGH14</v>
          </cell>
          <cell r="B540">
            <v>0</v>
          </cell>
          <cell r="C540">
            <v>2</v>
          </cell>
          <cell r="D540">
            <v>2</v>
          </cell>
          <cell r="E540">
            <v>1</v>
          </cell>
        </row>
        <row r="541">
          <cell r="A541" t="str">
            <v>B07BFPGKMP</v>
          </cell>
          <cell r="B541">
            <v>0</v>
          </cell>
          <cell r="C541">
            <v>2</v>
          </cell>
          <cell r="D541">
            <v>4</v>
          </cell>
          <cell r="E541">
            <v>1</v>
          </cell>
        </row>
        <row r="542">
          <cell r="A542" t="str">
            <v>B07BFPGV4J</v>
          </cell>
          <cell r="B542">
            <v>0</v>
          </cell>
          <cell r="C542">
            <v>2</v>
          </cell>
          <cell r="D542">
            <v>3</v>
          </cell>
          <cell r="E542">
            <v>1</v>
          </cell>
        </row>
        <row r="543">
          <cell r="A543" t="str">
            <v>B07BFPGY4T</v>
          </cell>
          <cell r="B543">
            <v>0</v>
          </cell>
          <cell r="C543">
            <v>2</v>
          </cell>
          <cell r="D543">
            <v>3</v>
          </cell>
          <cell r="E543">
            <v>2</v>
          </cell>
        </row>
        <row r="544">
          <cell r="A544" t="str">
            <v>B07BFPH9ND</v>
          </cell>
          <cell r="B544">
            <v>1</v>
          </cell>
          <cell r="C544">
            <v>2</v>
          </cell>
          <cell r="D544">
            <v>3</v>
          </cell>
          <cell r="E544">
            <v>1</v>
          </cell>
        </row>
        <row r="545">
          <cell r="A545" t="str">
            <v>B07BFPHBTY</v>
          </cell>
          <cell r="B545">
            <v>0</v>
          </cell>
          <cell r="C545">
            <v>2</v>
          </cell>
          <cell r="D545">
            <v>4</v>
          </cell>
          <cell r="E545">
            <v>4</v>
          </cell>
        </row>
        <row r="546">
          <cell r="A546" t="str">
            <v>B07BFPHH48</v>
          </cell>
          <cell r="B546">
            <v>1</v>
          </cell>
          <cell r="C546">
            <v>2</v>
          </cell>
          <cell r="D546">
            <v>2</v>
          </cell>
          <cell r="E546">
            <v>2</v>
          </cell>
        </row>
        <row r="547">
          <cell r="A547" t="str">
            <v>B07BFPJC83</v>
          </cell>
          <cell r="B547">
            <v>1</v>
          </cell>
          <cell r="C547">
            <v>1</v>
          </cell>
          <cell r="D547">
            <v>2</v>
          </cell>
          <cell r="E547">
            <v>3</v>
          </cell>
        </row>
        <row r="548">
          <cell r="A548" t="str">
            <v>B07BFPJNMC</v>
          </cell>
          <cell r="B548">
            <v>1</v>
          </cell>
          <cell r="C548">
            <v>4</v>
          </cell>
          <cell r="D548">
            <v>4</v>
          </cell>
          <cell r="E548">
            <v>4</v>
          </cell>
        </row>
        <row r="549">
          <cell r="A549" t="str">
            <v>B07BFPM3NH</v>
          </cell>
          <cell r="B549">
            <v>1</v>
          </cell>
          <cell r="C549">
            <v>1</v>
          </cell>
          <cell r="D549">
            <v>3</v>
          </cell>
          <cell r="E549">
            <v>5</v>
          </cell>
        </row>
        <row r="550">
          <cell r="A550" t="str">
            <v>B07BFPM4KZ</v>
          </cell>
          <cell r="B550">
            <v>2</v>
          </cell>
          <cell r="C550">
            <v>0</v>
          </cell>
          <cell r="D550">
            <v>3</v>
          </cell>
          <cell r="E550">
            <v>4</v>
          </cell>
        </row>
        <row r="551">
          <cell r="A551" t="str">
            <v>B07BFPM9GJ</v>
          </cell>
          <cell r="B551">
            <v>2</v>
          </cell>
          <cell r="C551">
            <v>0</v>
          </cell>
          <cell r="D551">
            <v>1</v>
          </cell>
          <cell r="E551">
            <v>4</v>
          </cell>
        </row>
        <row r="552">
          <cell r="A552" t="str">
            <v>B07BFPMF8V</v>
          </cell>
          <cell r="B552">
            <v>2</v>
          </cell>
          <cell r="C552">
            <v>0</v>
          </cell>
          <cell r="D552">
            <v>2</v>
          </cell>
          <cell r="E552">
            <v>4</v>
          </cell>
        </row>
        <row r="553">
          <cell r="A553" t="str">
            <v>B07BFPSGHP</v>
          </cell>
          <cell r="B553">
            <v>3</v>
          </cell>
          <cell r="C553">
            <v>0</v>
          </cell>
          <cell r="D553">
            <v>2</v>
          </cell>
          <cell r="E553">
            <v>4</v>
          </cell>
        </row>
        <row r="554">
          <cell r="A554" t="str">
            <v>B07BFPT6FV</v>
          </cell>
          <cell r="B554">
            <v>2</v>
          </cell>
          <cell r="C554">
            <v>0</v>
          </cell>
          <cell r="D554">
            <v>2</v>
          </cell>
          <cell r="E554">
            <v>3</v>
          </cell>
        </row>
        <row r="555">
          <cell r="A555" t="str">
            <v>B07BFPT6G5</v>
          </cell>
          <cell r="B555">
            <v>1</v>
          </cell>
          <cell r="C555">
            <v>0</v>
          </cell>
          <cell r="D555">
            <v>4</v>
          </cell>
          <cell r="E555">
            <v>3</v>
          </cell>
        </row>
        <row r="556">
          <cell r="A556" t="str">
            <v>B07BFPTTWV</v>
          </cell>
          <cell r="B556">
            <v>1</v>
          </cell>
          <cell r="C556">
            <v>0</v>
          </cell>
          <cell r="D556">
            <v>2</v>
          </cell>
          <cell r="E556">
            <v>4</v>
          </cell>
        </row>
        <row r="557">
          <cell r="A557" t="str">
            <v>B07BFPW4Y9</v>
          </cell>
          <cell r="B557">
            <v>1</v>
          </cell>
          <cell r="C557">
            <v>0</v>
          </cell>
          <cell r="D557">
            <v>3</v>
          </cell>
          <cell r="E557">
            <v>5</v>
          </cell>
        </row>
        <row r="558">
          <cell r="A558" t="str">
            <v>B07BFPYGMN</v>
          </cell>
          <cell r="B558">
            <v>2</v>
          </cell>
          <cell r="C558">
            <v>1</v>
          </cell>
          <cell r="D558">
            <v>2</v>
          </cell>
          <cell r="E558">
            <v>3</v>
          </cell>
        </row>
        <row r="559">
          <cell r="A559" t="str">
            <v>B07BFPYYHX</v>
          </cell>
          <cell r="B559">
            <v>1</v>
          </cell>
          <cell r="C559">
            <v>2</v>
          </cell>
          <cell r="D559">
            <v>3</v>
          </cell>
          <cell r="E559">
            <v>4</v>
          </cell>
        </row>
        <row r="560">
          <cell r="A560" t="str">
            <v>B07BFQCXYT</v>
          </cell>
          <cell r="B560">
            <v>1</v>
          </cell>
          <cell r="C560">
            <v>1</v>
          </cell>
          <cell r="D560">
            <v>3</v>
          </cell>
          <cell r="E560">
            <v>3</v>
          </cell>
        </row>
        <row r="561">
          <cell r="A561" t="str">
            <v>B07BFQDVJR</v>
          </cell>
          <cell r="B561">
            <v>0</v>
          </cell>
          <cell r="C561">
            <v>1</v>
          </cell>
          <cell r="D561">
            <v>0</v>
          </cell>
          <cell r="E561">
            <v>1</v>
          </cell>
        </row>
        <row r="562">
          <cell r="A562" t="str">
            <v>B07BFSVHWL</v>
          </cell>
          <cell r="B562">
            <v>2</v>
          </cell>
          <cell r="C562">
            <v>3</v>
          </cell>
          <cell r="D562">
            <v>0</v>
          </cell>
          <cell r="E562">
            <v>2</v>
          </cell>
        </row>
        <row r="563">
          <cell r="A563" t="str">
            <v>B07BGT6DJG</v>
          </cell>
          <cell r="B563">
            <v>3</v>
          </cell>
          <cell r="C563">
            <v>5</v>
          </cell>
          <cell r="D563">
            <v>3</v>
          </cell>
          <cell r="E563">
            <v>3</v>
          </cell>
        </row>
        <row r="564">
          <cell r="A564" t="str">
            <v>B07BGTNL76</v>
          </cell>
          <cell r="B564">
            <v>0</v>
          </cell>
          <cell r="C564">
            <v>2</v>
          </cell>
          <cell r="D564">
            <v>1</v>
          </cell>
          <cell r="E564">
            <v>1</v>
          </cell>
        </row>
        <row r="565">
          <cell r="A565" t="str">
            <v>B07BGWNBCR</v>
          </cell>
          <cell r="B565">
            <v>4</v>
          </cell>
          <cell r="C565">
            <v>4</v>
          </cell>
          <cell r="D565">
            <v>4</v>
          </cell>
          <cell r="E565">
            <v>4</v>
          </cell>
        </row>
        <row r="566">
          <cell r="A566" t="str">
            <v>B07BGWRB7M</v>
          </cell>
          <cell r="B566">
            <v>3</v>
          </cell>
          <cell r="C566">
            <v>8</v>
          </cell>
          <cell r="D566">
            <v>8</v>
          </cell>
          <cell r="E566">
            <v>4</v>
          </cell>
        </row>
        <row r="567">
          <cell r="A567" t="str">
            <v>B07BGYNNNN</v>
          </cell>
          <cell r="B567">
            <v>0</v>
          </cell>
          <cell r="C567">
            <v>7</v>
          </cell>
          <cell r="D567">
            <v>7</v>
          </cell>
          <cell r="E567">
            <v>3</v>
          </cell>
        </row>
        <row r="568">
          <cell r="A568" t="str">
            <v>B07BXDY8H3</v>
          </cell>
          <cell r="B568">
            <v>2</v>
          </cell>
          <cell r="C568">
            <v>25</v>
          </cell>
          <cell r="D568">
            <v>20</v>
          </cell>
          <cell r="E568">
            <v>6</v>
          </cell>
        </row>
        <row r="569">
          <cell r="A569" t="str">
            <v>B07C7Y23N5</v>
          </cell>
          <cell r="B569">
            <v>0</v>
          </cell>
          <cell r="C569">
            <v>3</v>
          </cell>
          <cell r="D569">
            <v>3</v>
          </cell>
          <cell r="E569">
            <v>3</v>
          </cell>
        </row>
        <row r="570">
          <cell r="A570" t="str">
            <v>B07C83LKZL</v>
          </cell>
          <cell r="B570">
            <v>0</v>
          </cell>
          <cell r="C570">
            <v>1</v>
          </cell>
          <cell r="D570">
            <v>3</v>
          </cell>
          <cell r="E570">
            <v>3</v>
          </cell>
        </row>
        <row r="571">
          <cell r="A571" t="str">
            <v>B07C857S61</v>
          </cell>
          <cell r="B571">
            <v>0</v>
          </cell>
          <cell r="C571">
            <v>1</v>
          </cell>
          <cell r="D571">
            <v>3</v>
          </cell>
          <cell r="E571">
            <v>6</v>
          </cell>
        </row>
        <row r="572">
          <cell r="A572" t="str">
            <v>B07C86GY6V</v>
          </cell>
          <cell r="B572">
            <v>0</v>
          </cell>
          <cell r="C572">
            <v>0</v>
          </cell>
          <cell r="D572">
            <v>4</v>
          </cell>
          <cell r="E572">
            <v>4</v>
          </cell>
        </row>
        <row r="573">
          <cell r="A573" t="str">
            <v>B07C86RTJ9</v>
          </cell>
          <cell r="B573">
            <v>0</v>
          </cell>
          <cell r="C573">
            <v>1</v>
          </cell>
          <cell r="D573">
            <v>3</v>
          </cell>
          <cell r="E573">
            <v>4</v>
          </cell>
        </row>
        <row r="574">
          <cell r="A574" t="str">
            <v>B07C88MRHF</v>
          </cell>
          <cell r="B574">
            <v>1</v>
          </cell>
          <cell r="C574">
            <v>0</v>
          </cell>
          <cell r="D574">
            <v>3</v>
          </cell>
          <cell r="E574">
            <v>3</v>
          </cell>
        </row>
        <row r="575">
          <cell r="A575" t="str">
            <v>B07C899437</v>
          </cell>
          <cell r="B575">
            <v>1</v>
          </cell>
          <cell r="C575">
            <v>0</v>
          </cell>
          <cell r="D575">
            <v>3</v>
          </cell>
          <cell r="E575">
            <v>5</v>
          </cell>
        </row>
        <row r="576">
          <cell r="A576" t="str">
            <v>B07C899TPG</v>
          </cell>
          <cell r="B576">
            <v>1</v>
          </cell>
          <cell r="C576">
            <v>0</v>
          </cell>
          <cell r="D576">
            <v>2</v>
          </cell>
          <cell r="E576">
            <v>3</v>
          </cell>
        </row>
        <row r="577">
          <cell r="A577" t="str">
            <v>B07C89F6X2</v>
          </cell>
          <cell r="B577">
            <v>1</v>
          </cell>
          <cell r="C577">
            <v>0</v>
          </cell>
          <cell r="D577">
            <v>2</v>
          </cell>
          <cell r="E577">
            <v>4</v>
          </cell>
        </row>
        <row r="578">
          <cell r="A578" t="str">
            <v>B07C89YKT7</v>
          </cell>
          <cell r="B578">
            <v>4</v>
          </cell>
          <cell r="C578">
            <v>0</v>
          </cell>
          <cell r="D578">
            <v>0</v>
          </cell>
          <cell r="E578">
            <v>2</v>
          </cell>
        </row>
        <row r="579">
          <cell r="A579" t="str">
            <v>B07C8B4SK9</v>
          </cell>
          <cell r="B579">
            <v>0</v>
          </cell>
          <cell r="C579">
            <v>0</v>
          </cell>
          <cell r="D579">
            <v>0</v>
          </cell>
          <cell r="E579">
            <v>3</v>
          </cell>
        </row>
        <row r="580">
          <cell r="A580" t="str">
            <v>B07C8BHV83</v>
          </cell>
          <cell r="B580">
            <v>1</v>
          </cell>
          <cell r="C580">
            <v>0</v>
          </cell>
          <cell r="D580">
            <v>3</v>
          </cell>
          <cell r="E580">
            <v>3</v>
          </cell>
        </row>
        <row r="581">
          <cell r="A581" t="str">
            <v>B07C8CRQ9V</v>
          </cell>
          <cell r="B581">
            <v>4</v>
          </cell>
          <cell r="C581">
            <v>1</v>
          </cell>
          <cell r="D581">
            <v>2</v>
          </cell>
          <cell r="E581">
            <v>3</v>
          </cell>
        </row>
        <row r="582">
          <cell r="A582" t="str">
            <v>B07C8CXBNT</v>
          </cell>
          <cell r="B582">
            <v>2</v>
          </cell>
          <cell r="C582">
            <v>1</v>
          </cell>
          <cell r="D582">
            <v>3</v>
          </cell>
          <cell r="E582">
            <v>5</v>
          </cell>
        </row>
        <row r="583">
          <cell r="A583" t="str">
            <v>B07C8D3877</v>
          </cell>
          <cell r="B583">
            <v>0</v>
          </cell>
          <cell r="C583">
            <v>2</v>
          </cell>
          <cell r="D583">
            <v>1</v>
          </cell>
          <cell r="E583">
            <v>4</v>
          </cell>
        </row>
        <row r="584">
          <cell r="A584" t="str">
            <v>B07C8D82T6</v>
          </cell>
          <cell r="B584">
            <v>3</v>
          </cell>
          <cell r="C584">
            <v>2</v>
          </cell>
          <cell r="D584">
            <v>1</v>
          </cell>
          <cell r="E584">
            <v>4</v>
          </cell>
        </row>
        <row r="585">
          <cell r="A585" t="str">
            <v>B07C8NV7TC</v>
          </cell>
          <cell r="B585">
            <v>3</v>
          </cell>
          <cell r="C585">
            <v>5</v>
          </cell>
          <cell r="D585">
            <v>2</v>
          </cell>
          <cell r="E585">
            <v>4</v>
          </cell>
        </row>
        <row r="586">
          <cell r="A586" t="str">
            <v>B07C8NVMGF</v>
          </cell>
          <cell r="B586">
            <v>0</v>
          </cell>
          <cell r="C586">
            <v>0</v>
          </cell>
          <cell r="D586">
            <v>0</v>
          </cell>
          <cell r="E586">
            <v>2</v>
          </cell>
        </row>
        <row r="587">
          <cell r="A587" t="str">
            <v>B07C9S7X1W</v>
          </cell>
          <cell r="B587">
            <v>156</v>
          </cell>
          <cell r="C587">
            <v>273</v>
          </cell>
          <cell r="D587">
            <v>193</v>
          </cell>
          <cell r="E587">
            <v>85</v>
          </cell>
        </row>
        <row r="588">
          <cell r="A588" t="str">
            <v>B07CG5ZWPD</v>
          </cell>
          <cell r="B588">
            <v>0</v>
          </cell>
          <cell r="C588">
            <v>1</v>
          </cell>
          <cell r="D588">
            <v>0</v>
          </cell>
          <cell r="E588">
            <v>2</v>
          </cell>
        </row>
        <row r="589">
          <cell r="A589" t="str">
            <v>B07CYDQFTF</v>
          </cell>
          <cell r="B589">
            <v>23</v>
          </cell>
          <cell r="C589">
            <v>21</v>
          </cell>
          <cell r="D589">
            <v>15</v>
          </cell>
          <cell r="E589">
            <v>15</v>
          </cell>
        </row>
        <row r="590">
          <cell r="A590" t="str">
            <v>B07CYG5LN8</v>
          </cell>
          <cell r="B590">
            <v>7</v>
          </cell>
          <cell r="C590">
            <v>13</v>
          </cell>
          <cell r="D590">
            <v>13</v>
          </cell>
          <cell r="E590">
            <v>13</v>
          </cell>
        </row>
        <row r="591">
          <cell r="A591" t="str">
            <v>B07CYHC2KN</v>
          </cell>
          <cell r="B591">
            <v>6</v>
          </cell>
          <cell r="C591">
            <v>13</v>
          </cell>
          <cell r="D591">
            <v>13</v>
          </cell>
          <cell r="E591">
            <v>12</v>
          </cell>
        </row>
        <row r="592">
          <cell r="A592" t="str">
            <v>B07CYLDY29</v>
          </cell>
          <cell r="B592">
            <v>16</v>
          </cell>
          <cell r="C592">
            <v>23</v>
          </cell>
          <cell r="D592">
            <v>6</v>
          </cell>
          <cell r="E592">
            <v>18</v>
          </cell>
        </row>
        <row r="593">
          <cell r="A593" t="str">
            <v>B07CYLRT43</v>
          </cell>
          <cell r="B593">
            <v>18</v>
          </cell>
          <cell r="C593">
            <v>8</v>
          </cell>
          <cell r="D593">
            <v>4</v>
          </cell>
          <cell r="E593">
            <v>6</v>
          </cell>
        </row>
        <row r="594">
          <cell r="A594" t="str">
            <v>B07CYMDHK9</v>
          </cell>
          <cell r="B594">
            <v>19</v>
          </cell>
          <cell r="C594">
            <v>9</v>
          </cell>
          <cell r="D594">
            <v>9</v>
          </cell>
          <cell r="E594">
            <v>7</v>
          </cell>
        </row>
        <row r="595">
          <cell r="A595" t="str">
            <v>B07CYMDJZV</v>
          </cell>
          <cell r="B595">
            <v>17</v>
          </cell>
          <cell r="C595">
            <v>11</v>
          </cell>
          <cell r="D595">
            <v>27</v>
          </cell>
          <cell r="E595">
            <v>10</v>
          </cell>
        </row>
        <row r="596">
          <cell r="A596" t="str">
            <v>B07CYMV2ZC</v>
          </cell>
          <cell r="B596">
            <v>26</v>
          </cell>
          <cell r="C596">
            <v>14</v>
          </cell>
          <cell r="D596">
            <v>21</v>
          </cell>
          <cell r="E596">
            <v>37</v>
          </cell>
        </row>
        <row r="597">
          <cell r="A597" t="str">
            <v>B07CYN2LST</v>
          </cell>
          <cell r="B597">
            <v>30</v>
          </cell>
          <cell r="C597">
            <v>66</v>
          </cell>
          <cell r="D597">
            <v>19</v>
          </cell>
          <cell r="E597">
            <v>48</v>
          </cell>
        </row>
        <row r="598">
          <cell r="A598" t="str">
            <v>B07CYN58NP</v>
          </cell>
          <cell r="B598">
            <v>7</v>
          </cell>
          <cell r="C598">
            <v>11</v>
          </cell>
          <cell r="D598">
            <v>10</v>
          </cell>
          <cell r="E598">
            <v>6</v>
          </cell>
        </row>
        <row r="599">
          <cell r="A599" t="str">
            <v>B07CYN5C1D</v>
          </cell>
          <cell r="B599">
            <v>15</v>
          </cell>
          <cell r="C599">
            <v>12</v>
          </cell>
          <cell r="D599">
            <v>4</v>
          </cell>
          <cell r="E599">
            <v>6</v>
          </cell>
        </row>
        <row r="600">
          <cell r="A600" t="str">
            <v>B07CYN7Z12</v>
          </cell>
          <cell r="B600">
            <v>24</v>
          </cell>
          <cell r="C600">
            <v>23</v>
          </cell>
          <cell r="D600">
            <v>10</v>
          </cell>
          <cell r="E600">
            <v>7</v>
          </cell>
        </row>
        <row r="601">
          <cell r="A601" t="str">
            <v>B07CYNFKBJ</v>
          </cell>
          <cell r="B601">
            <v>18</v>
          </cell>
          <cell r="C601">
            <v>14</v>
          </cell>
          <cell r="D601">
            <v>6</v>
          </cell>
          <cell r="E601">
            <v>4</v>
          </cell>
        </row>
        <row r="602">
          <cell r="A602" t="str">
            <v>B07CYNGKTC</v>
          </cell>
          <cell r="B602">
            <v>8</v>
          </cell>
          <cell r="C602">
            <v>5</v>
          </cell>
          <cell r="D602">
            <v>6</v>
          </cell>
          <cell r="E602">
            <v>27</v>
          </cell>
        </row>
        <row r="603">
          <cell r="A603" t="str">
            <v>B07CYNJY36</v>
          </cell>
          <cell r="B603">
            <v>25</v>
          </cell>
          <cell r="C603">
            <v>20</v>
          </cell>
          <cell r="D603">
            <v>11</v>
          </cell>
          <cell r="E603">
            <v>4</v>
          </cell>
        </row>
        <row r="604">
          <cell r="A604" t="str">
            <v>B07CYNLHMM</v>
          </cell>
          <cell r="B604">
            <v>5</v>
          </cell>
          <cell r="C604">
            <v>15</v>
          </cell>
          <cell r="D604">
            <v>14</v>
          </cell>
          <cell r="E604">
            <v>10</v>
          </cell>
        </row>
        <row r="605">
          <cell r="A605" t="str">
            <v>B07CYNMJL8</v>
          </cell>
          <cell r="B605">
            <v>11</v>
          </cell>
          <cell r="C605">
            <v>10</v>
          </cell>
          <cell r="D605">
            <v>19</v>
          </cell>
          <cell r="E605">
            <v>17</v>
          </cell>
        </row>
        <row r="606">
          <cell r="A606" t="str">
            <v>B07CYNNCMT</v>
          </cell>
          <cell r="B606">
            <v>6</v>
          </cell>
          <cell r="C606">
            <v>6</v>
          </cell>
          <cell r="D606">
            <v>6</v>
          </cell>
          <cell r="E606">
            <v>6</v>
          </cell>
        </row>
        <row r="607">
          <cell r="A607" t="str">
            <v>B07CYNNW22</v>
          </cell>
          <cell r="B607">
            <v>15</v>
          </cell>
          <cell r="C607">
            <v>13</v>
          </cell>
          <cell r="D607">
            <v>12</v>
          </cell>
          <cell r="E607">
            <v>5</v>
          </cell>
        </row>
        <row r="608">
          <cell r="A608" t="str">
            <v>B07CYP2N5Q</v>
          </cell>
          <cell r="B608">
            <v>103</v>
          </cell>
          <cell r="C608">
            <v>102</v>
          </cell>
          <cell r="D608">
            <v>82</v>
          </cell>
          <cell r="E608">
            <v>71</v>
          </cell>
        </row>
        <row r="609">
          <cell r="A609" t="str">
            <v>B07CYP3SMP</v>
          </cell>
          <cell r="B609">
            <v>10</v>
          </cell>
          <cell r="C609">
            <v>11</v>
          </cell>
          <cell r="D609">
            <v>8</v>
          </cell>
          <cell r="E609">
            <v>3</v>
          </cell>
        </row>
        <row r="610">
          <cell r="A610" t="str">
            <v>B07CYP8DFK</v>
          </cell>
          <cell r="B610">
            <v>8</v>
          </cell>
          <cell r="C610">
            <v>6</v>
          </cell>
          <cell r="D610">
            <v>4</v>
          </cell>
          <cell r="E610">
            <v>4</v>
          </cell>
        </row>
        <row r="611">
          <cell r="A611" t="str">
            <v>B07CYPCKWV</v>
          </cell>
          <cell r="B611">
            <v>10</v>
          </cell>
          <cell r="C611">
            <v>11</v>
          </cell>
          <cell r="D611">
            <v>9</v>
          </cell>
          <cell r="E611">
            <v>8</v>
          </cell>
        </row>
        <row r="612">
          <cell r="A612" t="str">
            <v>B07CYPM4KS</v>
          </cell>
          <cell r="B612">
            <v>0</v>
          </cell>
          <cell r="C612">
            <v>1</v>
          </cell>
          <cell r="D612">
            <v>3</v>
          </cell>
          <cell r="E612">
            <v>4</v>
          </cell>
        </row>
        <row r="613">
          <cell r="A613" t="str">
            <v>B07CYQ24CD</v>
          </cell>
          <cell r="B613">
            <v>15</v>
          </cell>
          <cell r="C613">
            <v>15</v>
          </cell>
          <cell r="D613">
            <v>15</v>
          </cell>
          <cell r="E613">
            <v>16</v>
          </cell>
        </row>
        <row r="614">
          <cell r="A614" t="str">
            <v>B07CYQ24CG</v>
          </cell>
          <cell r="B614">
            <v>14</v>
          </cell>
          <cell r="C614">
            <v>15</v>
          </cell>
          <cell r="D614">
            <v>19</v>
          </cell>
          <cell r="E614">
            <v>14</v>
          </cell>
        </row>
        <row r="615">
          <cell r="A615" t="str">
            <v>B07CYQ7LMY</v>
          </cell>
          <cell r="B615">
            <v>13</v>
          </cell>
          <cell r="C615">
            <v>19</v>
          </cell>
          <cell r="D615">
            <v>17</v>
          </cell>
          <cell r="E615">
            <v>28</v>
          </cell>
        </row>
        <row r="616">
          <cell r="A616" t="str">
            <v>B07CYQC82N</v>
          </cell>
          <cell r="B616">
            <v>7</v>
          </cell>
          <cell r="C616">
            <v>5</v>
          </cell>
          <cell r="D616">
            <v>5</v>
          </cell>
          <cell r="E616">
            <v>5</v>
          </cell>
        </row>
        <row r="617">
          <cell r="A617" t="str">
            <v>B07CYQHDTT</v>
          </cell>
          <cell r="B617">
            <v>11</v>
          </cell>
          <cell r="C617">
            <v>20</v>
          </cell>
          <cell r="D617">
            <v>7</v>
          </cell>
          <cell r="E617">
            <v>7</v>
          </cell>
        </row>
        <row r="618">
          <cell r="A618" t="str">
            <v>B07CYQNFSP</v>
          </cell>
          <cell r="B618">
            <v>16</v>
          </cell>
          <cell r="C618">
            <v>9</v>
          </cell>
          <cell r="D618">
            <v>3</v>
          </cell>
          <cell r="E618">
            <v>5</v>
          </cell>
        </row>
        <row r="619">
          <cell r="A619" t="str">
            <v>B07CYQP2WB</v>
          </cell>
          <cell r="B619">
            <v>5</v>
          </cell>
          <cell r="C619">
            <v>6</v>
          </cell>
          <cell r="D619">
            <v>4</v>
          </cell>
          <cell r="E619">
            <v>7</v>
          </cell>
        </row>
        <row r="620">
          <cell r="A620" t="str">
            <v>B07CYQPSKD</v>
          </cell>
          <cell r="B620">
            <v>11</v>
          </cell>
          <cell r="C620">
            <v>11</v>
          </cell>
          <cell r="D620">
            <v>5</v>
          </cell>
          <cell r="E620">
            <v>6</v>
          </cell>
        </row>
        <row r="621">
          <cell r="A621" t="str">
            <v>B07CYQTRM3</v>
          </cell>
          <cell r="B621">
            <v>7</v>
          </cell>
          <cell r="C621">
            <v>7</v>
          </cell>
          <cell r="D621">
            <v>2</v>
          </cell>
          <cell r="E621">
            <v>5</v>
          </cell>
        </row>
        <row r="622">
          <cell r="A622" t="str">
            <v>B07CYR86BT</v>
          </cell>
          <cell r="B622">
            <v>9</v>
          </cell>
          <cell r="C622">
            <v>6</v>
          </cell>
          <cell r="D622">
            <v>4</v>
          </cell>
          <cell r="E622">
            <v>6</v>
          </cell>
        </row>
        <row r="623">
          <cell r="A623" t="str">
            <v>B07CYRF2RW</v>
          </cell>
          <cell r="B623">
            <v>9</v>
          </cell>
          <cell r="C623">
            <v>21</v>
          </cell>
          <cell r="D623">
            <v>15</v>
          </cell>
          <cell r="E623">
            <v>12</v>
          </cell>
        </row>
        <row r="624">
          <cell r="A624" t="str">
            <v>B07CYRQX7L</v>
          </cell>
          <cell r="B624">
            <v>31</v>
          </cell>
          <cell r="C624">
            <v>38</v>
          </cell>
          <cell r="D624">
            <v>19</v>
          </cell>
          <cell r="E624">
            <v>12</v>
          </cell>
        </row>
        <row r="625">
          <cell r="A625" t="str">
            <v>B07CYRZCR1</v>
          </cell>
          <cell r="B625">
            <v>16</v>
          </cell>
          <cell r="C625">
            <v>13</v>
          </cell>
          <cell r="D625">
            <v>21</v>
          </cell>
          <cell r="E625">
            <v>14</v>
          </cell>
        </row>
        <row r="626">
          <cell r="A626" t="str">
            <v>B07CYS8MWX</v>
          </cell>
          <cell r="B626">
            <v>4</v>
          </cell>
          <cell r="C626">
            <v>11</v>
          </cell>
          <cell r="D626">
            <v>12</v>
          </cell>
          <cell r="E626">
            <v>11</v>
          </cell>
        </row>
        <row r="627">
          <cell r="A627" t="str">
            <v>B07CYSSGYK</v>
          </cell>
          <cell r="B627">
            <v>121</v>
          </cell>
          <cell r="C627">
            <v>64</v>
          </cell>
          <cell r="D627">
            <v>51</v>
          </cell>
          <cell r="E627">
            <v>9</v>
          </cell>
        </row>
        <row r="628">
          <cell r="A628" t="str">
            <v>B07CYT3T23</v>
          </cell>
          <cell r="B628">
            <v>14</v>
          </cell>
          <cell r="C628">
            <v>27</v>
          </cell>
          <cell r="D628">
            <v>23</v>
          </cell>
          <cell r="E628">
            <v>3</v>
          </cell>
        </row>
        <row r="629">
          <cell r="A629" t="str">
            <v>B07CYTN2MZ</v>
          </cell>
          <cell r="B629">
            <v>15</v>
          </cell>
          <cell r="C629">
            <v>16</v>
          </cell>
          <cell r="D629">
            <v>19</v>
          </cell>
          <cell r="E629">
            <v>19</v>
          </cell>
        </row>
        <row r="630">
          <cell r="A630" t="str">
            <v>B07CYTR6YS</v>
          </cell>
          <cell r="B630">
            <v>19</v>
          </cell>
          <cell r="C630">
            <v>36</v>
          </cell>
          <cell r="D630">
            <v>14</v>
          </cell>
          <cell r="E630">
            <v>18</v>
          </cell>
        </row>
        <row r="631">
          <cell r="A631" t="str">
            <v>B07CYTRZVB</v>
          </cell>
          <cell r="B631">
            <v>5</v>
          </cell>
          <cell r="C631">
            <v>6</v>
          </cell>
          <cell r="D631">
            <v>11</v>
          </cell>
          <cell r="E631">
            <v>17</v>
          </cell>
        </row>
        <row r="632">
          <cell r="A632" t="str">
            <v>B07CYTYVLF</v>
          </cell>
          <cell r="B632">
            <v>16</v>
          </cell>
          <cell r="C632">
            <v>9</v>
          </cell>
          <cell r="D632">
            <v>5</v>
          </cell>
          <cell r="E632">
            <v>5</v>
          </cell>
        </row>
        <row r="633">
          <cell r="A633" t="str">
            <v>B07CYV2X4S</v>
          </cell>
          <cell r="B633">
            <v>24</v>
          </cell>
          <cell r="C633">
            <v>10</v>
          </cell>
          <cell r="D633">
            <v>10</v>
          </cell>
          <cell r="E633">
            <v>14</v>
          </cell>
        </row>
        <row r="634">
          <cell r="A634" t="str">
            <v>B07CYVFKH9</v>
          </cell>
          <cell r="B634">
            <v>12</v>
          </cell>
          <cell r="C634">
            <v>66</v>
          </cell>
          <cell r="D634">
            <v>90</v>
          </cell>
          <cell r="E634">
            <v>38</v>
          </cell>
        </row>
        <row r="635">
          <cell r="A635" t="str">
            <v>B07CYX5S6S</v>
          </cell>
          <cell r="B635">
            <v>38</v>
          </cell>
          <cell r="C635">
            <v>33</v>
          </cell>
          <cell r="D635">
            <v>23</v>
          </cell>
          <cell r="E635">
            <v>29</v>
          </cell>
        </row>
        <row r="636">
          <cell r="A636" t="str">
            <v>B07CYXD7TM</v>
          </cell>
          <cell r="B636">
            <v>4</v>
          </cell>
          <cell r="C636">
            <v>6</v>
          </cell>
          <cell r="D636">
            <v>7</v>
          </cell>
          <cell r="E636">
            <v>3</v>
          </cell>
        </row>
        <row r="637">
          <cell r="A637" t="str">
            <v>B07CYXJH94</v>
          </cell>
          <cell r="B637">
            <v>4</v>
          </cell>
          <cell r="C637">
            <v>1</v>
          </cell>
          <cell r="D637">
            <v>6</v>
          </cell>
          <cell r="E637">
            <v>2</v>
          </cell>
        </row>
        <row r="638">
          <cell r="A638" t="str">
            <v>B07CYXSSQR</v>
          </cell>
          <cell r="B638">
            <v>6</v>
          </cell>
          <cell r="C638">
            <v>2</v>
          </cell>
          <cell r="D638">
            <v>1</v>
          </cell>
          <cell r="E638">
            <v>2</v>
          </cell>
        </row>
        <row r="639">
          <cell r="A639" t="str">
            <v>B07CYXWHHL</v>
          </cell>
          <cell r="B639">
            <v>6</v>
          </cell>
          <cell r="C639">
            <v>10</v>
          </cell>
          <cell r="D639">
            <v>8</v>
          </cell>
          <cell r="E639">
            <v>6</v>
          </cell>
        </row>
        <row r="640">
          <cell r="A640" t="str">
            <v>B07CYY6NGR</v>
          </cell>
          <cell r="B640">
            <v>9</v>
          </cell>
          <cell r="C640">
            <v>6</v>
          </cell>
          <cell r="D640">
            <v>1</v>
          </cell>
          <cell r="E640">
            <v>3</v>
          </cell>
        </row>
        <row r="641">
          <cell r="A641" t="str">
            <v>B07CYY7CSG</v>
          </cell>
          <cell r="B641">
            <v>199</v>
          </cell>
          <cell r="C641">
            <v>235</v>
          </cell>
          <cell r="D641">
            <v>160</v>
          </cell>
          <cell r="E641">
            <v>169</v>
          </cell>
        </row>
        <row r="642">
          <cell r="A642" t="str">
            <v>B07CYYVMF8</v>
          </cell>
          <cell r="B642">
            <v>12</v>
          </cell>
          <cell r="C642">
            <v>13</v>
          </cell>
          <cell r="D642">
            <v>11</v>
          </cell>
          <cell r="E642">
            <v>9</v>
          </cell>
        </row>
        <row r="643">
          <cell r="A643" t="str">
            <v>B07CYZ1TYG</v>
          </cell>
          <cell r="B643">
            <v>3</v>
          </cell>
          <cell r="C643">
            <v>3</v>
          </cell>
          <cell r="D643">
            <v>4</v>
          </cell>
          <cell r="E643">
            <v>2</v>
          </cell>
        </row>
        <row r="644">
          <cell r="A644" t="str">
            <v>B07CYZ7JMS</v>
          </cell>
          <cell r="B644">
            <v>9</v>
          </cell>
          <cell r="C644">
            <v>4</v>
          </cell>
          <cell r="D644">
            <v>11</v>
          </cell>
          <cell r="E644">
            <v>5</v>
          </cell>
        </row>
        <row r="645">
          <cell r="A645" t="str">
            <v>B07CYZ9KY7</v>
          </cell>
          <cell r="B645">
            <v>4</v>
          </cell>
          <cell r="C645">
            <v>6</v>
          </cell>
          <cell r="D645">
            <v>1</v>
          </cell>
          <cell r="E645">
            <v>3</v>
          </cell>
        </row>
        <row r="646">
          <cell r="A646" t="str">
            <v>B07CYZ9NDG</v>
          </cell>
          <cell r="B646">
            <v>5</v>
          </cell>
          <cell r="C646">
            <v>8</v>
          </cell>
          <cell r="D646">
            <v>6</v>
          </cell>
          <cell r="E646">
            <v>9</v>
          </cell>
        </row>
        <row r="647">
          <cell r="A647" t="str">
            <v>B07CYZFTT7</v>
          </cell>
          <cell r="B647">
            <v>12</v>
          </cell>
          <cell r="C647">
            <v>7</v>
          </cell>
          <cell r="D647">
            <v>5</v>
          </cell>
          <cell r="E647">
            <v>8</v>
          </cell>
        </row>
        <row r="648">
          <cell r="A648" t="str">
            <v>B07CYZHFYJ</v>
          </cell>
          <cell r="B648">
            <v>16</v>
          </cell>
          <cell r="C648">
            <v>8</v>
          </cell>
          <cell r="D648">
            <v>14</v>
          </cell>
          <cell r="E648">
            <v>10</v>
          </cell>
        </row>
        <row r="649">
          <cell r="A649" t="str">
            <v>B07CZ14M68</v>
          </cell>
          <cell r="B649">
            <v>9</v>
          </cell>
          <cell r="C649">
            <v>10</v>
          </cell>
          <cell r="D649">
            <v>13</v>
          </cell>
          <cell r="E649">
            <v>6</v>
          </cell>
        </row>
        <row r="650">
          <cell r="A650" t="str">
            <v>B07CZ14MHG</v>
          </cell>
          <cell r="B650">
            <v>17</v>
          </cell>
          <cell r="C650">
            <v>7</v>
          </cell>
          <cell r="D650">
            <v>7</v>
          </cell>
          <cell r="E650">
            <v>4</v>
          </cell>
        </row>
        <row r="651">
          <cell r="A651" t="str">
            <v>B07CZ1W28M</v>
          </cell>
          <cell r="B651">
            <v>89</v>
          </cell>
          <cell r="C651">
            <v>121</v>
          </cell>
          <cell r="D651">
            <v>112</v>
          </cell>
          <cell r="E651">
            <v>80</v>
          </cell>
        </row>
        <row r="652">
          <cell r="A652" t="str">
            <v>B07CZ286DW</v>
          </cell>
          <cell r="B652">
            <v>14</v>
          </cell>
          <cell r="C652">
            <v>7</v>
          </cell>
          <cell r="D652">
            <v>2</v>
          </cell>
          <cell r="E652">
            <v>3</v>
          </cell>
        </row>
        <row r="653">
          <cell r="A653" t="str">
            <v>B07CZ2TXXQ</v>
          </cell>
          <cell r="B653">
            <v>5</v>
          </cell>
          <cell r="C653">
            <v>5</v>
          </cell>
          <cell r="D653">
            <v>4</v>
          </cell>
          <cell r="E653">
            <v>7</v>
          </cell>
        </row>
        <row r="654">
          <cell r="A654" t="str">
            <v>B07CZ3KCQJ</v>
          </cell>
          <cell r="B654">
            <v>11</v>
          </cell>
          <cell r="C654">
            <v>7</v>
          </cell>
          <cell r="D654">
            <v>13</v>
          </cell>
          <cell r="E654">
            <v>7</v>
          </cell>
        </row>
        <row r="655">
          <cell r="A655" t="str">
            <v>B07D741QQ7</v>
          </cell>
          <cell r="B655">
            <v>7</v>
          </cell>
          <cell r="C655">
            <v>2</v>
          </cell>
          <cell r="D655">
            <v>6</v>
          </cell>
          <cell r="E655">
            <v>5</v>
          </cell>
        </row>
        <row r="656">
          <cell r="A656" t="str">
            <v>B07D7445L3</v>
          </cell>
          <cell r="B656">
            <v>6</v>
          </cell>
          <cell r="C656">
            <v>2</v>
          </cell>
          <cell r="D656">
            <v>3</v>
          </cell>
          <cell r="E656">
            <v>5</v>
          </cell>
        </row>
        <row r="657">
          <cell r="A657" t="str">
            <v>B07D74DCPD</v>
          </cell>
          <cell r="B657">
            <v>7</v>
          </cell>
          <cell r="C657">
            <v>0</v>
          </cell>
          <cell r="D657">
            <v>1</v>
          </cell>
          <cell r="E657">
            <v>6</v>
          </cell>
        </row>
        <row r="658">
          <cell r="A658" t="str">
            <v>B07D74DSFC</v>
          </cell>
          <cell r="B658">
            <v>6</v>
          </cell>
          <cell r="C658">
            <v>2</v>
          </cell>
          <cell r="D658">
            <v>2</v>
          </cell>
          <cell r="E658">
            <v>3</v>
          </cell>
        </row>
        <row r="659">
          <cell r="A659" t="str">
            <v>B07D74FY1M</v>
          </cell>
          <cell r="B659">
            <v>5</v>
          </cell>
          <cell r="C659">
            <v>0</v>
          </cell>
          <cell r="D659">
            <v>2</v>
          </cell>
          <cell r="E659">
            <v>5</v>
          </cell>
        </row>
        <row r="660">
          <cell r="A660" t="str">
            <v>B07D74JFT2</v>
          </cell>
          <cell r="B660">
            <v>1</v>
          </cell>
          <cell r="C660">
            <v>1</v>
          </cell>
          <cell r="D660">
            <v>5</v>
          </cell>
          <cell r="E660">
            <v>4</v>
          </cell>
        </row>
        <row r="661">
          <cell r="A661" t="str">
            <v>B07D74JGP3</v>
          </cell>
          <cell r="B661">
            <v>4</v>
          </cell>
          <cell r="C661">
            <v>7</v>
          </cell>
          <cell r="D661">
            <v>5</v>
          </cell>
          <cell r="E661">
            <v>2</v>
          </cell>
        </row>
        <row r="662">
          <cell r="A662" t="str">
            <v>B07D74SLC5</v>
          </cell>
          <cell r="B662">
            <v>30</v>
          </cell>
          <cell r="C662">
            <v>27</v>
          </cell>
          <cell r="D662">
            <v>13</v>
          </cell>
          <cell r="E662">
            <v>9</v>
          </cell>
        </row>
        <row r="663">
          <cell r="A663" t="str">
            <v>B07D74TWXY</v>
          </cell>
          <cell r="B663">
            <v>4</v>
          </cell>
          <cell r="C663">
            <v>4</v>
          </cell>
          <cell r="D663">
            <v>4</v>
          </cell>
          <cell r="E663">
            <v>3</v>
          </cell>
        </row>
        <row r="664">
          <cell r="A664" t="str">
            <v>B07D754SZQ</v>
          </cell>
          <cell r="B664">
            <v>5</v>
          </cell>
          <cell r="C664">
            <v>10</v>
          </cell>
          <cell r="D664">
            <v>3</v>
          </cell>
          <cell r="E664">
            <v>5</v>
          </cell>
        </row>
        <row r="665">
          <cell r="A665" t="str">
            <v>B07D75CPW3</v>
          </cell>
          <cell r="B665">
            <v>44</v>
          </cell>
          <cell r="C665">
            <v>38</v>
          </cell>
          <cell r="D665">
            <v>41</v>
          </cell>
          <cell r="E665">
            <v>29</v>
          </cell>
        </row>
        <row r="666">
          <cell r="A666" t="str">
            <v>B07D75D4PM</v>
          </cell>
          <cell r="B666">
            <v>10</v>
          </cell>
          <cell r="C666">
            <v>21</v>
          </cell>
          <cell r="D666">
            <v>12</v>
          </cell>
          <cell r="E666">
            <v>8</v>
          </cell>
        </row>
        <row r="667">
          <cell r="A667" t="str">
            <v>B07D75GJW1</v>
          </cell>
          <cell r="B667">
            <v>6</v>
          </cell>
          <cell r="C667">
            <v>3</v>
          </cell>
          <cell r="D667">
            <v>2</v>
          </cell>
          <cell r="E667">
            <v>2</v>
          </cell>
        </row>
        <row r="668">
          <cell r="A668" t="str">
            <v>B07D75HFLV</v>
          </cell>
          <cell r="B668">
            <v>12</v>
          </cell>
          <cell r="C668">
            <v>15</v>
          </cell>
          <cell r="D668">
            <v>10</v>
          </cell>
          <cell r="E668">
            <v>5</v>
          </cell>
        </row>
        <row r="669">
          <cell r="A669" t="str">
            <v>B07D75MGJ7</v>
          </cell>
          <cell r="B669">
            <v>8</v>
          </cell>
          <cell r="C669">
            <v>8</v>
          </cell>
          <cell r="D669">
            <v>10</v>
          </cell>
          <cell r="E669">
            <v>8</v>
          </cell>
        </row>
        <row r="670">
          <cell r="A670" t="str">
            <v>B07D769HPR</v>
          </cell>
          <cell r="B670">
            <v>6</v>
          </cell>
          <cell r="C670">
            <v>2</v>
          </cell>
          <cell r="D670">
            <v>6</v>
          </cell>
          <cell r="E670">
            <v>2</v>
          </cell>
        </row>
        <row r="671">
          <cell r="A671" t="str">
            <v>B07DFFK33K</v>
          </cell>
          <cell r="B671">
            <v>440</v>
          </cell>
          <cell r="C671">
            <v>435</v>
          </cell>
          <cell r="D671">
            <v>240</v>
          </cell>
          <cell r="E671">
            <v>211</v>
          </cell>
        </row>
        <row r="672">
          <cell r="A672" t="str">
            <v>B07DQL4VVH</v>
          </cell>
          <cell r="B672">
            <v>0</v>
          </cell>
          <cell r="C672">
            <v>0</v>
          </cell>
          <cell r="D672">
            <v>0</v>
          </cell>
          <cell r="E672">
            <v>2</v>
          </cell>
        </row>
        <row r="673">
          <cell r="A673" t="str">
            <v>B07DQLKY6N</v>
          </cell>
          <cell r="B673">
            <v>20</v>
          </cell>
          <cell r="C673">
            <v>9</v>
          </cell>
          <cell r="D673">
            <v>0</v>
          </cell>
          <cell r="E673">
            <v>2</v>
          </cell>
        </row>
        <row r="674">
          <cell r="A674" t="str">
            <v>B07DQLKY6T</v>
          </cell>
          <cell r="B674">
            <v>0</v>
          </cell>
          <cell r="C674">
            <v>0</v>
          </cell>
          <cell r="D674">
            <v>0</v>
          </cell>
          <cell r="E674">
            <v>2</v>
          </cell>
        </row>
        <row r="675">
          <cell r="A675" t="str">
            <v>B07DQLZ5KK</v>
          </cell>
          <cell r="B675">
            <v>30</v>
          </cell>
          <cell r="C675">
            <v>21</v>
          </cell>
          <cell r="D675">
            <v>0</v>
          </cell>
          <cell r="E675">
            <v>3</v>
          </cell>
        </row>
        <row r="676">
          <cell r="A676" t="str">
            <v>B07DQM6N3W</v>
          </cell>
          <cell r="B676">
            <v>15</v>
          </cell>
          <cell r="C676">
            <v>10</v>
          </cell>
          <cell r="D676">
            <v>0</v>
          </cell>
          <cell r="E676">
            <v>3</v>
          </cell>
        </row>
        <row r="677">
          <cell r="A677" t="str">
            <v>B07DQMT2TL</v>
          </cell>
          <cell r="B677">
            <v>18</v>
          </cell>
          <cell r="C677">
            <v>7</v>
          </cell>
          <cell r="D677">
            <v>0</v>
          </cell>
          <cell r="E677">
            <v>1</v>
          </cell>
        </row>
        <row r="678">
          <cell r="A678" t="str">
            <v>B07DQN92XD</v>
          </cell>
          <cell r="B678">
            <v>0</v>
          </cell>
          <cell r="C678">
            <v>0</v>
          </cell>
          <cell r="D678">
            <v>0</v>
          </cell>
          <cell r="E678">
            <v>8</v>
          </cell>
        </row>
        <row r="679">
          <cell r="A679" t="str">
            <v>B07DQN9ZJT</v>
          </cell>
          <cell r="B679">
            <v>0</v>
          </cell>
          <cell r="C679">
            <v>0</v>
          </cell>
          <cell r="D679">
            <v>0</v>
          </cell>
          <cell r="E679">
            <v>3</v>
          </cell>
        </row>
        <row r="680">
          <cell r="A680" t="str">
            <v>B07DQNVQYY</v>
          </cell>
          <cell r="B680">
            <v>93</v>
          </cell>
          <cell r="C680">
            <v>93</v>
          </cell>
          <cell r="D680">
            <v>66</v>
          </cell>
          <cell r="E680">
            <v>52</v>
          </cell>
        </row>
        <row r="681">
          <cell r="A681" t="str">
            <v>B07DQP8MPM</v>
          </cell>
          <cell r="B681">
            <v>0</v>
          </cell>
          <cell r="C681">
            <v>0</v>
          </cell>
          <cell r="D681">
            <v>0</v>
          </cell>
          <cell r="E681">
            <v>3</v>
          </cell>
        </row>
        <row r="682">
          <cell r="A682" t="str">
            <v>B07DTZB3NP</v>
          </cell>
          <cell r="B682">
            <v>46</v>
          </cell>
          <cell r="C682">
            <v>18</v>
          </cell>
          <cell r="D682">
            <v>108</v>
          </cell>
          <cell r="E682">
            <v>87</v>
          </cell>
        </row>
        <row r="683">
          <cell r="A683" t="str">
            <v>B07DV1KGJ4</v>
          </cell>
          <cell r="B683">
            <v>35</v>
          </cell>
          <cell r="C683">
            <v>23</v>
          </cell>
          <cell r="D683">
            <v>19</v>
          </cell>
          <cell r="E683">
            <v>83</v>
          </cell>
        </row>
        <row r="684">
          <cell r="A684" t="str">
            <v>B07DV3LV6M</v>
          </cell>
          <cell r="B684">
            <v>38</v>
          </cell>
          <cell r="C684">
            <v>20</v>
          </cell>
          <cell r="D684">
            <v>86</v>
          </cell>
          <cell r="E684">
            <v>73</v>
          </cell>
        </row>
        <row r="685">
          <cell r="A685" t="str">
            <v>B07DV73JMF</v>
          </cell>
          <cell r="B685">
            <v>52</v>
          </cell>
          <cell r="C685">
            <v>43</v>
          </cell>
          <cell r="D685">
            <v>68</v>
          </cell>
          <cell r="E685">
            <v>67</v>
          </cell>
        </row>
        <row r="686">
          <cell r="A686" t="str">
            <v>B07DV9BMHF</v>
          </cell>
          <cell r="B686">
            <v>237</v>
          </cell>
          <cell r="C686">
            <v>14</v>
          </cell>
          <cell r="D686">
            <v>98</v>
          </cell>
          <cell r="E686">
            <v>126</v>
          </cell>
        </row>
        <row r="687">
          <cell r="A687" t="str">
            <v>B07DVBDXSH</v>
          </cell>
          <cell r="B687">
            <v>381</v>
          </cell>
          <cell r="C687">
            <v>193</v>
          </cell>
          <cell r="D687">
            <v>305</v>
          </cell>
          <cell r="E687">
            <v>38</v>
          </cell>
        </row>
        <row r="688">
          <cell r="A688" t="str">
            <v>B07DVBR4HX</v>
          </cell>
          <cell r="B688">
            <v>485</v>
          </cell>
          <cell r="C688">
            <v>291</v>
          </cell>
          <cell r="D688">
            <v>15</v>
          </cell>
          <cell r="E688">
            <v>97</v>
          </cell>
        </row>
        <row r="689">
          <cell r="A689" t="str">
            <v>B07DVF2N43</v>
          </cell>
          <cell r="B689">
            <v>4</v>
          </cell>
          <cell r="C689">
            <v>10</v>
          </cell>
          <cell r="D689">
            <v>4</v>
          </cell>
          <cell r="E689">
            <v>1</v>
          </cell>
        </row>
        <row r="690">
          <cell r="A690" t="str">
            <v>B07DVGRHZ6</v>
          </cell>
          <cell r="B690">
            <v>786</v>
          </cell>
          <cell r="C690">
            <v>510</v>
          </cell>
          <cell r="D690">
            <v>50</v>
          </cell>
          <cell r="E690">
            <v>263</v>
          </cell>
        </row>
        <row r="691">
          <cell r="A691" t="str">
            <v>B07DVHWQV6</v>
          </cell>
          <cell r="B691">
            <v>21</v>
          </cell>
          <cell r="C691">
            <v>29</v>
          </cell>
          <cell r="D691">
            <v>25</v>
          </cell>
          <cell r="E691">
            <v>24</v>
          </cell>
        </row>
        <row r="692">
          <cell r="A692" t="str">
            <v>B07DVKMPNT</v>
          </cell>
          <cell r="B692">
            <v>4</v>
          </cell>
          <cell r="C692">
            <v>8</v>
          </cell>
          <cell r="D692">
            <v>7</v>
          </cell>
          <cell r="E692">
            <v>3</v>
          </cell>
        </row>
        <row r="693">
          <cell r="A693" t="str">
            <v>B07DVNV5FW</v>
          </cell>
          <cell r="B693">
            <v>7</v>
          </cell>
          <cell r="C693">
            <v>16</v>
          </cell>
          <cell r="D693">
            <v>13</v>
          </cell>
          <cell r="E693">
            <v>14</v>
          </cell>
        </row>
        <row r="694">
          <cell r="A694" t="str">
            <v>B07DVPGVTQ</v>
          </cell>
          <cell r="B694">
            <v>2</v>
          </cell>
          <cell r="C694">
            <v>9</v>
          </cell>
          <cell r="D694">
            <v>6</v>
          </cell>
          <cell r="E694">
            <v>5</v>
          </cell>
        </row>
        <row r="695">
          <cell r="A695" t="str">
            <v>B07DWQTW7P</v>
          </cell>
          <cell r="B695">
            <v>54</v>
          </cell>
          <cell r="C695">
            <v>66</v>
          </cell>
          <cell r="D695">
            <v>30</v>
          </cell>
          <cell r="E695">
            <v>13</v>
          </cell>
        </row>
        <row r="696">
          <cell r="A696" t="str">
            <v>B07DWTX22N</v>
          </cell>
          <cell r="B696">
            <v>29</v>
          </cell>
          <cell r="C696">
            <v>45</v>
          </cell>
          <cell r="D696">
            <v>23</v>
          </cell>
          <cell r="E696">
            <v>1</v>
          </cell>
        </row>
        <row r="697">
          <cell r="A697" t="str">
            <v>B07F6Y2H7G</v>
          </cell>
          <cell r="B697">
            <v>7</v>
          </cell>
          <cell r="C697">
            <v>48</v>
          </cell>
          <cell r="D697">
            <v>10</v>
          </cell>
          <cell r="E697">
            <v>4</v>
          </cell>
        </row>
        <row r="698">
          <cell r="A698" t="str">
            <v>B07F71J9RX</v>
          </cell>
          <cell r="B698">
            <v>27</v>
          </cell>
          <cell r="C698">
            <v>18</v>
          </cell>
          <cell r="D698">
            <v>7</v>
          </cell>
          <cell r="E698">
            <v>3</v>
          </cell>
        </row>
        <row r="699">
          <cell r="A699" t="str">
            <v>B07F71JBF4</v>
          </cell>
          <cell r="B699">
            <v>59</v>
          </cell>
          <cell r="C699">
            <v>23</v>
          </cell>
          <cell r="D699">
            <v>7</v>
          </cell>
          <cell r="E699">
            <v>5</v>
          </cell>
        </row>
        <row r="700">
          <cell r="A700" t="str">
            <v>B07F71KQX8</v>
          </cell>
          <cell r="B700">
            <v>32</v>
          </cell>
          <cell r="C700">
            <v>82</v>
          </cell>
          <cell r="D700">
            <v>19</v>
          </cell>
          <cell r="E700">
            <v>7</v>
          </cell>
        </row>
        <row r="701">
          <cell r="A701" t="str">
            <v>B07F72G9Q1</v>
          </cell>
          <cell r="B701">
            <v>4</v>
          </cell>
          <cell r="C701">
            <v>6</v>
          </cell>
          <cell r="D701">
            <v>13</v>
          </cell>
          <cell r="E701">
            <v>6</v>
          </cell>
        </row>
        <row r="702">
          <cell r="A702" t="str">
            <v>B07F7G63C5</v>
          </cell>
          <cell r="B702">
            <v>16</v>
          </cell>
          <cell r="C702">
            <v>36</v>
          </cell>
          <cell r="D702">
            <v>7</v>
          </cell>
          <cell r="E702">
            <v>4</v>
          </cell>
        </row>
        <row r="703">
          <cell r="A703" t="str">
            <v>B07F9KQ2X6</v>
          </cell>
          <cell r="B703">
            <v>23</v>
          </cell>
          <cell r="C703">
            <v>18</v>
          </cell>
          <cell r="D703">
            <v>17</v>
          </cell>
          <cell r="E703">
            <v>1</v>
          </cell>
        </row>
        <row r="704">
          <cell r="A704" t="str">
            <v>B07F9MHC8X</v>
          </cell>
          <cell r="B704">
            <v>0</v>
          </cell>
          <cell r="C704">
            <v>24</v>
          </cell>
          <cell r="D704">
            <v>15</v>
          </cell>
          <cell r="E704">
            <v>3</v>
          </cell>
        </row>
        <row r="705">
          <cell r="A705" t="str">
            <v>B07F9N2KBW</v>
          </cell>
          <cell r="B705">
            <v>34</v>
          </cell>
          <cell r="C705">
            <v>50</v>
          </cell>
          <cell r="D705">
            <v>19</v>
          </cell>
          <cell r="E705">
            <v>4</v>
          </cell>
        </row>
        <row r="706">
          <cell r="A706" t="str">
            <v>B07F9P1V67</v>
          </cell>
          <cell r="B706">
            <v>1</v>
          </cell>
          <cell r="C706">
            <v>35</v>
          </cell>
          <cell r="D706">
            <v>18</v>
          </cell>
          <cell r="E706">
            <v>5</v>
          </cell>
        </row>
        <row r="707">
          <cell r="A707" t="str">
            <v>B07F9RX9DD</v>
          </cell>
          <cell r="B707">
            <v>20</v>
          </cell>
          <cell r="C707">
            <v>22</v>
          </cell>
          <cell r="D707">
            <v>8</v>
          </cell>
          <cell r="E707">
            <v>3</v>
          </cell>
        </row>
        <row r="708">
          <cell r="A708" t="str">
            <v>B07F9S6B2N</v>
          </cell>
          <cell r="B708">
            <v>15</v>
          </cell>
          <cell r="C708">
            <v>14</v>
          </cell>
          <cell r="D708">
            <v>8</v>
          </cell>
          <cell r="E708">
            <v>2</v>
          </cell>
        </row>
        <row r="709">
          <cell r="A709" t="str">
            <v>B07FB13GS9</v>
          </cell>
          <cell r="B709">
            <v>21</v>
          </cell>
          <cell r="C709">
            <v>18</v>
          </cell>
          <cell r="D709">
            <v>6</v>
          </cell>
          <cell r="E709">
            <v>8</v>
          </cell>
        </row>
        <row r="710">
          <cell r="A710" t="str">
            <v>B07FGD8C6J</v>
          </cell>
          <cell r="B710">
            <v>11</v>
          </cell>
          <cell r="C710">
            <v>18</v>
          </cell>
          <cell r="D710">
            <v>17</v>
          </cell>
          <cell r="E710">
            <v>10</v>
          </cell>
        </row>
        <row r="711">
          <cell r="A711" t="str">
            <v>B07FJLYDMK</v>
          </cell>
          <cell r="B711">
            <v>24</v>
          </cell>
          <cell r="C711">
            <v>19</v>
          </cell>
          <cell r="D711">
            <v>13</v>
          </cell>
          <cell r="E711">
            <v>1</v>
          </cell>
        </row>
        <row r="712">
          <cell r="A712" t="str">
            <v>B07FJMCFZM</v>
          </cell>
          <cell r="B712">
            <v>39</v>
          </cell>
          <cell r="C712">
            <v>40</v>
          </cell>
          <cell r="D712">
            <v>27</v>
          </cell>
          <cell r="E712">
            <v>5</v>
          </cell>
        </row>
        <row r="713">
          <cell r="A713" t="str">
            <v>B01C8QIX4S</v>
          </cell>
          <cell r="B713">
            <v>2</v>
          </cell>
          <cell r="C713">
            <v>1</v>
          </cell>
          <cell r="D713">
            <v>2</v>
          </cell>
          <cell r="E713">
            <v>0</v>
          </cell>
        </row>
        <row r="714">
          <cell r="A714" t="str">
            <v>B01F5LSIVQ</v>
          </cell>
          <cell r="B714">
            <v>2</v>
          </cell>
          <cell r="C714">
            <v>1</v>
          </cell>
          <cell r="D714">
            <v>3</v>
          </cell>
          <cell r="E714">
            <v>0</v>
          </cell>
        </row>
        <row r="715">
          <cell r="A715" t="str">
            <v>B06XBXSLXK</v>
          </cell>
          <cell r="B715">
            <v>0</v>
          </cell>
          <cell r="C715">
            <v>5</v>
          </cell>
          <cell r="D715">
            <v>1</v>
          </cell>
          <cell r="E715">
            <v>0</v>
          </cell>
        </row>
        <row r="716">
          <cell r="A716" t="str">
            <v>B071VW5TN7</v>
          </cell>
          <cell r="B716">
            <v>2</v>
          </cell>
          <cell r="C716">
            <v>4</v>
          </cell>
          <cell r="D716">
            <v>2</v>
          </cell>
          <cell r="E716">
            <v>0</v>
          </cell>
        </row>
        <row r="717">
          <cell r="A717" t="str">
            <v>B0725SGYT2</v>
          </cell>
          <cell r="B717">
            <v>0</v>
          </cell>
          <cell r="C717">
            <v>0</v>
          </cell>
          <cell r="D717">
            <v>2</v>
          </cell>
          <cell r="E717">
            <v>0</v>
          </cell>
        </row>
        <row r="718">
          <cell r="A718" t="str">
            <v>B075CM6D7K</v>
          </cell>
          <cell r="B718">
            <v>0</v>
          </cell>
          <cell r="C718">
            <v>1</v>
          </cell>
          <cell r="D718">
            <v>1</v>
          </cell>
          <cell r="E718">
            <v>0</v>
          </cell>
        </row>
        <row r="719">
          <cell r="A719" t="str">
            <v>B075CNQLTP</v>
          </cell>
          <cell r="B719">
            <v>1</v>
          </cell>
          <cell r="C719">
            <v>3</v>
          </cell>
          <cell r="D719">
            <v>2</v>
          </cell>
          <cell r="E719">
            <v>0</v>
          </cell>
        </row>
        <row r="720">
          <cell r="A720" t="str">
            <v>B076HP7DQW</v>
          </cell>
          <cell r="B720">
            <v>0</v>
          </cell>
          <cell r="C720">
            <v>2</v>
          </cell>
          <cell r="D720">
            <v>1</v>
          </cell>
          <cell r="E720">
            <v>0</v>
          </cell>
        </row>
        <row r="721">
          <cell r="A721" t="str">
            <v>B077GTMLLQ</v>
          </cell>
          <cell r="B721">
            <v>0</v>
          </cell>
          <cell r="C721">
            <v>1</v>
          </cell>
          <cell r="D721">
            <v>2</v>
          </cell>
          <cell r="E721">
            <v>0</v>
          </cell>
        </row>
        <row r="722">
          <cell r="A722" t="str">
            <v>B077N6RL2N</v>
          </cell>
          <cell r="B722">
            <v>1</v>
          </cell>
          <cell r="C722">
            <v>3</v>
          </cell>
          <cell r="D722">
            <v>1</v>
          </cell>
          <cell r="E722">
            <v>0</v>
          </cell>
        </row>
        <row r="723">
          <cell r="A723" t="str">
            <v>B0784285GH</v>
          </cell>
          <cell r="B723">
            <v>0</v>
          </cell>
          <cell r="C723">
            <v>0</v>
          </cell>
          <cell r="D723">
            <v>1</v>
          </cell>
          <cell r="E723">
            <v>0</v>
          </cell>
        </row>
        <row r="724">
          <cell r="A724" t="str">
            <v>B079FQX9Q1</v>
          </cell>
          <cell r="B724">
            <v>4</v>
          </cell>
          <cell r="C724">
            <v>5</v>
          </cell>
          <cell r="D724">
            <v>2</v>
          </cell>
          <cell r="E724">
            <v>0</v>
          </cell>
        </row>
        <row r="725">
          <cell r="A725" t="str">
            <v>B079FSNZN7</v>
          </cell>
          <cell r="B725">
            <v>3</v>
          </cell>
          <cell r="C725">
            <v>3</v>
          </cell>
          <cell r="D725">
            <v>1</v>
          </cell>
          <cell r="E725">
            <v>0</v>
          </cell>
        </row>
        <row r="726">
          <cell r="A726" t="str">
            <v>B079FTJ6C1</v>
          </cell>
          <cell r="B726">
            <v>2</v>
          </cell>
          <cell r="C726">
            <v>3</v>
          </cell>
          <cell r="D726">
            <v>1</v>
          </cell>
          <cell r="E726">
            <v>0</v>
          </cell>
        </row>
        <row r="727">
          <cell r="A727" t="str">
            <v>B079FVMRBZ</v>
          </cell>
          <cell r="B727">
            <v>1</v>
          </cell>
          <cell r="C727">
            <v>4</v>
          </cell>
          <cell r="D727">
            <v>1</v>
          </cell>
          <cell r="E727">
            <v>0</v>
          </cell>
        </row>
        <row r="728">
          <cell r="A728" t="str">
            <v>B079FX7R86</v>
          </cell>
          <cell r="B728">
            <v>0</v>
          </cell>
          <cell r="C728">
            <v>1</v>
          </cell>
          <cell r="D728">
            <v>1</v>
          </cell>
          <cell r="E728">
            <v>0</v>
          </cell>
        </row>
        <row r="729">
          <cell r="A729" t="str">
            <v>B07BFP5FH3</v>
          </cell>
          <cell r="B729">
            <v>4</v>
          </cell>
          <cell r="C729">
            <v>0</v>
          </cell>
          <cell r="D729">
            <v>2</v>
          </cell>
          <cell r="E729">
            <v>0</v>
          </cell>
        </row>
        <row r="730">
          <cell r="A730" t="str">
            <v>B07BZLC93M</v>
          </cell>
          <cell r="B730">
            <v>5</v>
          </cell>
          <cell r="C730">
            <v>3</v>
          </cell>
          <cell r="D730">
            <v>10</v>
          </cell>
          <cell r="E730">
            <v>0</v>
          </cell>
        </row>
        <row r="731">
          <cell r="A731" t="str">
            <v>B07C4G72FN</v>
          </cell>
          <cell r="B731">
            <v>0</v>
          </cell>
          <cell r="C731">
            <v>0</v>
          </cell>
          <cell r="D731">
            <v>1</v>
          </cell>
          <cell r="E731">
            <v>0</v>
          </cell>
        </row>
        <row r="732">
          <cell r="A732" t="str">
            <v>B07DN9X8L2</v>
          </cell>
          <cell r="B732">
            <v>0</v>
          </cell>
          <cell r="C732">
            <v>0</v>
          </cell>
          <cell r="D732">
            <v>119</v>
          </cell>
          <cell r="E732">
            <v>0</v>
          </cell>
        </row>
        <row r="733">
          <cell r="A733" t="str">
            <v>B07FDVY7MN</v>
          </cell>
          <cell r="B733">
            <v>46</v>
          </cell>
          <cell r="C733">
            <v>32</v>
          </cell>
          <cell r="D733">
            <v>9</v>
          </cell>
          <cell r="E733">
            <v>0</v>
          </cell>
        </row>
        <row r="734">
          <cell r="A734" t="str">
            <v>B07FF3JGFS</v>
          </cell>
          <cell r="B734">
            <v>47</v>
          </cell>
          <cell r="C734">
            <v>30</v>
          </cell>
          <cell r="D734">
            <v>5</v>
          </cell>
          <cell r="E734">
            <v>0</v>
          </cell>
        </row>
        <row r="735">
          <cell r="A735" t="str">
            <v>B07FF5XBYR</v>
          </cell>
          <cell r="B735">
            <v>53</v>
          </cell>
          <cell r="C735">
            <v>34</v>
          </cell>
          <cell r="D735">
            <v>21</v>
          </cell>
          <cell r="E735">
            <v>0</v>
          </cell>
        </row>
        <row r="736">
          <cell r="A736" t="str">
            <v>B01C8QJY0K</v>
          </cell>
          <cell r="B736">
            <v>45</v>
          </cell>
          <cell r="C736">
            <v>54</v>
          </cell>
          <cell r="D736">
            <v>0</v>
          </cell>
          <cell r="E736">
            <v>0</v>
          </cell>
        </row>
        <row r="737">
          <cell r="A737" t="str">
            <v>B01C8QIY6K</v>
          </cell>
          <cell r="B737">
            <v>3</v>
          </cell>
          <cell r="C737">
            <v>2</v>
          </cell>
          <cell r="D737">
            <v>0</v>
          </cell>
          <cell r="E737">
            <v>0</v>
          </cell>
        </row>
        <row r="738">
          <cell r="A738" t="str">
            <v>B06Y5DS5M8</v>
          </cell>
          <cell r="B738">
            <v>0</v>
          </cell>
          <cell r="C738">
            <v>1</v>
          </cell>
          <cell r="D738">
            <v>0</v>
          </cell>
          <cell r="E738">
            <v>0</v>
          </cell>
        </row>
        <row r="739">
          <cell r="A739" t="str">
            <v>B077YZQ4GF</v>
          </cell>
          <cell r="B739">
            <v>3</v>
          </cell>
          <cell r="C739">
            <v>1</v>
          </cell>
          <cell r="D739">
            <v>0</v>
          </cell>
          <cell r="E739">
            <v>0</v>
          </cell>
        </row>
        <row r="740">
          <cell r="A740" t="str">
            <v>B079FVRCX3</v>
          </cell>
          <cell r="B740">
            <v>1</v>
          </cell>
          <cell r="C740">
            <v>2</v>
          </cell>
          <cell r="D740">
            <v>0</v>
          </cell>
          <cell r="E740">
            <v>0</v>
          </cell>
        </row>
        <row r="741">
          <cell r="A741" t="str">
            <v>B07CXKG7V2</v>
          </cell>
          <cell r="B741">
            <v>0</v>
          </cell>
          <cell r="C741">
            <v>2</v>
          </cell>
          <cell r="D741">
            <v>0</v>
          </cell>
          <cell r="E741">
            <v>0</v>
          </cell>
        </row>
        <row r="742">
          <cell r="A742" t="str">
            <v>B07DQL4VVL</v>
          </cell>
          <cell r="B742">
            <v>30</v>
          </cell>
          <cell r="C742">
            <v>37</v>
          </cell>
          <cell r="D742">
            <v>0</v>
          </cell>
          <cell r="E742">
            <v>0</v>
          </cell>
        </row>
        <row r="743">
          <cell r="A743" t="str">
            <v>B07DQL77MR</v>
          </cell>
          <cell r="B743">
            <v>0</v>
          </cell>
          <cell r="C743">
            <v>1</v>
          </cell>
          <cell r="D743">
            <v>0</v>
          </cell>
          <cell r="E743">
            <v>0</v>
          </cell>
        </row>
        <row r="744">
          <cell r="A744" t="str">
            <v>B07DQLVNSH</v>
          </cell>
          <cell r="B744">
            <v>0</v>
          </cell>
          <cell r="C744">
            <v>1</v>
          </cell>
          <cell r="D744">
            <v>0</v>
          </cell>
          <cell r="E744">
            <v>0</v>
          </cell>
        </row>
        <row r="745">
          <cell r="A745" t="str">
            <v>B07DQMJRJG</v>
          </cell>
          <cell r="B745">
            <v>0</v>
          </cell>
          <cell r="C745">
            <v>1</v>
          </cell>
          <cell r="D745">
            <v>0</v>
          </cell>
          <cell r="E745">
            <v>0</v>
          </cell>
        </row>
        <row r="746">
          <cell r="A746" t="str">
            <v>B07DQPGWNM</v>
          </cell>
          <cell r="B746">
            <v>0</v>
          </cell>
          <cell r="C746">
            <v>1</v>
          </cell>
          <cell r="D746">
            <v>0</v>
          </cell>
          <cell r="E746">
            <v>0</v>
          </cell>
        </row>
        <row r="747">
          <cell r="A747" t="str">
            <v>B07DQPRJPR</v>
          </cell>
          <cell r="B747">
            <v>16</v>
          </cell>
          <cell r="C747">
            <v>15</v>
          </cell>
          <cell r="D747">
            <v>0</v>
          </cell>
          <cell r="E747">
            <v>0</v>
          </cell>
        </row>
        <row r="748">
          <cell r="A748" t="str">
            <v>B07DVBN2KT</v>
          </cell>
          <cell r="B748">
            <v>26</v>
          </cell>
          <cell r="C748">
            <v>15</v>
          </cell>
          <cell r="D748">
            <v>0</v>
          </cell>
          <cell r="E748">
            <v>0</v>
          </cell>
        </row>
        <row r="749">
          <cell r="A749" t="str">
            <v>B07DVK4HKX</v>
          </cell>
          <cell r="B749">
            <v>46</v>
          </cell>
          <cell r="C749">
            <v>15</v>
          </cell>
          <cell r="D749">
            <v>0</v>
          </cell>
          <cell r="E749">
            <v>0</v>
          </cell>
        </row>
        <row r="750">
          <cell r="A750" t="str">
            <v>B07DVLM761</v>
          </cell>
          <cell r="B750">
            <v>27</v>
          </cell>
          <cell r="C750">
            <v>20</v>
          </cell>
          <cell r="D750">
            <v>0</v>
          </cell>
          <cell r="E750">
            <v>0</v>
          </cell>
        </row>
        <row r="751">
          <cell r="A751" t="str">
            <v>B07FJQJ4XP</v>
          </cell>
          <cell r="B751">
            <v>21</v>
          </cell>
          <cell r="C751">
            <v>11</v>
          </cell>
          <cell r="D751">
            <v>0</v>
          </cell>
          <cell r="E751">
            <v>0</v>
          </cell>
        </row>
        <row r="752">
          <cell r="A752" t="str">
            <v>B07FM8JKCL</v>
          </cell>
          <cell r="B752">
            <v>10</v>
          </cell>
          <cell r="C752">
            <v>1</v>
          </cell>
          <cell r="D752">
            <v>0</v>
          </cell>
          <cell r="E752">
            <v>0</v>
          </cell>
        </row>
        <row r="753">
          <cell r="A753" t="str">
            <v>B07FP7MJYC</v>
          </cell>
          <cell r="B753">
            <v>0</v>
          </cell>
          <cell r="C753">
            <v>1</v>
          </cell>
          <cell r="D753">
            <v>0</v>
          </cell>
          <cell r="E753">
            <v>0</v>
          </cell>
        </row>
        <row r="754">
          <cell r="A754" t="str">
            <v>B07FPBS54Y</v>
          </cell>
          <cell r="B754">
            <v>100</v>
          </cell>
          <cell r="C754">
            <v>3</v>
          </cell>
          <cell r="D754">
            <v>0</v>
          </cell>
          <cell r="E754">
            <v>0</v>
          </cell>
        </row>
        <row r="755">
          <cell r="A755" t="str">
            <v>B07FR8YG78</v>
          </cell>
          <cell r="B755">
            <v>7</v>
          </cell>
          <cell r="C755">
            <v>4</v>
          </cell>
          <cell r="D755">
            <v>0</v>
          </cell>
          <cell r="E755">
            <v>0</v>
          </cell>
        </row>
        <row r="756">
          <cell r="A756" t="str">
            <v>B01BHQWRLU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B01F5LQ0MA</v>
          </cell>
          <cell r="B757">
            <v>2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B073WX3KWG</v>
          </cell>
          <cell r="B758">
            <v>1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B07FM42JD2</v>
          </cell>
          <cell r="B759">
            <v>2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B07FM5CQBS</v>
          </cell>
          <cell r="B760">
            <v>2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B07FM5D6V7</v>
          </cell>
          <cell r="B761">
            <v>3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B07FM66H7Y</v>
          </cell>
          <cell r="B762">
            <v>1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B07FM6GKHY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B07FM6LRHB</v>
          </cell>
          <cell r="B764">
            <v>3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B07FM6M66H</v>
          </cell>
          <cell r="B765">
            <v>2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B07FM6MQSS</v>
          </cell>
          <cell r="B766">
            <v>2</v>
          </cell>
          <cell r="C766">
            <v>0</v>
          </cell>
          <cell r="D766">
            <v>0</v>
          </cell>
          <cell r="E766">
            <v>0</v>
          </cell>
        </row>
        <row r="767">
          <cell r="A767" t="str">
            <v>B07FM6WSYH</v>
          </cell>
          <cell r="B767">
            <v>2</v>
          </cell>
          <cell r="C767">
            <v>0</v>
          </cell>
          <cell r="D767">
            <v>0</v>
          </cell>
          <cell r="E767">
            <v>0</v>
          </cell>
        </row>
        <row r="768">
          <cell r="A768" t="str">
            <v>B07FM6X59M</v>
          </cell>
          <cell r="B768">
            <v>3</v>
          </cell>
          <cell r="C768">
            <v>0</v>
          </cell>
          <cell r="D768">
            <v>0</v>
          </cell>
          <cell r="E768">
            <v>0</v>
          </cell>
        </row>
        <row r="769">
          <cell r="A769" t="str">
            <v>B07FM77G99</v>
          </cell>
          <cell r="B769">
            <v>1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B07FM8L625</v>
          </cell>
          <cell r="B770">
            <v>1</v>
          </cell>
          <cell r="C770">
            <v>0</v>
          </cell>
          <cell r="D770">
            <v>0</v>
          </cell>
          <cell r="E770">
            <v>0</v>
          </cell>
        </row>
        <row r="771">
          <cell r="A771" t="str">
            <v>B07FM8LS9R</v>
          </cell>
          <cell r="B771">
            <v>5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B07FMBTXMF</v>
          </cell>
          <cell r="B772">
            <v>3</v>
          </cell>
          <cell r="C772">
            <v>0</v>
          </cell>
          <cell r="D772">
            <v>0</v>
          </cell>
          <cell r="E772">
            <v>0</v>
          </cell>
        </row>
        <row r="773">
          <cell r="A773" t="str">
            <v>B07FMBXWG6</v>
          </cell>
          <cell r="B773">
            <v>8</v>
          </cell>
          <cell r="C773">
            <v>0</v>
          </cell>
          <cell r="D773">
            <v>0</v>
          </cell>
          <cell r="E773">
            <v>0</v>
          </cell>
        </row>
        <row r="774">
          <cell r="A774" t="str">
            <v>B07FMFLC15</v>
          </cell>
          <cell r="B774">
            <v>14</v>
          </cell>
          <cell r="C774">
            <v>0</v>
          </cell>
          <cell r="D774">
            <v>0</v>
          </cell>
          <cell r="E774">
            <v>0</v>
          </cell>
        </row>
        <row r="775">
          <cell r="A775" t="str">
            <v>B07FML2VJ1</v>
          </cell>
          <cell r="B775">
            <v>3</v>
          </cell>
          <cell r="C775">
            <v>0</v>
          </cell>
          <cell r="D775">
            <v>0</v>
          </cell>
          <cell r="E775">
            <v>0</v>
          </cell>
        </row>
        <row r="776">
          <cell r="A776" t="str">
            <v>B07FMM2HXQ</v>
          </cell>
          <cell r="B776">
            <v>5</v>
          </cell>
          <cell r="C776">
            <v>0</v>
          </cell>
          <cell r="D776">
            <v>0</v>
          </cell>
          <cell r="E776">
            <v>0</v>
          </cell>
        </row>
        <row r="777">
          <cell r="A777" t="str">
            <v>B07FP74CT9</v>
          </cell>
          <cell r="B777">
            <v>1</v>
          </cell>
          <cell r="C777">
            <v>0</v>
          </cell>
          <cell r="D777">
            <v>0</v>
          </cell>
          <cell r="E777">
            <v>0</v>
          </cell>
        </row>
        <row r="778">
          <cell r="A778" t="str">
            <v>B07FP7WW37</v>
          </cell>
          <cell r="B778">
            <v>1</v>
          </cell>
          <cell r="C778">
            <v>0</v>
          </cell>
          <cell r="D778">
            <v>0</v>
          </cell>
          <cell r="E778">
            <v>0</v>
          </cell>
        </row>
        <row r="779">
          <cell r="A779" t="str">
            <v>B07FP8X2TC</v>
          </cell>
          <cell r="B779">
            <v>4</v>
          </cell>
          <cell r="C779">
            <v>0</v>
          </cell>
          <cell r="D779">
            <v>0</v>
          </cell>
          <cell r="E779">
            <v>0</v>
          </cell>
        </row>
        <row r="780">
          <cell r="A780" t="str">
            <v>B07FP915GV</v>
          </cell>
          <cell r="B780">
            <v>2</v>
          </cell>
          <cell r="C780">
            <v>0</v>
          </cell>
          <cell r="D780">
            <v>0</v>
          </cell>
          <cell r="E780">
            <v>0</v>
          </cell>
        </row>
        <row r="781">
          <cell r="A781" t="str">
            <v>B07FPBJZSY</v>
          </cell>
          <cell r="B781">
            <v>1</v>
          </cell>
          <cell r="C781">
            <v>0</v>
          </cell>
          <cell r="D781">
            <v>0</v>
          </cell>
          <cell r="E781">
            <v>0</v>
          </cell>
        </row>
        <row r="782">
          <cell r="A782" t="str">
            <v>B07FPBTZTD</v>
          </cell>
          <cell r="B782">
            <v>2</v>
          </cell>
          <cell r="C782">
            <v>0</v>
          </cell>
          <cell r="D782">
            <v>0</v>
          </cell>
          <cell r="E782">
            <v>0</v>
          </cell>
        </row>
        <row r="783">
          <cell r="A783" t="str">
            <v>B07FPDK8GL</v>
          </cell>
          <cell r="B783">
            <v>7</v>
          </cell>
          <cell r="C783">
            <v>0</v>
          </cell>
          <cell r="D783">
            <v>0</v>
          </cell>
          <cell r="E783">
            <v>0</v>
          </cell>
        </row>
        <row r="784">
          <cell r="A784" t="str">
            <v>B07FPDVC3D</v>
          </cell>
          <cell r="B784">
            <v>2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B07FPF1V6Z</v>
          </cell>
          <cell r="B785">
            <v>2</v>
          </cell>
          <cell r="C785">
            <v>0</v>
          </cell>
          <cell r="D785">
            <v>0</v>
          </cell>
          <cell r="E785">
            <v>0</v>
          </cell>
        </row>
        <row r="786">
          <cell r="A786" t="str">
            <v>B07FPGYWZ9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</row>
        <row r="787">
          <cell r="A787" t="str">
            <v>B07FPLD45J</v>
          </cell>
          <cell r="B787">
            <v>1</v>
          </cell>
          <cell r="C787">
            <v>0</v>
          </cell>
          <cell r="D787">
            <v>0</v>
          </cell>
          <cell r="E787">
            <v>0</v>
          </cell>
        </row>
        <row r="788">
          <cell r="A788" t="str">
            <v>B07FPWYGND</v>
          </cell>
          <cell r="B788">
            <v>4</v>
          </cell>
          <cell r="C788">
            <v>0</v>
          </cell>
          <cell r="D788">
            <v>0</v>
          </cell>
          <cell r="E788">
            <v>0</v>
          </cell>
        </row>
        <row r="789">
          <cell r="A789" t="str">
            <v>B07FZY7P2X</v>
          </cell>
          <cell r="B789">
            <v>19</v>
          </cell>
          <cell r="C789">
            <v>0</v>
          </cell>
          <cell r="D789">
            <v>0</v>
          </cell>
          <cell r="E789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1336.61</v>
          </cell>
        </row>
        <row r="3">
          <cell r="G3">
            <v>1448.63</v>
          </cell>
        </row>
        <row r="3">
          <cell r="J3">
            <v>975.73</v>
          </cell>
        </row>
        <row r="3">
          <cell r="M3">
            <v>799.53</v>
          </cell>
        </row>
        <row r="4">
          <cell r="A4" t="str">
            <v>ZAKKA0589R035*50CM</v>
          </cell>
          <cell r="B4">
            <v>0</v>
          </cell>
          <cell r="C4">
            <v>0</v>
          </cell>
          <cell r="D4">
            <v>0</v>
          </cell>
          <cell r="E4">
            <v>11</v>
          </cell>
          <cell r="F4">
            <v>0</v>
          </cell>
          <cell r="G4">
            <v>0</v>
          </cell>
          <cell r="H4">
            <v>85</v>
          </cell>
          <cell r="I4">
            <v>1</v>
          </cell>
          <cell r="J4">
            <v>0.09</v>
          </cell>
          <cell r="K4">
            <v>74</v>
          </cell>
          <cell r="L4">
            <v>0</v>
          </cell>
          <cell r="M4">
            <v>0</v>
          </cell>
        </row>
        <row r="5">
          <cell r="A5" t="str">
            <v>ZAKKA0630B028*55CM</v>
          </cell>
          <cell r="B5">
            <v>3278</v>
          </cell>
          <cell r="C5">
            <v>24</v>
          </cell>
          <cell r="D5">
            <v>3.15</v>
          </cell>
          <cell r="E5">
            <v>7350</v>
          </cell>
          <cell r="F5">
            <v>89</v>
          </cell>
          <cell r="G5">
            <v>14.42</v>
          </cell>
          <cell r="H5">
            <v>7386</v>
          </cell>
          <cell r="I5">
            <v>66</v>
          </cell>
          <cell r="J5">
            <v>11.53</v>
          </cell>
          <cell r="K5">
            <v>4695</v>
          </cell>
          <cell r="L5">
            <v>59</v>
          </cell>
          <cell r="M5">
            <v>8.36</v>
          </cell>
        </row>
        <row r="6">
          <cell r="A6" t="str">
            <v>ZAKKA0631B030*65CM</v>
          </cell>
          <cell r="B6">
            <v>21229</v>
          </cell>
          <cell r="C6">
            <v>203</v>
          </cell>
          <cell r="D6">
            <v>42.72</v>
          </cell>
          <cell r="E6">
            <v>26742</v>
          </cell>
          <cell r="F6">
            <v>243</v>
          </cell>
          <cell r="G6">
            <v>49.76</v>
          </cell>
          <cell r="H6">
            <v>25611</v>
          </cell>
          <cell r="I6">
            <v>279</v>
          </cell>
          <cell r="J6">
            <v>44.96</v>
          </cell>
          <cell r="K6">
            <v>15884</v>
          </cell>
          <cell r="L6">
            <v>159</v>
          </cell>
          <cell r="M6">
            <v>26.86</v>
          </cell>
        </row>
        <row r="7">
          <cell r="A7" t="str">
            <v>ZAKKA0633B035*50CM</v>
          </cell>
          <cell r="B7">
            <v>2614</v>
          </cell>
          <cell r="C7">
            <v>25</v>
          </cell>
          <cell r="D7">
            <v>11.71</v>
          </cell>
          <cell r="E7">
            <v>1803</v>
          </cell>
          <cell r="F7">
            <v>13</v>
          </cell>
          <cell r="G7">
            <v>6.32</v>
          </cell>
          <cell r="H7">
            <v>337</v>
          </cell>
          <cell r="I7">
            <v>1</v>
          </cell>
          <cell r="J7">
            <v>0.16</v>
          </cell>
          <cell r="K7">
            <v>203</v>
          </cell>
          <cell r="L7">
            <v>2</v>
          </cell>
          <cell r="M7">
            <v>0.24</v>
          </cell>
        </row>
        <row r="8">
          <cell r="A8" t="str">
            <v>ZAKKA0630R028*55CM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ZAKKA0631R030*65CM</v>
          </cell>
          <cell r="B9">
            <v>0</v>
          </cell>
          <cell r="C9">
            <v>0</v>
          </cell>
          <cell r="D9">
            <v>0</v>
          </cell>
          <cell r="E9">
            <v>1995</v>
          </cell>
          <cell r="F9">
            <v>25</v>
          </cell>
          <cell r="G9">
            <v>7.87</v>
          </cell>
          <cell r="H9">
            <v>1064</v>
          </cell>
          <cell r="I9">
            <v>10</v>
          </cell>
          <cell r="J9">
            <v>3.44</v>
          </cell>
          <cell r="K9">
            <v>243</v>
          </cell>
          <cell r="L9">
            <v>5</v>
          </cell>
          <cell r="M9">
            <v>0.82</v>
          </cell>
        </row>
        <row r="10">
          <cell r="A10" t="str">
            <v>TBYPRBFOUR-M</v>
          </cell>
          <cell r="B10">
            <v>0</v>
          </cell>
          <cell r="C10">
            <v>0</v>
          </cell>
          <cell r="D10">
            <v>0</v>
          </cell>
          <cell r="E10">
            <v>217</v>
          </cell>
          <cell r="F10">
            <v>3</v>
          </cell>
          <cell r="G10">
            <v>0.38</v>
          </cell>
          <cell r="H10">
            <v>650</v>
          </cell>
          <cell r="I10">
            <v>4</v>
          </cell>
          <cell r="J10">
            <v>0.63</v>
          </cell>
          <cell r="K10">
            <v>583</v>
          </cell>
          <cell r="L10">
            <v>2</v>
          </cell>
          <cell r="M10">
            <v>1.12</v>
          </cell>
        </row>
        <row r="11">
          <cell r="A11" t="str">
            <v>TBYPRBONE-M</v>
          </cell>
          <cell r="B11">
            <v>278114</v>
          </cell>
          <cell r="C11">
            <v>768</v>
          </cell>
          <cell r="D11">
            <v>414.32</v>
          </cell>
          <cell r="E11">
            <v>200764</v>
          </cell>
          <cell r="F11">
            <v>625</v>
          </cell>
          <cell r="G11">
            <v>377.15</v>
          </cell>
          <cell r="H11">
            <v>162294</v>
          </cell>
          <cell r="I11">
            <v>420</v>
          </cell>
          <cell r="J11">
            <v>215.97</v>
          </cell>
          <cell r="K11">
            <v>171264</v>
          </cell>
          <cell r="L11">
            <v>454</v>
          </cell>
          <cell r="M11">
            <v>231.25</v>
          </cell>
        </row>
        <row r="12">
          <cell r="A12" t="str">
            <v>YY1100G0M</v>
          </cell>
          <cell r="B12">
            <v>2388</v>
          </cell>
          <cell r="C12">
            <v>6</v>
          </cell>
          <cell r="D12">
            <v>1.25</v>
          </cell>
          <cell r="E12">
            <v>15360</v>
          </cell>
          <cell r="F12">
            <v>19</v>
          </cell>
          <cell r="G12">
            <v>8.45</v>
          </cell>
          <cell r="H12">
            <v>80631</v>
          </cell>
          <cell r="I12">
            <v>128</v>
          </cell>
          <cell r="J12">
            <v>61.73</v>
          </cell>
          <cell r="K12">
            <v>38654</v>
          </cell>
          <cell r="L12">
            <v>75</v>
          </cell>
          <cell r="M12">
            <v>33.39</v>
          </cell>
        </row>
        <row r="13">
          <cell r="A13" t="str">
            <v>YY1100PR</v>
          </cell>
          <cell r="B13">
            <v>65070</v>
          </cell>
          <cell r="C13">
            <v>140</v>
          </cell>
          <cell r="D13">
            <v>72.51</v>
          </cell>
          <cell r="E13">
            <v>37538</v>
          </cell>
          <cell r="F13">
            <v>148</v>
          </cell>
          <cell r="G13">
            <v>78.32</v>
          </cell>
          <cell r="H13">
            <v>34226</v>
          </cell>
          <cell r="I13">
            <v>100</v>
          </cell>
          <cell r="J13">
            <v>49.7</v>
          </cell>
          <cell r="K13">
            <v>18217</v>
          </cell>
          <cell r="L13">
            <v>74</v>
          </cell>
          <cell r="M13">
            <v>33.23</v>
          </cell>
        </row>
        <row r="14">
          <cell r="A14" t="str">
            <v>TBYSTARRED</v>
          </cell>
          <cell r="B14">
            <v>0</v>
          </cell>
          <cell r="C14">
            <v>0</v>
          </cell>
          <cell r="D14">
            <v>0</v>
          </cell>
          <cell r="E14">
            <v>3009</v>
          </cell>
          <cell r="F14">
            <v>11</v>
          </cell>
          <cell r="G14">
            <v>5.78</v>
          </cell>
          <cell r="H14">
            <v>17636</v>
          </cell>
          <cell r="I14">
            <v>34</v>
          </cell>
          <cell r="J14">
            <v>20.77</v>
          </cell>
          <cell r="K14">
            <v>12714</v>
          </cell>
          <cell r="L14">
            <v>24</v>
          </cell>
          <cell r="M14">
            <v>11.55</v>
          </cell>
        </row>
        <row r="15">
          <cell r="A15" t="str">
            <v>TBYPJBLACK</v>
          </cell>
          <cell r="B15">
            <v>46246</v>
          </cell>
          <cell r="C15">
            <v>209</v>
          </cell>
          <cell r="D15">
            <v>119.44</v>
          </cell>
          <cell r="E15">
            <v>23079</v>
          </cell>
          <cell r="F15">
            <v>143</v>
          </cell>
          <cell r="G15">
            <v>88.37</v>
          </cell>
          <cell r="H15">
            <v>9094</v>
          </cell>
          <cell r="I15">
            <v>58</v>
          </cell>
          <cell r="J15">
            <v>28.7</v>
          </cell>
          <cell r="K15">
            <v>7667</v>
          </cell>
          <cell r="L15">
            <v>50</v>
          </cell>
          <cell r="M15">
            <v>27.35</v>
          </cell>
        </row>
        <row r="16">
          <cell r="A16" t="str">
            <v>MZYSZHUOBUDTLEIS60*60CM</v>
          </cell>
          <cell r="B16">
            <v>4127</v>
          </cell>
          <cell r="C16">
            <v>43</v>
          </cell>
          <cell r="D16">
            <v>5.91</v>
          </cell>
          <cell r="E16">
            <v>4143</v>
          </cell>
          <cell r="F16">
            <v>42</v>
          </cell>
          <cell r="G16">
            <v>7.01</v>
          </cell>
          <cell r="H16">
            <v>5566</v>
          </cell>
          <cell r="I16">
            <v>52</v>
          </cell>
          <cell r="J16">
            <v>10.37</v>
          </cell>
          <cell r="K16">
            <v>7182</v>
          </cell>
          <cell r="L16">
            <v>51</v>
          </cell>
          <cell r="M16">
            <v>10.57</v>
          </cell>
        </row>
        <row r="17">
          <cell r="A17" t="str">
            <v>MZYSZHUOBUDTMAP140*140CM</v>
          </cell>
          <cell r="B17">
            <v>9150</v>
          </cell>
          <cell r="C17">
            <v>40</v>
          </cell>
          <cell r="D17">
            <v>26.06</v>
          </cell>
          <cell r="E17">
            <v>32314</v>
          </cell>
          <cell r="F17">
            <v>128</v>
          </cell>
          <cell r="G17">
            <v>83.86</v>
          </cell>
          <cell r="H17">
            <v>55561</v>
          </cell>
          <cell r="I17">
            <v>200</v>
          </cell>
          <cell r="J17">
            <v>130.25</v>
          </cell>
          <cell r="K17">
            <v>66824</v>
          </cell>
          <cell r="L17">
            <v>179</v>
          </cell>
          <cell r="M17">
            <v>105.9</v>
          </cell>
        </row>
        <row r="18">
          <cell r="A18" t="str">
            <v>YMQYQXDHW0100*140CM</v>
          </cell>
          <cell r="B18">
            <v>803</v>
          </cell>
          <cell r="C18">
            <v>4</v>
          </cell>
          <cell r="D18">
            <v>0.81</v>
          </cell>
          <cell r="E18">
            <v>1241</v>
          </cell>
          <cell r="F18">
            <v>10</v>
          </cell>
          <cell r="G18">
            <v>1.28</v>
          </cell>
          <cell r="H18">
            <v>1882</v>
          </cell>
          <cell r="I18">
            <v>17</v>
          </cell>
          <cell r="J18">
            <v>1.91</v>
          </cell>
          <cell r="K18">
            <v>687</v>
          </cell>
          <cell r="L18">
            <v>4</v>
          </cell>
          <cell r="M18">
            <v>0.51</v>
          </cell>
        </row>
        <row r="19">
          <cell r="A19" t="str">
            <v>YMQYQXDHW0140*180CM</v>
          </cell>
          <cell r="B19">
            <v>1275</v>
          </cell>
          <cell r="C19">
            <v>18</v>
          </cell>
          <cell r="D19">
            <v>4.73</v>
          </cell>
          <cell r="E19">
            <v>770</v>
          </cell>
          <cell r="F19">
            <v>10</v>
          </cell>
          <cell r="G19">
            <v>1.64</v>
          </cell>
          <cell r="H19">
            <v>516</v>
          </cell>
          <cell r="I19">
            <v>8</v>
          </cell>
          <cell r="J19">
            <v>1.67</v>
          </cell>
          <cell r="K19">
            <v>580</v>
          </cell>
          <cell r="L19">
            <v>11</v>
          </cell>
          <cell r="M19">
            <v>2.19</v>
          </cell>
        </row>
        <row r="20">
          <cell r="A20" t="str">
            <v>YMQYQXDHW0140*200CM</v>
          </cell>
          <cell r="B20">
            <v>1633</v>
          </cell>
          <cell r="C20">
            <v>25</v>
          </cell>
          <cell r="D20">
            <v>7.96</v>
          </cell>
          <cell r="E20">
            <v>764</v>
          </cell>
          <cell r="F20">
            <v>7</v>
          </cell>
          <cell r="G20">
            <v>1.33</v>
          </cell>
          <cell r="H20">
            <v>526</v>
          </cell>
          <cell r="I20">
            <v>8</v>
          </cell>
          <cell r="J20">
            <v>1.49</v>
          </cell>
          <cell r="K20">
            <v>469</v>
          </cell>
          <cell r="L20">
            <v>5</v>
          </cell>
          <cell r="M20">
            <v>0.7</v>
          </cell>
        </row>
        <row r="21">
          <cell r="A21" t="str">
            <v>YMQYQXDHW0140*220CM</v>
          </cell>
          <cell r="B21">
            <v>488</v>
          </cell>
          <cell r="C21">
            <v>5</v>
          </cell>
          <cell r="D21">
            <v>0.79</v>
          </cell>
          <cell r="E21">
            <v>534</v>
          </cell>
          <cell r="F21">
            <v>8</v>
          </cell>
          <cell r="G21">
            <v>1.02</v>
          </cell>
          <cell r="H21">
            <v>1087</v>
          </cell>
          <cell r="I21">
            <v>11</v>
          </cell>
          <cell r="J21">
            <v>1.57</v>
          </cell>
          <cell r="K21">
            <v>2260</v>
          </cell>
          <cell r="L21">
            <v>31</v>
          </cell>
          <cell r="M21">
            <v>6.11</v>
          </cell>
        </row>
        <row r="22">
          <cell r="A22" t="str">
            <v>YMQYQXDHW0140*250CM</v>
          </cell>
          <cell r="B22">
            <v>98</v>
          </cell>
          <cell r="C22">
            <v>2</v>
          </cell>
          <cell r="D22">
            <v>0.19</v>
          </cell>
          <cell r="E22">
            <v>185</v>
          </cell>
          <cell r="F22">
            <v>2</v>
          </cell>
          <cell r="G22">
            <v>0.33</v>
          </cell>
          <cell r="H22">
            <v>203</v>
          </cell>
          <cell r="I22">
            <v>2</v>
          </cell>
          <cell r="J22">
            <v>0.48</v>
          </cell>
          <cell r="K22">
            <v>178</v>
          </cell>
          <cell r="L22">
            <v>3</v>
          </cell>
          <cell r="M22">
            <v>0.51</v>
          </cell>
        </row>
        <row r="23">
          <cell r="A23" t="str">
            <v>YMQYQDZMZM140*140CM</v>
          </cell>
          <cell r="B23">
            <v>96</v>
          </cell>
          <cell r="C23">
            <v>0</v>
          </cell>
          <cell r="D23">
            <v>0</v>
          </cell>
          <cell r="E23">
            <v>112</v>
          </cell>
          <cell r="F23">
            <v>1</v>
          </cell>
          <cell r="G23">
            <v>0.21</v>
          </cell>
          <cell r="H23">
            <v>115</v>
          </cell>
          <cell r="I23">
            <v>1</v>
          </cell>
          <cell r="J23">
            <v>0.24</v>
          </cell>
          <cell r="K23">
            <v>113</v>
          </cell>
          <cell r="L23">
            <v>0</v>
          </cell>
          <cell r="M23">
            <v>0</v>
          </cell>
        </row>
        <row r="24">
          <cell r="A24" t="str">
            <v>YMQYQJISZMSS100*140CM</v>
          </cell>
          <cell r="B24">
            <v>88</v>
          </cell>
          <cell r="C24">
            <v>0</v>
          </cell>
          <cell r="D24">
            <v>0</v>
          </cell>
          <cell r="E24">
            <v>70</v>
          </cell>
          <cell r="F24">
            <v>1</v>
          </cell>
          <cell r="G24">
            <v>0.3</v>
          </cell>
          <cell r="H24">
            <v>107</v>
          </cell>
          <cell r="I24">
            <v>1</v>
          </cell>
          <cell r="J24">
            <v>0.1</v>
          </cell>
          <cell r="K24">
            <v>122</v>
          </cell>
          <cell r="L24">
            <v>1</v>
          </cell>
          <cell r="M24">
            <v>0.3</v>
          </cell>
        </row>
        <row r="25">
          <cell r="A25" t="str">
            <v>YY-IULCY-KS377-BIRD-M</v>
          </cell>
          <cell r="B25">
            <v>3006</v>
          </cell>
          <cell r="C25">
            <v>27</v>
          </cell>
          <cell r="D25">
            <v>13.28</v>
          </cell>
          <cell r="E25">
            <v>1354</v>
          </cell>
          <cell r="F25">
            <v>13</v>
          </cell>
          <cell r="G25">
            <v>4.13</v>
          </cell>
          <cell r="H25">
            <v>101</v>
          </cell>
          <cell r="I25">
            <v>2</v>
          </cell>
          <cell r="J25">
            <v>1.07</v>
          </cell>
          <cell r="K25">
            <v>66</v>
          </cell>
          <cell r="L25">
            <v>1</v>
          </cell>
          <cell r="M25">
            <v>0.76</v>
          </cell>
        </row>
        <row r="26">
          <cell r="A26" t="str">
            <v>YY-IULCY-KS377-PLANT-M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7</v>
          </cell>
          <cell r="L26">
            <v>0</v>
          </cell>
          <cell r="M26">
            <v>0</v>
          </cell>
        </row>
        <row r="27">
          <cell r="A27" t="str">
            <v>YY-IULUY-KS374-DB-L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34</v>
          </cell>
          <cell r="L27">
            <v>1</v>
          </cell>
          <cell r="M27">
            <v>0.3</v>
          </cell>
        </row>
        <row r="28">
          <cell r="A28" t="str">
            <v>YY-IULUY-KS374-YL-M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36</v>
          </cell>
          <cell r="L28">
            <v>0</v>
          </cell>
          <cell r="M28">
            <v>0</v>
          </cell>
        </row>
        <row r="29">
          <cell r="A29" t="str">
            <v>SXHLYITAO4-LH-001DHS40x60CM</v>
          </cell>
          <cell r="B29">
            <v>0</v>
          </cell>
          <cell r="C29">
            <v>0</v>
          </cell>
          <cell r="D29">
            <v>0</v>
          </cell>
          <cell r="E29">
            <v>425</v>
          </cell>
          <cell r="F29">
            <v>0</v>
          </cell>
          <cell r="G29">
            <v>0</v>
          </cell>
          <cell r="H29">
            <v>4136</v>
          </cell>
          <cell r="I29">
            <v>6</v>
          </cell>
          <cell r="J29">
            <v>1.24</v>
          </cell>
          <cell r="K29">
            <v>1565</v>
          </cell>
          <cell r="L29">
            <v>3</v>
          </cell>
          <cell r="M29">
            <v>0.63</v>
          </cell>
        </row>
        <row r="30">
          <cell r="A30" t="str">
            <v>SXHLYITAO5-LH-001YHS40x60CM</v>
          </cell>
          <cell r="B30">
            <v>131</v>
          </cell>
          <cell r="C30">
            <v>1</v>
          </cell>
          <cell r="D30">
            <v>0.25</v>
          </cell>
          <cell r="E30">
            <v>341</v>
          </cell>
          <cell r="F30">
            <v>2</v>
          </cell>
          <cell r="G30">
            <v>0.43</v>
          </cell>
          <cell r="H30">
            <v>804</v>
          </cell>
          <cell r="I30">
            <v>8</v>
          </cell>
          <cell r="J30">
            <v>2.21</v>
          </cell>
          <cell r="K30">
            <v>302</v>
          </cell>
          <cell r="L30">
            <v>1</v>
          </cell>
          <cell r="M30">
            <v>0.27</v>
          </cell>
        </row>
        <row r="31">
          <cell r="A31" t="str">
            <v>SXHLYITAO2-LH-001SKFS40x60CM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52</v>
          </cell>
          <cell r="L31">
            <v>0</v>
          </cell>
          <cell r="M31">
            <v>0</v>
          </cell>
        </row>
        <row r="32">
          <cell r="A32" t="str">
            <v>YX-IUCY-819-N5-L</v>
          </cell>
          <cell r="B32">
            <v>370</v>
          </cell>
          <cell r="C32">
            <v>5</v>
          </cell>
          <cell r="D32">
            <v>0.87</v>
          </cell>
          <cell r="E32">
            <v>629</v>
          </cell>
          <cell r="F32">
            <v>12</v>
          </cell>
          <cell r="G32">
            <v>3.03</v>
          </cell>
          <cell r="H32">
            <v>279</v>
          </cell>
          <cell r="I32">
            <v>7</v>
          </cell>
          <cell r="J32">
            <v>2.02</v>
          </cell>
          <cell r="K32">
            <v>138</v>
          </cell>
          <cell r="L32">
            <v>2</v>
          </cell>
          <cell r="M32">
            <v>0.18</v>
          </cell>
        </row>
        <row r="33">
          <cell r="A33" t="str">
            <v>YX-IUCY-819-WO-XL</v>
          </cell>
          <cell r="B33">
            <v>0</v>
          </cell>
          <cell r="C33">
            <v>0</v>
          </cell>
          <cell r="D33">
            <v>0</v>
          </cell>
          <cell r="E33">
            <v>127</v>
          </cell>
          <cell r="F33">
            <v>5</v>
          </cell>
          <cell r="G33">
            <v>1.24</v>
          </cell>
          <cell r="H33">
            <v>209</v>
          </cell>
          <cell r="I33">
            <v>3</v>
          </cell>
          <cell r="J33">
            <v>0.34</v>
          </cell>
          <cell r="K33">
            <v>131</v>
          </cell>
          <cell r="L33">
            <v>2</v>
          </cell>
          <cell r="M33">
            <v>0.18</v>
          </cell>
        </row>
        <row r="34">
          <cell r="A34" t="str">
            <v>YY1100W0L</v>
          </cell>
          <cell r="B34">
            <v>0</v>
          </cell>
          <cell r="C34">
            <v>0</v>
          </cell>
          <cell r="D34">
            <v>0</v>
          </cell>
          <cell r="E34">
            <v>23</v>
          </cell>
          <cell r="F34">
            <v>0</v>
          </cell>
          <cell r="G34">
            <v>0</v>
          </cell>
          <cell r="H34">
            <v>78</v>
          </cell>
          <cell r="I34">
            <v>1</v>
          </cell>
          <cell r="J34">
            <v>0.15</v>
          </cell>
          <cell r="K34">
            <v>71</v>
          </cell>
          <cell r="L34">
            <v>1</v>
          </cell>
          <cell r="M34">
            <v>0.02</v>
          </cell>
        </row>
        <row r="35">
          <cell r="A35" t="str">
            <v>YX-IUCY-518-BO-XL</v>
          </cell>
          <cell r="B35">
            <v>37</v>
          </cell>
          <cell r="C35">
            <v>0</v>
          </cell>
          <cell r="D35">
            <v>0</v>
          </cell>
          <cell r="E35">
            <v>52</v>
          </cell>
          <cell r="F35">
            <v>2</v>
          </cell>
          <cell r="G35">
            <v>0.36</v>
          </cell>
          <cell r="H35">
            <v>43</v>
          </cell>
          <cell r="I35">
            <v>0</v>
          </cell>
          <cell r="J35">
            <v>0</v>
          </cell>
          <cell r="K35">
            <v>19</v>
          </cell>
          <cell r="L35">
            <v>0</v>
          </cell>
          <cell r="M35">
            <v>0</v>
          </cell>
        </row>
        <row r="36">
          <cell r="A36" t="str">
            <v>YX-IUCY-518-N5-XL</v>
          </cell>
          <cell r="B36">
            <v>0</v>
          </cell>
          <cell r="C36">
            <v>0</v>
          </cell>
          <cell r="D36">
            <v>0</v>
          </cell>
          <cell r="E36">
            <v>12</v>
          </cell>
          <cell r="F36">
            <v>0</v>
          </cell>
          <cell r="G36">
            <v>0</v>
          </cell>
          <cell r="H36">
            <v>70</v>
          </cell>
          <cell r="I36">
            <v>0</v>
          </cell>
          <cell r="J36">
            <v>0</v>
          </cell>
          <cell r="K36">
            <v>56</v>
          </cell>
          <cell r="L36">
            <v>0</v>
          </cell>
          <cell r="M36">
            <v>0</v>
          </cell>
        </row>
        <row r="37">
          <cell r="A37" t="str">
            <v>YX-IUCY-518-WO-L</v>
          </cell>
          <cell r="B37">
            <v>54</v>
          </cell>
          <cell r="C37">
            <v>0</v>
          </cell>
          <cell r="D37">
            <v>0</v>
          </cell>
          <cell r="E37">
            <v>52</v>
          </cell>
          <cell r="F37">
            <v>1</v>
          </cell>
          <cell r="G37">
            <v>0.15</v>
          </cell>
          <cell r="H37">
            <v>24</v>
          </cell>
          <cell r="I37">
            <v>0</v>
          </cell>
          <cell r="J37">
            <v>0</v>
          </cell>
          <cell r="K37">
            <v>39</v>
          </cell>
          <cell r="L37">
            <v>2</v>
          </cell>
          <cell r="M37">
            <v>0.32</v>
          </cell>
        </row>
        <row r="38">
          <cell r="A38" t="str">
            <v>YY-IULCY-KS371-YL-L</v>
          </cell>
          <cell r="B38">
            <v>48</v>
          </cell>
          <cell r="C38">
            <v>0</v>
          </cell>
          <cell r="D38">
            <v>0</v>
          </cell>
          <cell r="E38">
            <v>28</v>
          </cell>
          <cell r="F38">
            <v>0</v>
          </cell>
          <cell r="G38">
            <v>0</v>
          </cell>
          <cell r="H38">
            <v>63</v>
          </cell>
          <cell r="I38">
            <v>0</v>
          </cell>
          <cell r="J38">
            <v>0</v>
          </cell>
          <cell r="K38">
            <v>8</v>
          </cell>
          <cell r="L38">
            <v>0</v>
          </cell>
          <cell r="M38">
            <v>0</v>
          </cell>
        </row>
        <row r="39">
          <cell r="A39" t="str">
            <v>MZYSZHUOBUDTMAP60*60CM</v>
          </cell>
          <cell r="B39">
            <v>4001</v>
          </cell>
          <cell r="C39">
            <v>32</v>
          </cell>
          <cell r="D39">
            <v>10.21</v>
          </cell>
          <cell r="E39">
            <v>17730</v>
          </cell>
          <cell r="F39">
            <v>87</v>
          </cell>
          <cell r="G39">
            <v>21.65</v>
          </cell>
          <cell r="H39">
            <v>10094</v>
          </cell>
          <cell r="I39">
            <v>55</v>
          </cell>
          <cell r="J39">
            <v>12.29</v>
          </cell>
          <cell r="K39">
            <v>1311</v>
          </cell>
          <cell r="L39">
            <v>22</v>
          </cell>
          <cell r="M39">
            <v>6.35</v>
          </cell>
        </row>
        <row r="40">
          <cell r="A40" t="str">
            <v>YDYPFS-XL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</v>
          </cell>
          <cell r="L40">
            <v>1</v>
          </cell>
          <cell r="M40">
            <v>0.09</v>
          </cell>
        </row>
        <row r="41">
          <cell r="A41" t="str">
            <v>SXHLYITAO1-LH-001GO40x60CM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27</v>
          </cell>
          <cell r="L41">
            <v>0</v>
          </cell>
          <cell r="M41">
            <v>0</v>
          </cell>
        </row>
        <row r="42">
          <cell r="A42" t="str">
            <v>SND-IUYL111-BE</v>
          </cell>
          <cell r="B42">
            <v>0</v>
          </cell>
          <cell r="C42">
            <v>0</v>
          </cell>
          <cell r="D42">
            <v>0</v>
          </cell>
          <cell r="E42">
            <v>56</v>
          </cell>
          <cell r="F42">
            <v>1</v>
          </cell>
          <cell r="G42">
            <v>0.08</v>
          </cell>
          <cell r="H42">
            <v>341</v>
          </cell>
          <cell r="I42">
            <v>1</v>
          </cell>
          <cell r="J42">
            <v>0.09</v>
          </cell>
          <cell r="K42">
            <v>257</v>
          </cell>
          <cell r="L42">
            <v>5</v>
          </cell>
          <cell r="M42">
            <v>0.39</v>
          </cell>
        </row>
        <row r="43">
          <cell r="A43" t="str">
            <v>YY-IULCY-XZM100-BLNWT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28</v>
          </cell>
          <cell r="I43">
            <v>0</v>
          </cell>
          <cell r="J43">
            <v>0</v>
          </cell>
          <cell r="K43">
            <v>14</v>
          </cell>
          <cell r="L43">
            <v>0</v>
          </cell>
          <cell r="M43">
            <v>0</v>
          </cell>
        </row>
        <row r="44">
          <cell r="A44" t="str">
            <v>YY-IULCY-XZM100-KKNWT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</v>
          </cell>
          <cell r="L44">
            <v>0</v>
          </cell>
          <cell r="M44">
            <v>0</v>
          </cell>
        </row>
        <row r="45">
          <cell r="A45" t="str">
            <v>YY-IULCY-XZM100-RDNWT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YY-IULCY-XZM100-BKNWT</v>
          </cell>
          <cell r="B46">
            <v>0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  <cell r="G46">
            <v>0</v>
          </cell>
          <cell r="H46">
            <v>6</v>
          </cell>
          <cell r="I46">
            <v>0</v>
          </cell>
          <cell r="J46">
            <v>0</v>
          </cell>
          <cell r="K46">
            <v>65</v>
          </cell>
          <cell r="L46">
            <v>1</v>
          </cell>
          <cell r="M46">
            <v>0.15</v>
          </cell>
        </row>
        <row r="47">
          <cell r="A47" t="str">
            <v>YY-IULCY-XZM100-CFNWT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203</v>
          </cell>
          <cell r="I47">
            <v>3</v>
          </cell>
          <cell r="J47">
            <v>0.42</v>
          </cell>
          <cell r="K47">
            <v>168</v>
          </cell>
          <cell r="L47">
            <v>3</v>
          </cell>
          <cell r="M47">
            <v>0.65</v>
          </cell>
        </row>
        <row r="48">
          <cell r="A48" t="str">
            <v>YY-IULCY-XZM100-GNNWT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6</v>
          </cell>
          <cell r="L48">
            <v>1</v>
          </cell>
          <cell r="M48">
            <v>0.15</v>
          </cell>
        </row>
        <row r="49">
          <cell r="A49" t="str">
            <v>YY-IULCY-KS372-YL-XL</v>
          </cell>
          <cell r="B49">
            <v>52123</v>
          </cell>
          <cell r="C49">
            <v>227</v>
          </cell>
          <cell r="D49">
            <v>61.46</v>
          </cell>
          <cell r="E49">
            <v>18605</v>
          </cell>
          <cell r="F49">
            <v>94</v>
          </cell>
          <cell r="G49">
            <v>26.68</v>
          </cell>
          <cell r="H49">
            <v>6782</v>
          </cell>
          <cell r="I49">
            <v>70</v>
          </cell>
          <cell r="J49">
            <v>23.56</v>
          </cell>
          <cell r="K49">
            <v>350</v>
          </cell>
          <cell r="L49">
            <v>8</v>
          </cell>
          <cell r="M49">
            <v>2.11</v>
          </cell>
        </row>
        <row r="50">
          <cell r="A50" t="str">
            <v>YY-IULCY-KS372-GN-XL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13</v>
          </cell>
          <cell r="L50">
            <v>0</v>
          </cell>
          <cell r="M50">
            <v>0</v>
          </cell>
        </row>
        <row r="51">
          <cell r="A51" t="str">
            <v>YY-IULCY-KS370-RD-L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12534</v>
          </cell>
          <cell r="L51">
            <v>27</v>
          </cell>
          <cell r="M51">
            <v>15.63</v>
          </cell>
        </row>
        <row r="52">
          <cell r="A52" t="str">
            <v>YY-IULCY-KS371-YL-XL</v>
          </cell>
          <cell r="B52">
            <v>54951</v>
          </cell>
          <cell r="C52">
            <v>135</v>
          </cell>
          <cell r="D52">
            <v>44.82</v>
          </cell>
          <cell r="E52">
            <v>108644</v>
          </cell>
          <cell r="F52">
            <v>270</v>
          </cell>
          <cell r="G52">
            <v>91.36</v>
          </cell>
          <cell r="H52">
            <v>11413</v>
          </cell>
          <cell r="I52">
            <v>38</v>
          </cell>
          <cell r="J52">
            <v>22.79</v>
          </cell>
          <cell r="K52">
            <v>80331</v>
          </cell>
          <cell r="L52">
            <v>278</v>
          </cell>
          <cell r="M52">
            <v>132.42</v>
          </cell>
        </row>
        <row r="53">
          <cell r="A53" t="str">
            <v>YY-IULUY-KS374-YL-XL</v>
          </cell>
          <cell r="B53">
            <v>24104</v>
          </cell>
          <cell r="C53">
            <v>70</v>
          </cell>
          <cell r="D53">
            <v>32.27</v>
          </cell>
          <cell r="E53">
            <v>2203</v>
          </cell>
          <cell r="F53">
            <v>8</v>
          </cell>
          <cell r="G53">
            <v>3.25</v>
          </cell>
          <cell r="H53">
            <v>2830</v>
          </cell>
          <cell r="I53">
            <v>21</v>
          </cell>
          <cell r="J53">
            <v>10.7</v>
          </cell>
          <cell r="K53">
            <v>19318</v>
          </cell>
          <cell r="L53">
            <v>71</v>
          </cell>
          <cell r="M53">
            <v>33.87</v>
          </cell>
        </row>
        <row r="54">
          <cell r="A54" t="str">
            <v>YY-IULCY-KS377-HEAD-M</v>
          </cell>
          <cell r="B54">
            <v>7679</v>
          </cell>
          <cell r="C54">
            <v>28</v>
          </cell>
          <cell r="D54">
            <v>16.12</v>
          </cell>
          <cell r="E54">
            <v>52855</v>
          </cell>
          <cell r="F54">
            <v>165</v>
          </cell>
          <cell r="G54">
            <v>89.62</v>
          </cell>
          <cell r="H54">
            <v>74387</v>
          </cell>
          <cell r="I54">
            <v>203</v>
          </cell>
          <cell r="J54">
            <v>97.95</v>
          </cell>
          <cell r="K54">
            <v>20308</v>
          </cell>
          <cell r="L54">
            <v>87</v>
          </cell>
          <cell r="M54">
            <v>40.35</v>
          </cell>
        </row>
        <row r="55">
          <cell r="A55" t="str">
            <v>SGZ-LULHY-001</v>
          </cell>
          <cell r="B55">
            <v>477</v>
          </cell>
          <cell r="C55">
            <v>2</v>
          </cell>
          <cell r="D55">
            <v>0.44</v>
          </cell>
          <cell r="E55">
            <v>1083</v>
          </cell>
          <cell r="F55">
            <v>8</v>
          </cell>
          <cell r="G55">
            <v>4.03</v>
          </cell>
          <cell r="H55">
            <v>1161</v>
          </cell>
          <cell r="I55">
            <v>11</v>
          </cell>
          <cell r="J55">
            <v>5.22</v>
          </cell>
          <cell r="K55">
            <v>216</v>
          </cell>
          <cell r="L55">
            <v>5</v>
          </cell>
          <cell r="M55">
            <v>0.93</v>
          </cell>
        </row>
        <row r="56">
          <cell r="A56" t="str">
            <v>ZAKKA0633R035*50CM</v>
          </cell>
          <cell r="B56">
            <v>479</v>
          </cell>
          <cell r="C56">
            <v>4</v>
          </cell>
          <cell r="D56">
            <v>3.86</v>
          </cell>
          <cell r="E56">
            <v>286</v>
          </cell>
          <cell r="F56">
            <v>2</v>
          </cell>
          <cell r="G56">
            <v>1.77</v>
          </cell>
          <cell r="H56">
            <v>250</v>
          </cell>
          <cell r="I56">
            <v>0</v>
          </cell>
          <cell r="J56">
            <v>0</v>
          </cell>
          <cell r="K56">
            <v>192</v>
          </cell>
          <cell r="L56">
            <v>0</v>
          </cell>
          <cell r="M56">
            <v>0</v>
          </cell>
        </row>
        <row r="57">
          <cell r="A57" t="str">
            <v>MZYSZHUOBUDTLEIS140*220CM</v>
          </cell>
          <cell r="B57">
            <v>140</v>
          </cell>
          <cell r="C57">
            <v>0</v>
          </cell>
          <cell r="D57">
            <v>0</v>
          </cell>
          <cell r="E57">
            <v>105</v>
          </cell>
          <cell r="F57">
            <v>1</v>
          </cell>
          <cell r="G57">
            <v>0.17</v>
          </cell>
          <cell r="H57">
            <v>138</v>
          </cell>
          <cell r="I57">
            <v>1</v>
          </cell>
          <cell r="J57">
            <v>0.2</v>
          </cell>
          <cell r="K57">
            <v>236</v>
          </cell>
          <cell r="L57">
            <v>0</v>
          </cell>
          <cell r="M57">
            <v>0</v>
          </cell>
        </row>
        <row r="58">
          <cell r="A58" t="str">
            <v>ETYIYELLOW-L</v>
          </cell>
          <cell r="B58">
            <v>20555</v>
          </cell>
          <cell r="C58">
            <v>52</v>
          </cell>
          <cell r="D58">
            <v>22.92</v>
          </cell>
          <cell r="E58">
            <v>15682</v>
          </cell>
          <cell r="F58">
            <v>57</v>
          </cell>
          <cell r="G58">
            <v>24.25</v>
          </cell>
          <cell r="H58">
            <v>15148</v>
          </cell>
          <cell r="I58">
            <v>49</v>
          </cell>
          <cell r="J58">
            <v>20.83</v>
          </cell>
          <cell r="K58">
            <v>1966</v>
          </cell>
          <cell r="L58">
            <v>10</v>
          </cell>
          <cell r="M58">
            <v>4.08</v>
          </cell>
        </row>
        <row r="59">
          <cell r="A59" t="str">
            <v>YDYPFS-S</v>
          </cell>
          <cell r="B59">
            <v>47161</v>
          </cell>
          <cell r="C59">
            <v>171</v>
          </cell>
          <cell r="D59">
            <v>78.6</v>
          </cell>
          <cell r="E59">
            <v>24210</v>
          </cell>
          <cell r="F59">
            <v>102</v>
          </cell>
          <cell r="G59">
            <v>37.77</v>
          </cell>
          <cell r="H59">
            <v>15418</v>
          </cell>
          <cell r="I59">
            <v>72</v>
          </cell>
          <cell r="J59">
            <v>22.7</v>
          </cell>
          <cell r="K59">
            <v>1522</v>
          </cell>
          <cell r="L59">
            <v>15</v>
          </cell>
          <cell r="M59">
            <v>6.94</v>
          </cell>
        </row>
        <row r="60">
          <cell r="A60" t="str">
            <v>ZCGTZ-IUCY001-AE</v>
          </cell>
          <cell r="B60">
            <v>58714</v>
          </cell>
          <cell r="C60">
            <v>246</v>
          </cell>
          <cell r="D60">
            <v>104.28</v>
          </cell>
          <cell r="E60">
            <v>86451</v>
          </cell>
          <cell r="F60">
            <v>337</v>
          </cell>
          <cell r="G60">
            <v>176.19</v>
          </cell>
          <cell r="H60">
            <v>24831</v>
          </cell>
          <cell r="I60">
            <v>182</v>
          </cell>
          <cell r="J60">
            <v>88.49</v>
          </cell>
          <cell r="K60">
            <v>1927</v>
          </cell>
          <cell r="L60">
            <v>45</v>
          </cell>
          <cell r="M60">
            <v>15.75</v>
          </cell>
        </row>
        <row r="61">
          <cell r="A61" t="str">
            <v>SXHLYITAO3-LH-001QLS40x60CM</v>
          </cell>
          <cell r="B61">
            <v>71</v>
          </cell>
          <cell r="C61">
            <v>0</v>
          </cell>
          <cell r="D61">
            <v>0</v>
          </cell>
          <cell r="E61">
            <v>279</v>
          </cell>
          <cell r="F61">
            <v>0</v>
          </cell>
          <cell r="G61">
            <v>0</v>
          </cell>
          <cell r="H61">
            <v>1170</v>
          </cell>
          <cell r="I61">
            <v>3</v>
          </cell>
          <cell r="J61">
            <v>0.81</v>
          </cell>
          <cell r="K61">
            <v>168</v>
          </cell>
          <cell r="L61">
            <v>1</v>
          </cell>
          <cell r="M61">
            <v>0.07</v>
          </cell>
        </row>
        <row r="62">
          <cell r="A62" t="str">
            <v>ZB-IULCY-YMQY100-GR140*140</v>
          </cell>
          <cell r="B62">
            <v>0</v>
          </cell>
          <cell r="C62">
            <v>0</v>
          </cell>
          <cell r="D62">
            <v>0</v>
          </cell>
          <cell r="E62">
            <v>17699</v>
          </cell>
          <cell r="F62">
            <v>117</v>
          </cell>
          <cell r="G62">
            <v>46.59</v>
          </cell>
          <cell r="H62">
            <v>4110</v>
          </cell>
          <cell r="I62">
            <v>33</v>
          </cell>
          <cell r="J62">
            <v>13.69</v>
          </cell>
          <cell r="K62">
            <v>1127</v>
          </cell>
          <cell r="L62">
            <v>14</v>
          </cell>
          <cell r="M62">
            <v>4.8</v>
          </cell>
        </row>
        <row r="63">
          <cell r="A63" t="str">
            <v>ZB-IULCY-YMQY100-CF140*180</v>
          </cell>
          <cell r="B63">
            <v>830</v>
          </cell>
          <cell r="C63">
            <v>5</v>
          </cell>
          <cell r="D63">
            <v>1.67</v>
          </cell>
          <cell r="E63">
            <v>2216</v>
          </cell>
          <cell r="F63">
            <v>25</v>
          </cell>
          <cell r="G63">
            <v>11.73</v>
          </cell>
          <cell r="H63">
            <v>511</v>
          </cell>
          <cell r="I63">
            <v>5</v>
          </cell>
          <cell r="J63">
            <v>2.63</v>
          </cell>
          <cell r="K63">
            <v>208</v>
          </cell>
          <cell r="L63">
            <v>3</v>
          </cell>
          <cell r="M63">
            <v>1.41</v>
          </cell>
        </row>
        <row r="64">
          <cell r="A64" t="str">
            <v>MZYSZHUOBUDTMAP100*140CM</v>
          </cell>
          <cell r="B64">
            <v>14339</v>
          </cell>
          <cell r="C64">
            <v>96</v>
          </cell>
          <cell r="D64">
            <v>73.09</v>
          </cell>
          <cell r="E64">
            <v>9333</v>
          </cell>
          <cell r="F64">
            <v>90</v>
          </cell>
          <cell r="G64">
            <v>62.68</v>
          </cell>
          <cell r="H64">
            <v>8757</v>
          </cell>
          <cell r="I64">
            <v>62</v>
          </cell>
          <cell r="J64">
            <v>45.86</v>
          </cell>
          <cell r="K64">
            <v>5153</v>
          </cell>
          <cell r="L64">
            <v>41</v>
          </cell>
          <cell r="M64">
            <v>29.62</v>
          </cell>
        </row>
        <row r="65">
          <cell r="A65" t="str">
            <v>YY-IULCY-HZYD100-BIGEYED-XL</v>
          </cell>
          <cell r="B65">
            <v>123</v>
          </cell>
          <cell r="C65">
            <v>1</v>
          </cell>
          <cell r="D65">
            <v>0.02</v>
          </cell>
          <cell r="E65">
            <v>429</v>
          </cell>
          <cell r="F65">
            <v>5</v>
          </cell>
          <cell r="G65">
            <v>1.57</v>
          </cell>
          <cell r="H65">
            <v>234</v>
          </cell>
          <cell r="I65">
            <v>1</v>
          </cell>
          <cell r="J65">
            <v>0.45</v>
          </cell>
          <cell r="K65">
            <v>83</v>
          </cell>
          <cell r="L65">
            <v>1</v>
          </cell>
          <cell r="M65">
            <v>0.15</v>
          </cell>
        </row>
        <row r="66">
          <cell r="A66" t="str">
            <v>YY-IULCY-HZYD200-LGSTAR-XL</v>
          </cell>
          <cell r="B66">
            <v>0</v>
          </cell>
          <cell r="C66">
            <v>0</v>
          </cell>
          <cell r="D66">
            <v>0</v>
          </cell>
          <cell r="E66">
            <v>278</v>
          </cell>
          <cell r="F66">
            <v>0</v>
          </cell>
          <cell r="G66">
            <v>0</v>
          </cell>
          <cell r="H66">
            <v>53</v>
          </cell>
          <cell r="I66">
            <v>0</v>
          </cell>
          <cell r="J66">
            <v>0</v>
          </cell>
          <cell r="K66">
            <v>18</v>
          </cell>
          <cell r="L66">
            <v>0</v>
          </cell>
          <cell r="M66">
            <v>0</v>
          </cell>
        </row>
        <row r="67">
          <cell r="A67" t="str">
            <v>MZYSZHUOBUDTLEIS100*140CM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ZPSD-LAHM-800-BK-S</v>
          </cell>
          <cell r="B68">
            <v>14085</v>
          </cell>
          <cell r="C68">
            <v>57</v>
          </cell>
          <cell r="D68">
            <v>38.07</v>
          </cell>
          <cell r="E68">
            <v>9275</v>
          </cell>
          <cell r="F68">
            <v>45</v>
          </cell>
          <cell r="G68">
            <v>28.74</v>
          </cell>
          <cell r="H68">
            <v>3951</v>
          </cell>
          <cell r="I68">
            <v>23</v>
          </cell>
          <cell r="J68">
            <v>11.51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FSFZB006QSRO200CM</v>
          </cell>
          <cell r="B69">
            <v>0</v>
          </cell>
          <cell r="C69">
            <v>0</v>
          </cell>
          <cell r="D69">
            <v>0</v>
          </cell>
          <cell r="E69">
            <v>79</v>
          </cell>
          <cell r="F69">
            <v>1</v>
          </cell>
          <cell r="G69">
            <v>0.41</v>
          </cell>
          <cell r="H69">
            <v>116</v>
          </cell>
          <cell r="I69">
            <v>1</v>
          </cell>
          <cell r="J69">
            <v>0.37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FSFZB001JHRO200CM</v>
          </cell>
          <cell r="B70">
            <v>0</v>
          </cell>
          <cell r="C70">
            <v>0</v>
          </cell>
          <cell r="D70">
            <v>0</v>
          </cell>
          <cell r="E70">
            <v>11</v>
          </cell>
          <cell r="F70">
            <v>0</v>
          </cell>
          <cell r="G70">
            <v>0</v>
          </cell>
          <cell r="H70">
            <v>40</v>
          </cell>
          <cell r="I70">
            <v>1</v>
          </cell>
          <cell r="J70">
            <v>0.59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FSFZB006J0RO220CM</v>
          </cell>
          <cell r="B71">
            <v>71</v>
          </cell>
          <cell r="C71">
            <v>2</v>
          </cell>
          <cell r="D71">
            <v>1.24</v>
          </cell>
          <cell r="E71">
            <v>56</v>
          </cell>
          <cell r="F71">
            <v>0</v>
          </cell>
          <cell r="G71">
            <v>0</v>
          </cell>
          <cell r="H71">
            <v>38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ZXXBLV-S</v>
          </cell>
          <cell r="B72">
            <v>482</v>
          </cell>
          <cell r="C72">
            <v>1</v>
          </cell>
          <cell r="D72">
            <v>0.14</v>
          </cell>
          <cell r="E72">
            <v>1573</v>
          </cell>
          <cell r="F72">
            <v>8</v>
          </cell>
          <cell r="G72">
            <v>2.59</v>
          </cell>
          <cell r="H72">
            <v>448</v>
          </cell>
          <cell r="I72">
            <v>2</v>
          </cell>
          <cell r="J72">
            <v>0.69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ZXXBHO-XL</v>
          </cell>
          <cell r="B73">
            <v>255</v>
          </cell>
          <cell r="C73">
            <v>2</v>
          </cell>
          <cell r="D73">
            <v>0.26</v>
          </cell>
          <cell r="E73">
            <v>628</v>
          </cell>
          <cell r="F73">
            <v>5</v>
          </cell>
          <cell r="G73">
            <v>1.17</v>
          </cell>
          <cell r="H73">
            <v>250</v>
          </cell>
          <cell r="I73">
            <v>2</v>
          </cell>
          <cell r="J73">
            <v>0.78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ZXXBHO-M</v>
          </cell>
          <cell r="B74">
            <v>398</v>
          </cell>
          <cell r="C74">
            <v>1</v>
          </cell>
          <cell r="D74">
            <v>0.11</v>
          </cell>
          <cell r="E74">
            <v>1540</v>
          </cell>
          <cell r="F74">
            <v>6</v>
          </cell>
          <cell r="G74">
            <v>1.89</v>
          </cell>
          <cell r="H74">
            <v>469</v>
          </cell>
          <cell r="I74">
            <v>1</v>
          </cell>
          <cell r="J74">
            <v>0.32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YY5100B1XL</v>
          </cell>
          <cell r="B75">
            <v>213</v>
          </cell>
          <cell r="C75">
            <v>3</v>
          </cell>
          <cell r="D75">
            <v>1.07</v>
          </cell>
          <cell r="E75">
            <v>253</v>
          </cell>
          <cell r="F75">
            <v>3</v>
          </cell>
          <cell r="G75">
            <v>0.72</v>
          </cell>
          <cell r="H75">
            <v>94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YY5100R5XXL</v>
          </cell>
          <cell r="B76">
            <v>79</v>
          </cell>
          <cell r="C76">
            <v>2</v>
          </cell>
          <cell r="D76">
            <v>0.63</v>
          </cell>
          <cell r="E76">
            <v>135</v>
          </cell>
          <cell r="F76">
            <v>5</v>
          </cell>
          <cell r="G76">
            <v>1.5</v>
          </cell>
          <cell r="H76">
            <v>38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YY5100Y0XXL</v>
          </cell>
          <cell r="B77">
            <v>173</v>
          </cell>
          <cell r="C77">
            <v>2</v>
          </cell>
          <cell r="D77">
            <v>0.26</v>
          </cell>
          <cell r="E77">
            <v>373</v>
          </cell>
          <cell r="F77">
            <v>4</v>
          </cell>
          <cell r="G77">
            <v>1.04</v>
          </cell>
          <cell r="H77">
            <v>111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YMQYQHCZQ100*140CM</v>
          </cell>
          <cell r="B78">
            <v>203</v>
          </cell>
          <cell r="C78">
            <v>2</v>
          </cell>
          <cell r="D78">
            <v>0.96</v>
          </cell>
          <cell r="E78">
            <v>167</v>
          </cell>
          <cell r="F78">
            <v>1</v>
          </cell>
          <cell r="G78">
            <v>0.02</v>
          </cell>
          <cell r="H78">
            <v>30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YMQYZB4DHD100*140CM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19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ZAKKA0466LTW25*65CM</v>
          </cell>
          <cell r="B80">
            <v>116</v>
          </cell>
          <cell r="C80">
            <v>0</v>
          </cell>
          <cell r="D80">
            <v>0</v>
          </cell>
          <cell r="E80">
            <v>150</v>
          </cell>
          <cell r="F80">
            <v>3</v>
          </cell>
          <cell r="G80">
            <v>0.45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YY-IULCY-KS372-BL-XL</v>
          </cell>
          <cell r="B81">
            <v>1794</v>
          </cell>
          <cell r="C81">
            <v>3</v>
          </cell>
          <cell r="D81">
            <v>1.39</v>
          </cell>
          <cell r="E81">
            <v>2653</v>
          </cell>
          <cell r="F81">
            <v>5</v>
          </cell>
          <cell r="G81">
            <v>1.36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YY-IULCY-KS372-GN-L</v>
          </cell>
          <cell r="B82">
            <v>127</v>
          </cell>
          <cell r="C82">
            <v>1</v>
          </cell>
          <cell r="D82">
            <v>0.37</v>
          </cell>
          <cell r="E82">
            <v>168</v>
          </cell>
          <cell r="F82">
            <v>2</v>
          </cell>
          <cell r="G82">
            <v>0.17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FMHSGJH67*20CM</v>
          </cell>
          <cell r="B83">
            <v>84</v>
          </cell>
          <cell r="C83">
            <v>1</v>
          </cell>
          <cell r="D83">
            <v>0.14</v>
          </cell>
          <cell r="E83">
            <v>148</v>
          </cell>
          <cell r="F83">
            <v>3</v>
          </cell>
          <cell r="G83">
            <v>0.44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TM-IULCY-300-LB</v>
          </cell>
          <cell r="B84">
            <v>246</v>
          </cell>
          <cell r="C84">
            <v>0</v>
          </cell>
          <cell r="D84">
            <v>0</v>
          </cell>
          <cell r="E84">
            <v>831</v>
          </cell>
          <cell r="F84">
            <v>2</v>
          </cell>
          <cell r="G84">
            <v>0.52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TM-IULCY-300-AG</v>
          </cell>
          <cell r="B85">
            <v>0</v>
          </cell>
          <cell r="C85">
            <v>0</v>
          </cell>
          <cell r="D85">
            <v>0</v>
          </cell>
          <cell r="E85">
            <v>178</v>
          </cell>
          <cell r="F85">
            <v>3</v>
          </cell>
          <cell r="G85">
            <v>1.55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YX-IUCY-819-WO-L</v>
          </cell>
          <cell r="B86">
            <v>244</v>
          </cell>
          <cell r="C86">
            <v>4</v>
          </cell>
          <cell r="D86">
            <v>0.99</v>
          </cell>
          <cell r="E86">
            <v>85</v>
          </cell>
          <cell r="F86">
            <v>3</v>
          </cell>
          <cell r="G86">
            <v>0.95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ZPSD-LAHM-800-BK-L</v>
          </cell>
          <cell r="B87">
            <v>0</v>
          </cell>
          <cell r="C87">
            <v>0</v>
          </cell>
          <cell r="D87">
            <v>0</v>
          </cell>
          <cell r="E87">
            <v>534</v>
          </cell>
          <cell r="F87">
            <v>1</v>
          </cell>
          <cell r="G87">
            <v>0.31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HNJAX2SW045*45CM</v>
          </cell>
          <cell r="B88">
            <v>190</v>
          </cell>
          <cell r="C88">
            <v>0</v>
          </cell>
          <cell r="D88">
            <v>0</v>
          </cell>
          <cell r="E88">
            <v>379</v>
          </cell>
          <cell r="F88">
            <v>1</v>
          </cell>
          <cell r="G88">
            <v>0.27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BZXKHH628E</v>
          </cell>
          <cell r="B89">
            <v>117</v>
          </cell>
          <cell r="C89">
            <v>0</v>
          </cell>
          <cell r="D89">
            <v>0</v>
          </cell>
          <cell r="E89">
            <v>144</v>
          </cell>
          <cell r="F89">
            <v>1</v>
          </cell>
          <cell r="G89">
            <v>0.45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H5-F378-ECJO</v>
          </cell>
          <cell r="B90">
            <v>3208</v>
          </cell>
          <cell r="C90">
            <v>11</v>
          </cell>
          <cell r="D90">
            <v>3.74</v>
          </cell>
          <cell r="E90">
            <v>7917</v>
          </cell>
          <cell r="F90">
            <v>21</v>
          </cell>
          <cell r="G90">
            <v>6.66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SXHLYITAO1-LH-001MHS40x60CM</v>
          </cell>
          <cell r="B91">
            <v>149</v>
          </cell>
          <cell r="C91">
            <v>3</v>
          </cell>
          <cell r="D91">
            <v>0.51</v>
          </cell>
          <cell r="E91">
            <v>172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ETYIYUANDIAN-XL</v>
          </cell>
          <cell r="B92">
            <v>147</v>
          </cell>
          <cell r="C92">
            <v>6</v>
          </cell>
          <cell r="D92">
            <v>0.86</v>
          </cell>
          <cell r="E92">
            <v>139</v>
          </cell>
          <cell r="F92">
            <v>4</v>
          </cell>
          <cell r="G92">
            <v>0.66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ETYIBLUE-M-2</v>
          </cell>
          <cell r="B93">
            <v>17</v>
          </cell>
          <cell r="C93">
            <v>1</v>
          </cell>
          <cell r="D93">
            <v>0.26</v>
          </cell>
          <cell r="E93">
            <v>6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YDYPFS-M-2</v>
          </cell>
          <cell r="B94">
            <v>0</v>
          </cell>
          <cell r="C94">
            <v>0</v>
          </cell>
          <cell r="D94">
            <v>0</v>
          </cell>
          <cell r="E94">
            <v>3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YI-IUYLTBY-N5</v>
          </cell>
          <cell r="B95">
            <v>729</v>
          </cell>
          <cell r="C95">
            <v>8</v>
          </cell>
          <cell r="D95">
            <v>3.05</v>
          </cell>
          <cell r="E95">
            <v>277</v>
          </cell>
          <cell r="F95">
            <v>7</v>
          </cell>
          <cell r="G95">
            <v>2.34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FSFZB001W0RO180CM</v>
          </cell>
          <cell r="B96">
            <v>1181</v>
          </cell>
          <cell r="C96">
            <v>4</v>
          </cell>
          <cell r="D96">
            <v>1.75</v>
          </cell>
          <cell r="E96">
            <v>1097</v>
          </cell>
          <cell r="F96">
            <v>3</v>
          </cell>
          <cell r="G96">
            <v>1.35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YY-IULCY-KS372-PP-M</v>
          </cell>
          <cell r="B97">
            <v>394</v>
          </cell>
          <cell r="C97">
            <v>2</v>
          </cell>
          <cell r="D97">
            <v>0.55</v>
          </cell>
          <cell r="E97">
            <v>343</v>
          </cell>
          <cell r="F97">
            <v>3</v>
          </cell>
          <cell r="G97">
            <v>1.17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YY2127GR</v>
          </cell>
          <cell r="B98">
            <v>31627</v>
          </cell>
          <cell r="C98">
            <v>56</v>
          </cell>
          <cell r="D98">
            <v>14.11</v>
          </cell>
          <cell r="E98">
            <v>5454</v>
          </cell>
          <cell r="F98">
            <v>26</v>
          </cell>
          <cell r="G98">
            <v>10.12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9CUE9N-04Y0XXXL</v>
          </cell>
          <cell r="B99">
            <v>3925</v>
          </cell>
          <cell r="C99">
            <v>21</v>
          </cell>
          <cell r="D99">
            <v>10.23</v>
          </cell>
          <cell r="E99">
            <v>2164</v>
          </cell>
          <cell r="F99">
            <v>17</v>
          </cell>
          <cell r="G99">
            <v>7.2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YY5100XB0L</v>
          </cell>
          <cell r="B100">
            <v>6082</v>
          </cell>
          <cell r="C100">
            <v>67</v>
          </cell>
          <cell r="D100">
            <v>32.92</v>
          </cell>
          <cell r="E100">
            <v>2885</v>
          </cell>
          <cell r="F100">
            <v>31</v>
          </cell>
          <cell r="G100">
            <v>12.72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YY-IULCY-HZYD200-LGSTAR-M</v>
          </cell>
          <cell r="B101">
            <v>77</v>
          </cell>
          <cell r="C101">
            <v>7</v>
          </cell>
          <cell r="D101">
            <v>1.2</v>
          </cell>
          <cell r="E101">
            <v>54</v>
          </cell>
          <cell r="F101">
            <v>4</v>
          </cell>
          <cell r="G101">
            <v>1.14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TM-IULCY-300-LG</v>
          </cell>
          <cell r="B102">
            <v>127</v>
          </cell>
          <cell r="C102">
            <v>1</v>
          </cell>
          <cell r="D102">
            <v>0.23</v>
          </cell>
          <cell r="E102">
            <v>119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DLJJZHUOBU-BGZW070x70CM</v>
          </cell>
          <cell r="B103">
            <v>206</v>
          </cell>
          <cell r="C103">
            <v>1</v>
          </cell>
          <cell r="D103">
            <v>0.78</v>
          </cell>
          <cell r="E103">
            <v>144</v>
          </cell>
          <cell r="F103">
            <v>3</v>
          </cell>
          <cell r="G103">
            <v>1.49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YMQYZBJTE0140*250CM</v>
          </cell>
          <cell r="B104">
            <v>1412</v>
          </cell>
          <cell r="C104">
            <v>10</v>
          </cell>
          <cell r="D104">
            <v>3.86</v>
          </cell>
          <cell r="E104">
            <v>944</v>
          </cell>
          <cell r="F104">
            <v>3</v>
          </cell>
          <cell r="G104">
            <v>1.42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YY-IULCY-KS377-PLANT-L</v>
          </cell>
          <cell r="B105">
            <v>28</v>
          </cell>
          <cell r="C105">
            <v>1</v>
          </cell>
          <cell r="D105">
            <v>0.52</v>
          </cell>
          <cell r="E105">
            <v>26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YY-IULCY-KS371-WT-M</v>
          </cell>
          <cell r="B106">
            <v>1741</v>
          </cell>
          <cell r="C106">
            <v>2</v>
          </cell>
          <cell r="D106">
            <v>0.53</v>
          </cell>
          <cell r="E106">
            <v>1583</v>
          </cell>
          <cell r="F106">
            <v>1</v>
          </cell>
          <cell r="G106">
            <v>0.19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DJSCZHUOBUCSAQHS110*140CM</v>
          </cell>
          <cell r="B107">
            <v>8684</v>
          </cell>
          <cell r="C107">
            <v>49</v>
          </cell>
          <cell r="D107">
            <v>34.07</v>
          </cell>
          <cell r="E107">
            <v>6443</v>
          </cell>
          <cell r="F107">
            <v>24</v>
          </cell>
          <cell r="G107">
            <v>15.09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MTX-IULHY-W188-GN-38/39</v>
          </cell>
          <cell r="B108">
            <v>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MTX-IULHY-M1759-DB-29</v>
          </cell>
          <cell r="B109">
            <v>909</v>
          </cell>
          <cell r="C109">
            <v>2</v>
          </cell>
          <cell r="D109">
            <v>0.74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MTX-IULHY-W1759-PK-26</v>
          </cell>
          <cell r="B110">
            <v>2505</v>
          </cell>
          <cell r="C110">
            <v>4</v>
          </cell>
          <cell r="D110">
            <v>1.57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MTX-IULHY-W1759-GN-27</v>
          </cell>
          <cell r="B111">
            <v>1076</v>
          </cell>
          <cell r="C111">
            <v>1</v>
          </cell>
          <cell r="D111">
            <v>0.2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MTX-IULHY-W1758-OR-25</v>
          </cell>
          <cell r="B112">
            <v>253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MTX-IULHY-W1758-PK-26</v>
          </cell>
          <cell r="B113">
            <v>165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MTX-IULHY-W1798-GN-26</v>
          </cell>
          <cell r="B114">
            <v>102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ZB-IULCY-YMQY100-CF100*140</v>
          </cell>
          <cell r="B115">
            <v>312</v>
          </cell>
          <cell r="C115">
            <v>4</v>
          </cell>
          <cell r="D115">
            <v>1.84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DZ-IUYL220-BK</v>
          </cell>
          <cell r="B116">
            <v>1014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AWFSNANKU-2292JLS-31</v>
          </cell>
          <cell r="B117">
            <v>1080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PUJIANGBAIMAMRG-COFFEE</v>
          </cell>
          <cell r="B118">
            <v>937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HZ-SILVER</v>
          </cell>
          <cell r="B119">
            <v>452</v>
          </cell>
          <cell r="C119">
            <v>2</v>
          </cell>
          <cell r="D119">
            <v>1.18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YHJRBHIS-L</v>
          </cell>
          <cell r="B120">
            <v>1479</v>
          </cell>
          <cell r="C120">
            <v>2</v>
          </cell>
          <cell r="D120">
            <v>0.57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1926</v>
          </cell>
          <cell r="D2">
            <v>1857</v>
          </cell>
          <cell r="E2">
            <v>2088</v>
          </cell>
          <cell r="F2">
            <v>1150</v>
          </cell>
        </row>
        <row r="3">
          <cell r="A3" t="str">
            <v>YY-IULCY-KS371-YL-M</v>
          </cell>
          <cell r="B3" t="str">
            <v>YY-IULCY-KS371</v>
          </cell>
          <cell r="C3">
            <v>6</v>
          </cell>
          <cell r="D3">
            <v>1</v>
          </cell>
          <cell r="E3">
            <v>4</v>
          </cell>
          <cell r="F3">
            <v>21</v>
          </cell>
          <cell r="G3">
            <v>13.99</v>
          </cell>
        </row>
        <row r="4">
          <cell r="A4" t="str">
            <v>ZAKKA0466LTW25*65CM</v>
          </cell>
          <cell r="B4" t="str">
            <v>ZAKKA0466</v>
          </cell>
          <cell r="C4">
            <v>2</v>
          </cell>
          <cell r="D4">
            <v>3</v>
          </cell>
          <cell r="E4">
            <v>6</v>
          </cell>
          <cell r="F4">
            <v>4</v>
          </cell>
          <cell r="G4">
            <v>9.9</v>
          </cell>
        </row>
        <row r="5">
          <cell r="A5" t="str">
            <v>GMTBYPJBLACK</v>
          </cell>
          <cell r="B5" t="str">
            <v>GMTBY</v>
          </cell>
          <cell r="C5">
            <v>0</v>
          </cell>
          <cell r="D5">
            <v>0</v>
          </cell>
          <cell r="E5">
            <v>2</v>
          </cell>
          <cell r="F5">
            <v>18</v>
          </cell>
          <cell r="G5">
            <v>21.99</v>
          </cell>
        </row>
        <row r="6">
          <cell r="A6" t="str">
            <v>TBYY0ROINT</v>
          </cell>
          <cell r="B6" t="str">
            <v>TBYPRBMRG</v>
          </cell>
          <cell r="C6">
            <v>84</v>
          </cell>
          <cell r="D6">
            <v>88</v>
          </cell>
          <cell r="E6">
            <v>123</v>
          </cell>
          <cell r="F6">
            <v>74</v>
          </cell>
          <cell r="G6">
            <v>22.9899999999998</v>
          </cell>
        </row>
        <row r="7">
          <cell r="A7" t="str">
            <v>TBYGREEN</v>
          </cell>
          <cell r="B7" t="str">
            <v>TBYPRBMRG</v>
          </cell>
          <cell r="C7">
            <v>162</v>
          </cell>
          <cell r="D7">
            <v>71</v>
          </cell>
          <cell r="E7">
            <v>3</v>
          </cell>
          <cell r="F7">
            <v>124</v>
          </cell>
          <cell r="G7">
            <v>22.7790277777776</v>
          </cell>
        </row>
        <row r="8">
          <cell r="A8" t="str">
            <v>ZAKKA0631B030*65CM</v>
          </cell>
          <cell r="B8" t="str">
            <v>ZAKKA0631</v>
          </cell>
          <cell r="C8">
            <v>40</v>
          </cell>
          <cell r="D8">
            <v>45</v>
          </cell>
          <cell r="E8">
            <v>37</v>
          </cell>
          <cell r="F8">
            <v>38</v>
          </cell>
          <cell r="G8">
            <v>9.90000000000002</v>
          </cell>
        </row>
        <row r="9">
          <cell r="A9" t="str">
            <v>YMQYQXDHW0100*140CM</v>
          </cell>
          <cell r="B9" t="str">
            <v>YMQYQXDH</v>
          </cell>
          <cell r="C9">
            <v>0</v>
          </cell>
          <cell r="D9">
            <v>4</v>
          </cell>
          <cell r="E9">
            <v>3</v>
          </cell>
          <cell r="F9">
            <v>1</v>
          </cell>
          <cell r="G9">
            <v>17.99</v>
          </cell>
        </row>
        <row r="10">
          <cell r="A10" t="str">
            <v>TBYPJBOGO</v>
          </cell>
          <cell r="B10" t="str">
            <v>TBYPRBMRG</v>
          </cell>
          <cell r="C10">
            <v>90</v>
          </cell>
          <cell r="D10">
            <v>117</v>
          </cell>
          <cell r="E10">
            <v>109</v>
          </cell>
          <cell r="F10">
            <v>63</v>
          </cell>
          <cell r="G10">
            <v>23.0903693931397</v>
          </cell>
        </row>
        <row r="11">
          <cell r="A11" t="str">
            <v>ETYIMC-XL</v>
          </cell>
          <cell r="B11" t="str">
            <v>ETYIMC</v>
          </cell>
          <cell r="C11">
            <v>4</v>
          </cell>
          <cell r="D11">
            <v>11</v>
          </cell>
          <cell r="E11">
            <v>3</v>
          </cell>
          <cell r="F11">
            <v>5</v>
          </cell>
          <cell r="G11">
            <v>15.99</v>
          </cell>
        </row>
        <row r="12">
          <cell r="A12" t="str">
            <v>TBYPRBONE-M</v>
          </cell>
          <cell r="B12" t="str">
            <v>TBYPRBMRG</v>
          </cell>
          <cell r="C12">
            <v>294</v>
          </cell>
          <cell r="D12">
            <v>288</v>
          </cell>
          <cell r="E12">
            <v>328</v>
          </cell>
          <cell r="F12">
            <v>168</v>
          </cell>
          <cell r="G12">
            <v>23.4194990723566</v>
          </cell>
        </row>
        <row r="13">
          <cell r="A13" t="str">
            <v>YI-IUYLTBY-N5</v>
          </cell>
          <cell r="B13" t="str">
            <v>TBYPRBMRG</v>
          </cell>
          <cell r="C13">
            <v>35</v>
          </cell>
          <cell r="D13">
            <v>41</v>
          </cell>
          <cell r="E13">
            <v>152</v>
          </cell>
          <cell r="F13">
            <v>32</v>
          </cell>
          <cell r="G13">
            <v>22.9899999999999</v>
          </cell>
        </row>
        <row r="14">
          <cell r="A14" t="str">
            <v>MZYSZHUOBUDTMAP140*220CM</v>
          </cell>
          <cell r="B14" t="str">
            <v>MZYSZHUOBUD</v>
          </cell>
          <cell r="C14">
            <v>2</v>
          </cell>
          <cell r="D14">
            <v>4</v>
          </cell>
          <cell r="E14">
            <v>1</v>
          </cell>
          <cell r="F14">
            <v>2</v>
          </cell>
          <cell r="G14">
            <v>32.6</v>
          </cell>
        </row>
        <row r="15">
          <cell r="A15" t="str">
            <v>GMTBYPJBOGO</v>
          </cell>
          <cell r="B15" t="str">
            <v>GMTBY</v>
          </cell>
          <cell r="C15">
            <v>0</v>
          </cell>
          <cell r="D15">
            <v>0</v>
          </cell>
          <cell r="E15">
            <v>5</v>
          </cell>
          <cell r="F15">
            <v>2</v>
          </cell>
          <cell r="G15">
            <v>21.99</v>
          </cell>
        </row>
        <row r="16">
          <cell r="A16" t="str">
            <v>TBYY0POINT</v>
          </cell>
          <cell r="B16" t="str">
            <v>TBYPRBMRG</v>
          </cell>
          <cell r="C16">
            <v>23</v>
          </cell>
          <cell r="D16">
            <v>40</v>
          </cell>
          <cell r="E16">
            <v>144</v>
          </cell>
          <cell r="F16">
            <v>31</v>
          </cell>
          <cell r="G16">
            <v>22.9899999999999</v>
          </cell>
        </row>
        <row r="17">
          <cell r="A17" t="str">
            <v>TBYPRBTHREE-M</v>
          </cell>
          <cell r="B17" t="str">
            <v>TBYPRBMRG</v>
          </cell>
          <cell r="C17">
            <v>18</v>
          </cell>
          <cell r="D17">
            <v>33</v>
          </cell>
          <cell r="E17">
            <v>20</v>
          </cell>
          <cell r="F17">
            <v>7</v>
          </cell>
          <cell r="G17">
            <v>22.233717948718</v>
          </cell>
        </row>
        <row r="18">
          <cell r="A18" t="str">
            <v>MZYSMZ01140*140cm</v>
          </cell>
          <cell r="B18" t="str">
            <v>MZYSM</v>
          </cell>
          <cell r="C18">
            <v>1</v>
          </cell>
          <cell r="D18">
            <v>0</v>
          </cell>
          <cell r="E18">
            <v>3</v>
          </cell>
          <cell r="F18">
            <v>1</v>
          </cell>
          <cell r="G18">
            <v>25.8</v>
          </cell>
        </row>
        <row r="19">
          <cell r="A19" t="str">
            <v>MZYSZHUOBUDTLEIS140*180CM</v>
          </cell>
          <cell r="B19" t="str">
            <v>MZYSZHUOBUD</v>
          </cell>
          <cell r="C19">
            <v>1</v>
          </cell>
          <cell r="D19">
            <v>1</v>
          </cell>
          <cell r="E19">
            <v>1</v>
          </cell>
          <cell r="F19">
            <v>2</v>
          </cell>
          <cell r="G19">
            <v>25.8</v>
          </cell>
        </row>
        <row r="20">
          <cell r="A20" t="str">
            <v>TBYPRBFOUR-M</v>
          </cell>
          <cell r="B20" t="str">
            <v>TBYPRBMRG</v>
          </cell>
          <cell r="C20">
            <v>64</v>
          </cell>
          <cell r="D20">
            <v>36</v>
          </cell>
          <cell r="E20">
            <v>50</v>
          </cell>
          <cell r="F20">
            <v>16</v>
          </cell>
          <cell r="G20">
            <v>22.8153012048192</v>
          </cell>
        </row>
        <row r="21">
          <cell r="A21" t="str">
            <v>TBYWHITE</v>
          </cell>
          <cell r="B21" t="str">
            <v>TBYPRBMRG</v>
          </cell>
          <cell r="C21">
            <v>50</v>
          </cell>
          <cell r="D21">
            <v>57</v>
          </cell>
          <cell r="E21">
            <v>47</v>
          </cell>
          <cell r="F21">
            <v>35</v>
          </cell>
          <cell r="G21">
            <v>22.7307407407406</v>
          </cell>
        </row>
        <row r="22">
          <cell r="A22" t="str">
            <v>MZYSZHUOBUDTMAP60*60CM</v>
          </cell>
          <cell r="B22" t="str">
            <v>MZYSZHUOBUD</v>
          </cell>
          <cell r="C22">
            <v>9</v>
          </cell>
          <cell r="D22">
            <v>5</v>
          </cell>
          <cell r="E22">
            <v>8</v>
          </cell>
          <cell r="F22">
            <v>8</v>
          </cell>
          <cell r="G22">
            <v>8.3</v>
          </cell>
        </row>
        <row r="23">
          <cell r="A23" t="str">
            <v>YY-IULCY-XZM150-LB</v>
          </cell>
          <cell r="B23" t="str">
            <v>TBYPRBMRG</v>
          </cell>
          <cell r="C23">
            <v>15</v>
          </cell>
          <cell r="D23">
            <v>17</v>
          </cell>
          <cell r="E23">
            <v>15</v>
          </cell>
          <cell r="F23">
            <v>3</v>
          </cell>
          <cell r="G23">
            <v>22.85</v>
          </cell>
        </row>
        <row r="24">
          <cell r="A24" t="str">
            <v>DJSCZHUOBUCSAQHS110*140CM</v>
          </cell>
          <cell r="B24" t="str">
            <v>DJSCZHUOBUCSAQHS</v>
          </cell>
          <cell r="C24">
            <v>0</v>
          </cell>
          <cell r="D24">
            <v>0</v>
          </cell>
          <cell r="E24">
            <v>0</v>
          </cell>
          <cell r="F24">
            <v>2</v>
          </cell>
          <cell r="G24">
            <v>18.445</v>
          </cell>
        </row>
        <row r="25">
          <cell r="A25" t="str">
            <v>MZYSZHUOBUDTMAP90*90CM</v>
          </cell>
          <cell r="B25" t="str">
            <v>MZYSZHUOBUD</v>
          </cell>
          <cell r="C25">
            <v>7</v>
          </cell>
          <cell r="D25">
            <v>4</v>
          </cell>
          <cell r="E25">
            <v>8</v>
          </cell>
          <cell r="F25">
            <v>3</v>
          </cell>
          <cell r="G25">
            <v>12.4</v>
          </cell>
        </row>
        <row r="26">
          <cell r="A26" t="str">
            <v>MZYSMZ01140*210cm</v>
          </cell>
          <cell r="B26" t="str">
            <v>MZYSM</v>
          </cell>
          <cell r="C26">
            <v>1</v>
          </cell>
          <cell r="D26">
            <v>0</v>
          </cell>
          <cell r="E26">
            <v>0</v>
          </cell>
          <cell r="F26">
            <v>1</v>
          </cell>
          <cell r="G26">
            <v>31.4</v>
          </cell>
        </row>
        <row r="27">
          <cell r="A27" t="str">
            <v>YY-IULCY-XZM100-RDNWT</v>
          </cell>
          <cell r="B27" t="str">
            <v>TBYPRBMRG</v>
          </cell>
          <cell r="C27">
            <v>0</v>
          </cell>
          <cell r="D27">
            <v>2</v>
          </cell>
          <cell r="E27">
            <v>8</v>
          </cell>
          <cell r="F27">
            <v>6</v>
          </cell>
          <cell r="G27">
            <v>22.99</v>
          </cell>
        </row>
        <row r="28">
          <cell r="A28" t="str">
            <v>ZAKKA0630B028*55CM</v>
          </cell>
          <cell r="B28" t="str">
            <v>ZAKKA0630</v>
          </cell>
          <cell r="C28">
            <v>4</v>
          </cell>
          <cell r="D28">
            <v>5</v>
          </cell>
          <cell r="E28">
            <v>6</v>
          </cell>
          <cell r="F28">
            <v>8</v>
          </cell>
          <cell r="G28">
            <v>10.9</v>
          </cell>
        </row>
        <row r="29">
          <cell r="A29" t="str">
            <v>ZAKKA0633B035*50CM</v>
          </cell>
          <cell r="B29" t="str">
            <v>ZAKKA0633</v>
          </cell>
          <cell r="C29">
            <v>6</v>
          </cell>
          <cell r="D29">
            <v>3</v>
          </cell>
          <cell r="E29">
            <v>9</v>
          </cell>
          <cell r="F29">
            <v>5</v>
          </cell>
          <cell r="G29">
            <v>12.9</v>
          </cell>
        </row>
        <row r="30">
          <cell r="A30" t="str">
            <v>ZAKKA0631R030*65CM</v>
          </cell>
          <cell r="B30" t="str">
            <v>ZAKKA0631</v>
          </cell>
          <cell r="C30">
            <v>26</v>
          </cell>
          <cell r="D30">
            <v>15</v>
          </cell>
          <cell r="E30">
            <v>10</v>
          </cell>
          <cell r="F30">
            <v>16</v>
          </cell>
          <cell r="G30">
            <v>8.99000000000001</v>
          </cell>
        </row>
        <row r="31">
          <cell r="A31" t="str">
            <v>YY-IULUY-KS374-DB-XL</v>
          </cell>
          <cell r="B31" t="str">
            <v>YY-IULUY-KS374</v>
          </cell>
          <cell r="C31">
            <v>5</v>
          </cell>
          <cell r="D31">
            <v>1</v>
          </cell>
          <cell r="E31">
            <v>7</v>
          </cell>
          <cell r="F31">
            <v>4</v>
          </cell>
          <cell r="G31">
            <v>12.99</v>
          </cell>
        </row>
        <row r="32">
          <cell r="A32" t="str">
            <v>YY-IULCY-KS371-PP-L</v>
          </cell>
          <cell r="B32" t="str">
            <v>YY-IULCY-KS371</v>
          </cell>
          <cell r="C32">
            <v>0</v>
          </cell>
          <cell r="D32">
            <v>6</v>
          </cell>
          <cell r="E32">
            <v>2</v>
          </cell>
          <cell r="F32">
            <v>3</v>
          </cell>
          <cell r="G32">
            <v>13.99</v>
          </cell>
        </row>
        <row r="33">
          <cell r="A33" t="str">
            <v>YY5100XGZG0</v>
          </cell>
          <cell r="B33" t="str">
            <v>YY5100</v>
          </cell>
          <cell r="C33">
            <v>2</v>
          </cell>
          <cell r="D33">
            <v>0</v>
          </cell>
          <cell r="E33">
            <v>1</v>
          </cell>
          <cell r="F33">
            <v>5</v>
          </cell>
          <cell r="G33">
            <v>19.99</v>
          </cell>
        </row>
        <row r="34">
          <cell r="A34" t="str">
            <v>YY-IULCY-KS377-PLANT-M</v>
          </cell>
          <cell r="B34" t="str">
            <v>YY-IULCY-KS377</v>
          </cell>
          <cell r="C34">
            <v>0</v>
          </cell>
          <cell r="D34">
            <v>1</v>
          </cell>
          <cell r="E34">
            <v>0</v>
          </cell>
          <cell r="F34">
            <v>1</v>
          </cell>
          <cell r="G34">
            <v>10.99</v>
          </cell>
        </row>
        <row r="35">
          <cell r="A35" t="str">
            <v>YY-IULCY-KS370-RD-L</v>
          </cell>
          <cell r="B35" t="str">
            <v>YY-IULCY-KS370</v>
          </cell>
          <cell r="C35">
            <v>1</v>
          </cell>
          <cell r="D35">
            <v>0</v>
          </cell>
          <cell r="E35">
            <v>0</v>
          </cell>
          <cell r="F35">
            <v>1</v>
          </cell>
          <cell r="G35">
            <v>14.99</v>
          </cell>
        </row>
        <row r="36">
          <cell r="A36" t="str">
            <v>TBYPJBLACK</v>
          </cell>
          <cell r="B36" t="str">
            <v>TBYPRBMRG</v>
          </cell>
          <cell r="C36">
            <v>324</v>
          </cell>
          <cell r="D36">
            <v>263</v>
          </cell>
          <cell r="E36">
            <v>278</v>
          </cell>
          <cell r="F36">
            <v>77</v>
          </cell>
          <cell r="G36">
            <v>22.9900000000002</v>
          </cell>
        </row>
        <row r="37">
          <cell r="A37" t="str">
            <v>ZAKKA0630R028*55CM</v>
          </cell>
          <cell r="B37" t="str">
            <v>ZAKKA0630</v>
          </cell>
          <cell r="C37">
            <v>2</v>
          </cell>
          <cell r="D37">
            <v>1</v>
          </cell>
          <cell r="E37">
            <v>3</v>
          </cell>
          <cell r="F37">
            <v>1</v>
          </cell>
          <cell r="G37">
            <v>8.99</v>
          </cell>
        </row>
        <row r="38">
          <cell r="A38" t="str">
            <v>ZCGTZ-IUCY001-AE</v>
          </cell>
          <cell r="B38" t="str">
            <v>ZCGTZ-IUCY001</v>
          </cell>
          <cell r="C38">
            <v>17</v>
          </cell>
          <cell r="D38">
            <v>14</v>
          </cell>
          <cell r="E38">
            <v>11</v>
          </cell>
          <cell r="F38">
            <v>8</v>
          </cell>
          <cell r="G38">
            <v>44.99</v>
          </cell>
        </row>
        <row r="39">
          <cell r="A39" t="str">
            <v>MZYSZHUOBUDTLEIS90*90CM</v>
          </cell>
          <cell r="B39" t="str">
            <v>MZYSZHUOBUD</v>
          </cell>
          <cell r="C39">
            <v>1</v>
          </cell>
          <cell r="D39">
            <v>1</v>
          </cell>
          <cell r="E39">
            <v>1</v>
          </cell>
          <cell r="F39">
            <v>4</v>
          </cell>
          <cell r="G39">
            <v>12.4</v>
          </cell>
        </row>
        <row r="40">
          <cell r="A40" t="str">
            <v>YY-IULCY-XZM100-GNNWT</v>
          </cell>
          <cell r="B40" t="str">
            <v>TBYPRBMRG</v>
          </cell>
          <cell r="C40">
            <v>2</v>
          </cell>
          <cell r="D40">
            <v>6</v>
          </cell>
          <cell r="E40">
            <v>7</v>
          </cell>
          <cell r="F40">
            <v>4</v>
          </cell>
          <cell r="G40">
            <v>22.99</v>
          </cell>
        </row>
        <row r="41">
          <cell r="A41" t="str">
            <v>YY-IULCY-KS371-WT-L</v>
          </cell>
          <cell r="B41" t="str">
            <v>YY-IULCY-KS371</v>
          </cell>
          <cell r="C41">
            <v>4</v>
          </cell>
          <cell r="D41">
            <v>0</v>
          </cell>
          <cell r="E41">
            <v>1</v>
          </cell>
          <cell r="F41">
            <v>4</v>
          </cell>
          <cell r="G41">
            <v>13.99</v>
          </cell>
        </row>
        <row r="42">
          <cell r="A42" t="str">
            <v>TBYSTARBLUE</v>
          </cell>
          <cell r="B42" t="str">
            <v>TBYPRBMRG</v>
          </cell>
          <cell r="C42">
            <v>29</v>
          </cell>
          <cell r="D42">
            <v>41</v>
          </cell>
          <cell r="E42">
            <v>38</v>
          </cell>
          <cell r="F42">
            <v>6</v>
          </cell>
          <cell r="G42">
            <v>22.8847368421052</v>
          </cell>
        </row>
        <row r="43">
          <cell r="A43" t="str">
            <v>BH-E628-EYEA</v>
          </cell>
          <cell r="B43" t="str">
            <v>BH-E628-EYEA</v>
          </cell>
          <cell r="C43">
            <v>4</v>
          </cell>
          <cell r="D43">
            <v>1</v>
          </cell>
          <cell r="E43">
            <v>1</v>
          </cell>
          <cell r="F43">
            <v>2</v>
          </cell>
          <cell r="G43">
            <v>9.99</v>
          </cell>
        </row>
        <row r="44">
          <cell r="A44" t="str">
            <v>YX-IUCY-819-WO-L</v>
          </cell>
          <cell r="B44" t="str">
            <v>YX-IUCY</v>
          </cell>
          <cell r="C44">
            <v>1</v>
          </cell>
          <cell r="D44">
            <v>5</v>
          </cell>
          <cell r="E44">
            <v>2</v>
          </cell>
          <cell r="F44">
            <v>5</v>
          </cell>
          <cell r="G44">
            <v>8</v>
          </cell>
        </row>
        <row r="45">
          <cell r="A45" t="str">
            <v>YY5100XR5XXL</v>
          </cell>
          <cell r="B45" t="str">
            <v>YY5100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  <cell r="G45">
            <v>19.99</v>
          </cell>
        </row>
        <row r="46">
          <cell r="A46" t="str">
            <v>YY1100PR</v>
          </cell>
          <cell r="B46" t="str">
            <v>YY1100</v>
          </cell>
          <cell r="C46">
            <v>16</v>
          </cell>
          <cell r="D46">
            <v>18</v>
          </cell>
          <cell r="E46">
            <v>13</v>
          </cell>
          <cell r="F46">
            <v>11</v>
          </cell>
          <cell r="G46">
            <v>22.9</v>
          </cell>
        </row>
        <row r="47">
          <cell r="A47" t="str">
            <v>YMQYQJISZMZM140*140CM</v>
          </cell>
          <cell r="B47" t="str">
            <v>YMQYQJISZM</v>
          </cell>
          <cell r="C47">
            <v>0</v>
          </cell>
          <cell r="D47">
            <v>3</v>
          </cell>
          <cell r="E47">
            <v>0</v>
          </cell>
          <cell r="F47">
            <v>2</v>
          </cell>
          <cell r="G47">
            <v>16.99</v>
          </cell>
        </row>
        <row r="48">
          <cell r="A48" t="str">
            <v>YY-IULCY-KS371-BL-M</v>
          </cell>
          <cell r="B48" t="str">
            <v>YY-IULCY-KS371</v>
          </cell>
          <cell r="C48">
            <v>2</v>
          </cell>
          <cell r="D48">
            <v>1</v>
          </cell>
          <cell r="E48">
            <v>1</v>
          </cell>
          <cell r="F48">
            <v>5</v>
          </cell>
          <cell r="G48">
            <v>13.99</v>
          </cell>
        </row>
        <row r="49">
          <cell r="A49" t="str">
            <v>YI-IUYLTBH-Y0</v>
          </cell>
          <cell r="B49" t="str">
            <v>TBYPRBMRG</v>
          </cell>
          <cell r="C49">
            <v>37</v>
          </cell>
          <cell r="D49">
            <v>1</v>
          </cell>
          <cell r="E49">
            <v>45</v>
          </cell>
          <cell r="F49">
            <v>25</v>
          </cell>
          <cell r="G49">
            <v>22.99</v>
          </cell>
        </row>
        <row r="50">
          <cell r="A50" t="str">
            <v>YY5100B0XL</v>
          </cell>
          <cell r="B50" t="str">
            <v>YY5100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  <cell r="G50">
            <v>15.99</v>
          </cell>
        </row>
        <row r="51">
          <cell r="A51" t="str">
            <v>YY-IULCY-KS377-BIRD-L</v>
          </cell>
          <cell r="B51" t="str">
            <v>YY-IULCY-KS377</v>
          </cell>
          <cell r="C51">
            <v>0</v>
          </cell>
          <cell r="D51">
            <v>6</v>
          </cell>
          <cell r="E51">
            <v>0</v>
          </cell>
          <cell r="F51">
            <v>2</v>
          </cell>
          <cell r="G51">
            <v>10.99</v>
          </cell>
        </row>
        <row r="52">
          <cell r="A52" t="str">
            <v>YMQYQXDHW0140*200CM</v>
          </cell>
          <cell r="B52" t="str">
            <v>YMQYQXDH</v>
          </cell>
          <cell r="C52">
            <v>2</v>
          </cell>
          <cell r="D52">
            <v>2</v>
          </cell>
          <cell r="E52">
            <v>2</v>
          </cell>
          <cell r="F52">
            <v>3</v>
          </cell>
          <cell r="G52">
            <v>25.99</v>
          </cell>
        </row>
        <row r="53">
          <cell r="A53" t="str">
            <v>MZYSZHUOBUDTMAP140*180CM</v>
          </cell>
          <cell r="B53" t="str">
            <v>MZYSZHUOBUD</v>
          </cell>
          <cell r="C53">
            <v>1</v>
          </cell>
          <cell r="D53">
            <v>20</v>
          </cell>
          <cell r="E53">
            <v>3</v>
          </cell>
          <cell r="F53">
            <v>3</v>
          </cell>
          <cell r="G53">
            <v>25.8</v>
          </cell>
        </row>
        <row r="54">
          <cell r="A54" t="str">
            <v>YY-IULCY-KS371-YL-XL</v>
          </cell>
          <cell r="B54" t="str">
            <v>YY-IULCY-KS371</v>
          </cell>
          <cell r="C54">
            <v>3</v>
          </cell>
          <cell r="D54">
            <v>5</v>
          </cell>
          <cell r="E54">
            <v>2</v>
          </cell>
          <cell r="F54">
            <v>18</v>
          </cell>
          <cell r="G54">
            <v>13.99</v>
          </cell>
        </row>
        <row r="55">
          <cell r="A55" t="str">
            <v>MZYSZHUOBUDTMAP140*200CM</v>
          </cell>
          <cell r="B55" t="str">
            <v>MZYSZHUOBUD</v>
          </cell>
          <cell r="C55">
            <v>0</v>
          </cell>
          <cell r="D55">
            <v>2</v>
          </cell>
          <cell r="E55">
            <v>3</v>
          </cell>
          <cell r="F55">
            <v>4</v>
          </cell>
          <cell r="G55">
            <v>29.3</v>
          </cell>
        </row>
        <row r="56">
          <cell r="A56" t="str">
            <v>YY-IULCY-XZM100-KKNWT</v>
          </cell>
          <cell r="B56" t="str">
            <v>TBYPRBMRG</v>
          </cell>
          <cell r="C56">
            <v>1</v>
          </cell>
          <cell r="D56">
            <v>9</v>
          </cell>
          <cell r="E56">
            <v>6</v>
          </cell>
          <cell r="F56">
            <v>4</v>
          </cell>
          <cell r="G56">
            <v>22.99</v>
          </cell>
        </row>
        <row r="57">
          <cell r="A57" t="str">
            <v>YY-IULCY-KS372-PP-XL</v>
          </cell>
          <cell r="B57" t="str">
            <v>YY-IULCY-KS372</v>
          </cell>
          <cell r="C57">
            <v>5</v>
          </cell>
          <cell r="D57">
            <v>0</v>
          </cell>
          <cell r="E57">
            <v>0</v>
          </cell>
          <cell r="F57">
            <v>1</v>
          </cell>
          <cell r="G57">
            <v>13.99</v>
          </cell>
        </row>
        <row r="58">
          <cell r="A58" t="str">
            <v>YMQYQXDHKF140*140CM</v>
          </cell>
          <cell r="B58" t="str">
            <v>YMQYQXDH</v>
          </cell>
          <cell r="C58">
            <v>1</v>
          </cell>
          <cell r="D58">
            <v>1</v>
          </cell>
          <cell r="E58">
            <v>1</v>
          </cell>
          <cell r="F58">
            <v>2</v>
          </cell>
          <cell r="G58">
            <v>19.99</v>
          </cell>
        </row>
        <row r="59">
          <cell r="A59" t="str">
            <v>YY1100W0L</v>
          </cell>
          <cell r="B59" t="str">
            <v>YY1100</v>
          </cell>
          <cell r="C59">
            <v>48</v>
          </cell>
          <cell r="D59">
            <v>24</v>
          </cell>
          <cell r="E59">
            <v>19</v>
          </cell>
          <cell r="F59">
            <v>20</v>
          </cell>
          <cell r="G59">
            <v>22.6207207207208</v>
          </cell>
        </row>
        <row r="60">
          <cell r="A60" t="str">
            <v>YY2127GR</v>
          </cell>
          <cell r="B60" t="str">
            <v>YY2127</v>
          </cell>
          <cell r="C60">
            <v>2</v>
          </cell>
          <cell r="D60">
            <v>3</v>
          </cell>
          <cell r="E60">
            <v>2</v>
          </cell>
          <cell r="F60">
            <v>1</v>
          </cell>
          <cell r="G60">
            <v>19.99</v>
          </cell>
        </row>
        <row r="61">
          <cell r="A61" t="str">
            <v>YMQYQHCZQ100*140CM</v>
          </cell>
          <cell r="B61" t="str">
            <v>YMQYQHCZQ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19.9</v>
          </cell>
        </row>
        <row r="62">
          <cell r="A62" t="str">
            <v>YX-IUCY-518-WO-2XL</v>
          </cell>
          <cell r="B62" t="str">
            <v>YX-IUCY</v>
          </cell>
          <cell r="C62">
            <v>0</v>
          </cell>
          <cell r="D62">
            <v>3</v>
          </cell>
          <cell r="E62">
            <v>2</v>
          </cell>
          <cell r="F62">
            <v>2</v>
          </cell>
          <cell r="G62">
            <v>8</v>
          </cell>
        </row>
        <row r="63">
          <cell r="A63" t="str">
            <v>YY5100XB0L</v>
          </cell>
          <cell r="B63" t="str">
            <v>YY5100</v>
          </cell>
          <cell r="C63">
            <v>1</v>
          </cell>
          <cell r="D63">
            <v>0</v>
          </cell>
          <cell r="E63">
            <v>1</v>
          </cell>
          <cell r="F63">
            <v>2</v>
          </cell>
          <cell r="G63">
            <v>17.49</v>
          </cell>
        </row>
        <row r="64">
          <cell r="A64" t="str">
            <v>YX-IUCY-518-WO-L</v>
          </cell>
          <cell r="B64" t="str">
            <v>YX-IUCY</v>
          </cell>
          <cell r="C64">
            <v>0</v>
          </cell>
          <cell r="D64">
            <v>0</v>
          </cell>
          <cell r="E64">
            <v>3</v>
          </cell>
          <cell r="F64">
            <v>1</v>
          </cell>
          <cell r="G64">
            <v>8</v>
          </cell>
        </row>
        <row r="65">
          <cell r="A65" t="str">
            <v>SXHLYITAO4-LH-001SZS40x60CM</v>
          </cell>
          <cell r="B65" t="str">
            <v>SXHLYITAO1-LH-001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13.99</v>
          </cell>
        </row>
        <row r="66">
          <cell r="A66" t="str">
            <v>YY1100G0L</v>
          </cell>
          <cell r="B66" t="str">
            <v>YY1100</v>
          </cell>
          <cell r="C66">
            <v>16</v>
          </cell>
          <cell r="D66">
            <v>12</v>
          </cell>
          <cell r="E66">
            <v>16</v>
          </cell>
          <cell r="F66">
            <v>13</v>
          </cell>
          <cell r="G66">
            <v>22.9</v>
          </cell>
        </row>
        <row r="67">
          <cell r="A67" t="str">
            <v>YMQYQXDHPO100*140CM</v>
          </cell>
          <cell r="B67" t="str">
            <v>YMQYQXDH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  <cell r="G67">
            <v>14.43</v>
          </cell>
        </row>
        <row r="68">
          <cell r="A68" t="str">
            <v>YY1100W0M</v>
          </cell>
          <cell r="B68" t="str">
            <v>YY1100</v>
          </cell>
          <cell r="C68">
            <v>10</v>
          </cell>
          <cell r="D68">
            <v>15</v>
          </cell>
          <cell r="E68">
            <v>10</v>
          </cell>
          <cell r="F68">
            <v>9</v>
          </cell>
          <cell r="G68">
            <v>22.5363636363636</v>
          </cell>
        </row>
        <row r="69">
          <cell r="A69" t="str">
            <v>TBYPRBTWO-M</v>
          </cell>
          <cell r="B69" t="str">
            <v>TBYPRBMRG</v>
          </cell>
          <cell r="C69">
            <v>26</v>
          </cell>
          <cell r="D69">
            <v>19</v>
          </cell>
          <cell r="E69">
            <v>22</v>
          </cell>
          <cell r="F69">
            <v>6</v>
          </cell>
          <cell r="G69">
            <v>22.6612328767123</v>
          </cell>
        </row>
        <row r="70">
          <cell r="A70" t="str">
            <v>SXHLYITAO1-LH-001WI40x60CM</v>
          </cell>
          <cell r="B70" t="str">
            <v>SXHLYITAO1-LH-001</v>
          </cell>
          <cell r="C70">
            <v>6</v>
          </cell>
          <cell r="D70">
            <v>3</v>
          </cell>
          <cell r="E70">
            <v>4</v>
          </cell>
          <cell r="F70">
            <v>2</v>
          </cell>
          <cell r="G70">
            <v>13.99</v>
          </cell>
        </row>
        <row r="71">
          <cell r="A71" t="str">
            <v>YY-IULCY-KS377-BIRD-M</v>
          </cell>
          <cell r="B71" t="str">
            <v>YY-IULCY-KS377</v>
          </cell>
          <cell r="C71">
            <v>1</v>
          </cell>
          <cell r="D71">
            <v>3</v>
          </cell>
          <cell r="E71">
            <v>1</v>
          </cell>
          <cell r="F71">
            <v>1</v>
          </cell>
          <cell r="G71">
            <v>10.99</v>
          </cell>
        </row>
        <row r="72">
          <cell r="A72" t="str">
            <v>YY-IULCY-KS371-PP-XL</v>
          </cell>
          <cell r="B72" t="str">
            <v>YY-IULCY-KS371</v>
          </cell>
          <cell r="C72">
            <v>1</v>
          </cell>
          <cell r="D72">
            <v>2</v>
          </cell>
          <cell r="E72">
            <v>2</v>
          </cell>
          <cell r="F72">
            <v>3</v>
          </cell>
          <cell r="G72">
            <v>13.99</v>
          </cell>
        </row>
        <row r="73">
          <cell r="A73" t="str">
            <v>YY1100G0M</v>
          </cell>
          <cell r="B73" t="str">
            <v>YY1100</v>
          </cell>
          <cell r="C73">
            <v>9</v>
          </cell>
          <cell r="D73">
            <v>13</v>
          </cell>
          <cell r="E73">
            <v>21</v>
          </cell>
          <cell r="F73">
            <v>6</v>
          </cell>
          <cell r="G73">
            <v>22.4510204081633</v>
          </cell>
        </row>
        <row r="74">
          <cell r="A74" t="str">
            <v>YY-IULCY-KS371-GN-M</v>
          </cell>
          <cell r="B74" t="str">
            <v>YY-IULCY-KS371</v>
          </cell>
          <cell r="C74">
            <v>0</v>
          </cell>
          <cell r="D74">
            <v>2</v>
          </cell>
          <cell r="E74">
            <v>3</v>
          </cell>
          <cell r="F74">
            <v>2</v>
          </cell>
          <cell r="G74">
            <v>13.99</v>
          </cell>
        </row>
        <row r="75">
          <cell r="A75" t="str">
            <v>YY-IULUY-KS374-YL-M</v>
          </cell>
          <cell r="B75" t="str">
            <v>YY-IULUY-KS374</v>
          </cell>
          <cell r="C75">
            <v>0</v>
          </cell>
          <cell r="D75">
            <v>4</v>
          </cell>
          <cell r="E75">
            <v>3</v>
          </cell>
          <cell r="F75">
            <v>3</v>
          </cell>
          <cell r="G75">
            <v>12.99</v>
          </cell>
        </row>
        <row r="76">
          <cell r="A76" t="str">
            <v>YMQYQXDHW0140*250CM</v>
          </cell>
          <cell r="B76" t="str">
            <v>YMQYQXDH</v>
          </cell>
          <cell r="C76">
            <v>0</v>
          </cell>
          <cell r="D76">
            <v>4</v>
          </cell>
          <cell r="E76">
            <v>1</v>
          </cell>
          <cell r="F76">
            <v>2</v>
          </cell>
          <cell r="G76">
            <v>29.99</v>
          </cell>
        </row>
        <row r="77">
          <cell r="A77" t="str">
            <v>YMQYQXDHW0140*140CM</v>
          </cell>
          <cell r="B77" t="str">
            <v>YMQYQXDH</v>
          </cell>
          <cell r="C77">
            <v>3</v>
          </cell>
          <cell r="D77">
            <v>0</v>
          </cell>
          <cell r="E77">
            <v>2</v>
          </cell>
          <cell r="F77">
            <v>2</v>
          </cell>
          <cell r="G77">
            <v>19.99</v>
          </cell>
        </row>
        <row r="78">
          <cell r="A78" t="str">
            <v>YY-IULCY-KS372-PP-M</v>
          </cell>
          <cell r="B78" t="str">
            <v>YY-IULCY-KS372</v>
          </cell>
          <cell r="C78">
            <v>2</v>
          </cell>
          <cell r="D78">
            <v>2</v>
          </cell>
          <cell r="E78">
            <v>1</v>
          </cell>
          <cell r="F78">
            <v>1</v>
          </cell>
          <cell r="G78">
            <v>13.99</v>
          </cell>
        </row>
        <row r="79">
          <cell r="A79" t="str">
            <v>YMQYZBCSMS60*60CM</v>
          </cell>
          <cell r="B79" t="str">
            <v>YMQYZBCSM</v>
          </cell>
          <cell r="C79">
            <v>1</v>
          </cell>
          <cell r="D79">
            <v>1</v>
          </cell>
          <cell r="E79">
            <v>0</v>
          </cell>
          <cell r="F79">
            <v>1</v>
          </cell>
          <cell r="G79">
            <v>8.99</v>
          </cell>
        </row>
        <row r="80">
          <cell r="A80" t="str">
            <v>LQXFMS1H140*200CM</v>
          </cell>
          <cell r="B80" t="str">
            <v>LQXFMS1H</v>
          </cell>
          <cell r="C80">
            <v>0</v>
          </cell>
          <cell r="D80">
            <v>0</v>
          </cell>
          <cell r="E80">
            <v>1</v>
          </cell>
          <cell r="F80">
            <v>1</v>
          </cell>
          <cell r="G80">
            <v>29.9</v>
          </cell>
        </row>
        <row r="81">
          <cell r="A81" t="str">
            <v>YMQYQXDHY0140*140CM</v>
          </cell>
          <cell r="B81" t="str">
            <v>YMQYQXDH</v>
          </cell>
          <cell r="C81">
            <v>1</v>
          </cell>
          <cell r="D81">
            <v>1</v>
          </cell>
          <cell r="E81">
            <v>0</v>
          </cell>
          <cell r="F81">
            <v>1</v>
          </cell>
          <cell r="G81">
            <v>20.99</v>
          </cell>
        </row>
        <row r="82">
          <cell r="A82" t="str">
            <v>ZAKKA0589B035*50CM</v>
          </cell>
          <cell r="B82" t="str">
            <v>ZAKKA0589</v>
          </cell>
          <cell r="C82">
            <v>4</v>
          </cell>
          <cell r="D82">
            <v>3</v>
          </cell>
          <cell r="E82">
            <v>2</v>
          </cell>
          <cell r="F82">
            <v>4</v>
          </cell>
          <cell r="G82">
            <v>9.9</v>
          </cell>
        </row>
        <row r="83">
          <cell r="A83" t="str">
            <v>YY-IULCY-KS371-PP-M</v>
          </cell>
          <cell r="B83" t="str">
            <v>YY-IULCY-KS371</v>
          </cell>
          <cell r="C83">
            <v>0</v>
          </cell>
          <cell r="D83">
            <v>6</v>
          </cell>
          <cell r="E83">
            <v>2</v>
          </cell>
          <cell r="F83">
            <v>2</v>
          </cell>
          <cell r="G83">
            <v>13.99</v>
          </cell>
        </row>
        <row r="84">
          <cell r="A84" t="str">
            <v>MZYSZHUOBUDTMAP140*140CM</v>
          </cell>
          <cell r="B84" t="str">
            <v>MZYSZHUOBUD</v>
          </cell>
          <cell r="C84">
            <v>2</v>
          </cell>
          <cell r="D84">
            <v>18</v>
          </cell>
          <cell r="E84">
            <v>7</v>
          </cell>
          <cell r="F84">
            <v>4</v>
          </cell>
          <cell r="G84">
            <v>19</v>
          </cell>
        </row>
        <row r="85">
          <cell r="A85" t="str">
            <v>YY-IULCY-KS372-WT-L</v>
          </cell>
          <cell r="B85" t="str">
            <v>YY-IULCY-KS372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0</v>
          </cell>
        </row>
        <row r="86">
          <cell r="A86" t="str">
            <v>YMQYQXDHY0140*250CM</v>
          </cell>
          <cell r="B86" t="str">
            <v>YMQYQXDH</v>
          </cell>
          <cell r="C86">
            <v>0</v>
          </cell>
          <cell r="D86">
            <v>0</v>
          </cell>
          <cell r="E86">
            <v>0</v>
          </cell>
          <cell r="F86">
            <v>1</v>
          </cell>
          <cell r="G86">
            <v>40.99</v>
          </cell>
        </row>
        <row r="87">
          <cell r="A87" t="str">
            <v>YX-IUCY-518-N5-XL</v>
          </cell>
          <cell r="B87" t="str">
            <v>YX-IUCY</v>
          </cell>
          <cell r="C87">
            <v>2</v>
          </cell>
          <cell r="D87">
            <v>1</v>
          </cell>
          <cell r="E87">
            <v>0</v>
          </cell>
          <cell r="F87">
            <v>1</v>
          </cell>
          <cell r="G87">
            <v>8.5</v>
          </cell>
        </row>
        <row r="88">
          <cell r="A88" t="str">
            <v>YX-IUCY-518-N5-L</v>
          </cell>
          <cell r="B88" t="str">
            <v>YX-IUCY</v>
          </cell>
          <cell r="C88">
            <v>0</v>
          </cell>
          <cell r="D88">
            <v>0</v>
          </cell>
          <cell r="E88">
            <v>0</v>
          </cell>
          <cell r="F88">
            <v>1</v>
          </cell>
          <cell r="G88">
            <v>8</v>
          </cell>
        </row>
        <row r="89">
          <cell r="A89" t="str">
            <v>YY-IULCY-XZM100-BKNWT</v>
          </cell>
          <cell r="B89" t="str">
            <v>TBYPRBMRG</v>
          </cell>
          <cell r="C89">
            <v>6</v>
          </cell>
          <cell r="D89">
            <v>1</v>
          </cell>
          <cell r="E89">
            <v>4</v>
          </cell>
          <cell r="F89">
            <v>6</v>
          </cell>
          <cell r="G89">
            <v>22.99</v>
          </cell>
        </row>
        <row r="90">
          <cell r="A90" t="str">
            <v>ETYIYELLOW-M</v>
          </cell>
          <cell r="B90" t="str">
            <v>ETYIYELLOW</v>
          </cell>
          <cell r="C90">
            <v>0</v>
          </cell>
          <cell r="D90">
            <v>4</v>
          </cell>
          <cell r="E90">
            <v>1</v>
          </cell>
          <cell r="F90">
            <v>2</v>
          </cell>
          <cell r="G90">
            <v>15.99</v>
          </cell>
        </row>
        <row r="91">
          <cell r="A91" t="str">
            <v>ETYIYUANDIAN-XL</v>
          </cell>
          <cell r="B91" t="str">
            <v>ETYIYUANDIAN</v>
          </cell>
          <cell r="C91">
            <v>10</v>
          </cell>
          <cell r="D91">
            <v>7</v>
          </cell>
          <cell r="E91">
            <v>8</v>
          </cell>
          <cell r="F91">
            <v>5</v>
          </cell>
          <cell r="G91">
            <v>15.99</v>
          </cell>
        </row>
        <row r="92">
          <cell r="A92" t="str">
            <v>YY-IULCY-XZM100-CFNWT</v>
          </cell>
          <cell r="B92" t="str">
            <v>TBYPRBMRG</v>
          </cell>
          <cell r="C92">
            <v>1</v>
          </cell>
          <cell r="D92">
            <v>0</v>
          </cell>
          <cell r="E92">
            <v>11</v>
          </cell>
          <cell r="F92">
            <v>7</v>
          </cell>
          <cell r="G92">
            <v>22.99</v>
          </cell>
        </row>
        <row r="93">
          <cell r="A93" t="str">
            <v>MZYSMZ0170*140cm</v>
          </cell>
          <cell r="B93" t="str">
            <v>MZYSM</v>
          </cell>
          <cell r="C93">
            <v>0</v>
          </cell>
          <cell r="D93">
            <v>1</v>
          </cell>
          <cell r="E93">
            <v>0</v>
          </cell>
          <cell r="F93">
            <v>2</v>
          </cell>
          <cell r="G93">
            <v>21</v>
          </cell>
        </row>
        <row r="94">
          <cell r="A94" t="str">
            <v>YMQYZHUOBUJXXHB0140x250CM</v>
          </cell>
          <cell r="B94" t="str">
            <v>YMQYZHUOBUJXXH</v>
          </cell>
          <cell r="C94">
            <v>3</v>
          </cell>
          <cell r="D94">
            <v>0</v>
          </cell>
          <cell r="E94">
            <v>0</v>
          </cell>
          <cell r="F94">
            <v>1</v>
          </cell>
          <cell r="G94">
            <v>15.99</v>
          </cell>
        </row>
        <row r="95">
          <cell r="A95" t="str">
            <v>YY-IULCY-KS371-GN-XL</v>
          </cell>
          <cell r="B95" t="str">
            <v>YY-IULCY-KS371</v>
          </cell>
          <cell r="C95">
            <v>1</v>
          </cell>
          <cell r="D95">
            <v>0</v>
          </cell>
          <cell r="E95">
            <v>2</v>
          </cell>
          <cell r="F95">
            <v>3</v>
          </cell>
          <cell r="G95">
            <v>13.99</v>
          </cell>
        </row>
        <row r="96">
          <cell r="A96" t="str">
            <v>YY-IULUY-KS374-DB-L</v>
          </cell>
          <cell r="B96" t="str">
            <v>YY-IULUY-KS374</v>
          </cell>
          <cell r="C96">
            <v>0</v>
          </cell>
          <cell r="D96">
            <v>5</v>
          </cell>
          <cell r="E96">
            <v>6</v>
          </cell>
          <cell r="F96">
            <v>2</v>
          </cell>
          <cell r="G96">
            <v>12.99</v>
          </cell>
        </row>
        <row r="97">
          <cell r="A97" t="str">
            <v>YY-IULCY-KS371-WT-M</v>
          </cell>
          <cell r="B97" t="str">
            <v>YY-IULCY-KS371</v>
          </cell>
          <cell r="C97">
            <v>3</v>
          </cell>
          <cell r="D97">
            <v>3</v>
          </cell>
          <cell r="E97">
            <v>1</v>
          </cell>
          <cell r="F97">
            <v>3</v>
          </cell>
          <cell r="G97">
            <v>12.99</v>
          </cell>
        </row>
        <row r="98">
          <cell r="A98" t="str">
            <v>YY-IULUY-KS374-YL-XL</v>
          </cell>
          <cell r="B98" t="str">
            <v>YY-IULUY-KS374</v>
          </cell>
          <cell r="C98">
            <v>1</v>
          </cell>
          <cell r="D98">
            <v>2</v>
          </cell>
          <cell r="E98">
            <v>3</v>
          </cell>
          <cell r="F98">
            <v>1</v>
          </cell>
          <cell r="G98">
            <v>12.99</v>
          </cell>
        </row>
        <row r="99">
          <cell r="A99" t="str">
            <v>TBYSTARRED</v>
          </cell>
          <cell r="B99" t="str">
            <v>TBYPRBMRG</v>
          </cell>
          <cell r="C99">
            <v>22</v>
          </cell>
          <cell r="D99">
            <v>16</v>
          </cell>
          <cell r="E99">
            <v>14</v>
          </cell>
          <cell r="F99">
            <v>3</v>
          </cell>
          <cell r="G99">
            <v>22.9172727272727</v>
          </cell>
        </row>
        <row r="100">
          <cell r="A100" t="str">
            <v>YY-IULCY-KS370-BL-M</v>
          </cell>
          <cell r="B100" t="str">
            <v>YY-IULCY-KS370</v>
          </cell>
          <cell r="C100">
            <v>0</v>
          </cell>
          <cell r="D100">
            <v>0</v>
          </cell>
          <cell r="E100">
            <v>0</v>
          </cell>
          <cell r="F100">
            <v>2</v>
          </cell>
          <cell r="G100">
            <v>14.99</v>
          </cell>
        </row>
        <row r="101">
          <cell r="A101" t="str">
            <v>YMQYQJISZMSS140*180CM</v>
          </cell>
          <cell r="B101" t="str">
            <v>YMQYQJISZM</v>
          </cell>
          <cell r="C101">
            <v>3</v>
          </cell>
          <cell r="D101">
            <v>2</v>
          </cell>
          <cell r="E101">
            <v>0</v>
          </cell>
          <cell r="F101">
            <v>1</v>
          </cell>
          <cell r="G101">
            <v>22.9</v>
          </cell>
        </row>
        <row r="102">
          <cell r="A102" t="str">
            <v>YY5100B1XL</v>
          </cell>
          <cell r="B102" t="str">
            <v>YY5100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  <cell r="G102">
            <v>15.99</v>
          </cell>
        </row>
        <row r="103">
          <cell r="A103" t="str">
            <v>YMQYQXDHKF140*160CM</v>
          </cell>
          <cell r="B103" t="str">
            <v>YMQYQXDH</v>
          </cell>
          <cell r="C103">
            <v>0</v>
          </cell>
          <cell r="D103">
            <v>0</v>
          </cell>
          <cell r="E103">
            <v>0</v>
          </cell>
          <cell r="F103">
            <v>2</v>
          </cell>
          <cell r="G103">
            <v>21.99</v>
          </cell>
        </row>
        <row r="104">
          <cell r="A104" t="str">
            <v>MZYSZHUOBUDTLEIS140*140CM</v>
          </cell>
          <cell r="B104" t="str">
            <v>MZYSZHUOBUD</v>
          </cell>
          <cell r="C104">
            <v>2</v>
          </cell>
          <cell r="D104">
            <v>6</v>
          </cell>
          <cell r="E104">
            <v>5</v>
          </cell>
          <cell r="F104">
            <v>4</v>
          </cell>
          <cell r="G104">
            <v>19</v>
          </cell>
        </row>
        <row r="105">
          <cell r="A105" t="str">
            <v>MZYSZHUOBUDTLEIS140*250CM</v>
          </cell>
          <cell r="B105" t="str">
            <v>MZYSZHUOBUD</v>
          </cell>
          <cell r="C105">
            <v>1</v>
          </cell>
          <cell r="D105">
            <v>0</v>
          </cell>
          <cell r="E105">
            <v>0</v>
          </cell>
          <cell r="F105">
            <v>1</v>
          </cell>
          <cell r="G105">
            <v>35.4</v>
          </cell>
        </row>
        <row r="106">
          <cell r="A106" t="str">
            <v>TZ-IUYL240-BONE-L</v>
          </cell>
          <cell r="B106" t="str">
            <v>TZ-IUYL240</v>
          </cell>
          <cell r="C106">
            <v>0</v>
          </cell>
          <cell r="D106">
            <v>0</v>
          </cell>
          <cell r="E106">
            <v>0</v>
          </cell>
          <cell r="F106">
            <v>1</v>
          </cell>
          <cell r="G106">
            <v>22.99</v>
          </cell>
        </row>
        <row r="107">
          <cell r="A107" t="str">
            <v>YY-IULUY-KS374-YL-L</v>
          </cell>
          <cell r="B107" t="str">
            <v>YY-IULUY-KS374</v>
          </cell>
          <cell r="C107">
            <v>0</v>
          </cell>
          <cell r="D107">
            <v>1</v>
          </cell>
          <cell r="E107">
            <v>14</v>
          </cell>
          <cell r="F107">
            <v>1</v>
          </cell>
          <cell r="G107">
            <v>12.99</v>
          </cell>
        </row>
        <row r="108">
          <cell r="A108" t="str">
            <v>YY-IULCY-KS372-PK-M</v>
          </cell>
          <cell r="B108" t="str">
            <v>YY-IULCY-KS372</v>
          </cell>
          <cell r="C108">
            <v>3</v>
          </cell>
          <cell r="D108">
            <v>3</v>
          </cell>
          <cell r="E108">
            <v>1</v>
          </cell>
          <cell r="F108">
            <v>1</v>
          </cell>
          <cell r="G108">
            <v>13.99</v>
          </cell>
        </row>
        <row r="109">
          <cell r="A109" t="str">
            <v>SWEATPETRO14</v>
          </cell>
          <cell r="B109" t="str">
            <v>SWEATPET</v>
          </cell>
          <cell r="C109">
            <v>0</v>
          </cell>
          <cell r="D109">
            <v>0</v>
          </cell>
          <cell r="E109">
            <v>0</v>
          </cell>
          <cell r="F109">
            <v>1</v>
          </cell>
          <cell r="G109">
            <v>9.99</v>
          </cell>
        </row>
        <row r="110">
          <cell r="A110" t="str">
            <v>YY-IULCY-C9002-LB</v>
          </cell>
          <cell r="B110" t="str">
            <v>YY-IULCY-C9002</v>
          </cell>
          <cell r="C110">
            <v>0</v>
          </cell>
          <cell r="D110">
            <v>0</v>
          </cell>
          <cell r="E110">
            <v>0</v>
          </cell>
          <cell r="F110">
            <v>1</v>
          </cell>
          <cell r="G110">
            <v>15.19</v>
          </cell>
        </row>
        <row r="111">
          <cell r="A111" t="str">
            <v>YMQYQJISZMSS140*140CM</v>
          </cell>
          <cell r="B111" t="str">
            <v>YMQYQJISZM</v>
          </cell>
          <cell r="C111">
            <v>1</v>
          </cell>
          <cell r="D111">
            <v>3</v>
          </cell>
          <cell r="E111">
            <v>0</v>
          </cell>
          <cell r="F111">
            <v>2</v>
          </cell>
          <cell r="G111">
            <v>16.99</v>
          </cell>
        </row>
        <row r="112">
          <cell r="A112" t="str">
            <v>YY-IULCY-XZM100-BLNWT</v>
          </cell>
          <cell r="B112" t="str">
            <v>TBYPRBMRG</v>
          </cell>
          <cell r="C112">
            <v>2</v>
          </cell>
          <cell r="D112">
            <v>1</v>
          </cell>
          <cell r="E112">
            <v>3</v>
          </cell>
          <cell r="F112">
            <v>7</v>
          </cell>
          <cell r="G112">
            <v>22.99</v>
          </cell>
        </row>
        <row r="113">
          <cell r="A113" t="str">
            <v>JCHOME-AXW140*200CM</v>
          </cell>
          <cell r="B113" t="str">
            <v>JCHOME-AX</v>
          </cell>
          <cell r="C113">
            <v>0</v>
          </cell>
          <cell r="D113">
            <v>0</v>
          </cell>
          <cell r="E113">
            <v>0</v>
          </cell>
          <cell r="F113">
            <v>1</v>
          </cell>
          <cell r="G113">
            <v>20.99</v>
          </cell>
        </row>
        <row r="114">
          <cell r="A114" t="str">
            <v>SND-IUYLZAK-BE</v>
          </cell>
          <cell r="B114" t="str">
            <v>SND-IUYL</v>
          </cell>
          <cell r="C114">
            <v>1</v>
          </cell>
          <cell r="D114">
            <v>1</v>
          </cell>
          <cell r="E114">
            <v>1</v>
          </cell>
          <cell r="F114">
            <v>1</v>
          </cell>
          <cell r="G114">
            <v>8.99</v>
          </cell>
        </row>
        <row r="115">
          <cell r="A115" t="str">
            <v>MZYSZHUOBUDTLEIS100*140CM</v>
          </cell>
          <cell r="B115" t="str">
            <v>MZYSZHUOBUD</v>
          </cell>
          <cell r="C115">
            <v>3</v>
          </cell>
          <cell r="D115">
            <v>3</v>
          </cell>
          <cell r="E115">
            <v>7</v>
          </cell>
          <cell r="F115">
            <v>2</v>
          </cell>
          <cell r="G115">
            <v>15.9</v>
          </cell>
        </row>
        <row r="116">
          <cell r="A116" t="str">
            <v>MZYSZHUOBUDTMAP140*250CM</v>
          </cell>
          <cell r="B116" t="str">
            <v>MZYSZHUOBUD</v>
          </cell>
          <cell r="C116">
            <v>5</v>
          </cell>
          <cell r="D116">
            <v>7</v>
          </cell>
          <cell r="E116">
            <v>6</v>
          </cell>
          <cell r="F116">
            <v>1</v>
          </cell>
          <cell r="G116">
            <v>35.4</v>
          </cell>
        </row>
        <row r="117">
          <cell r="A117" t="str">
            <v>ETYIBLUE-XL</v>
          </cell>
          <cell r="B117" t="str">
            <v>ETYIBLUE</v>
          </cell>
          <cell r="C117">
            <v>3</v>
          </cell>
          <cell r="D117">
            <v>7</v>
          </cell>
          <cell r="E117">
            <v>2</v>
          </cell>
          <cell r="F117">
            <v>1</v>
          </cell>
          <cell r="G117">
            <v>15.99</v>
          </cell>
        </row>
        <row r="118">
          <cell r="A118" t="str">
            <v>YMQYQJISZMZM100*140CM</v>
          </cell>
          <cell r="B118" t="str">
            <v>YMQYQJISZM</v>
          </cell>
          <cell r="C118">
            <v>1</v>
          </cell>
          <cell r="D118">
            <v>1</v>
          </cell>
          <cell r="E118">
            <v>1</v>
          </cell>
          <cell r="F118">
            <v>1</v>
          </cell>
          <cell r="G118">
            <v>13.9</v>
          </cell>
        </row>
        <row r="119">
          <cell r="A119" t="str">
            <v>YMQYZBCSMS100*140CM</v>
          </cell>
          <cell r="B119" t="str">
            <v>YMQYZBCSM</v>
          </cell>
          <cell r="C119">
            <v>1</v>
          </cell>
          <cell r="D119">
            <v>3</v>
          </cell>
          <cell r="E119">
            <v>3</v>
          </cell>
          <cell r="F119">
            <v>1</v>
          </cell>
          <cell r="G119">
            <v>19.99</v>
          </cell>
        </row>
        <row r="120">
          <cell r="A120" t="str">
            <v>YY-IULCY-KS371-GN-L</v>
          </cell>
          <cell r="B120" t="str">
            <v>YY-IULCY-KS371</v>
          </cell>
          <cell r="C120">
            <v>1</v>
          </cell>
          <cell r="D120">
            <v>4</v>
          </cell>
          <cell r="E120">
            <v>1</v>
          </cell>
          <cell r="F120">
            <v>1</v>
          </cell>
          <cell r="G120">
            <v>13.99</v>
          </cell>
        </row>
        <row r="121">
          <cell r="A121" t="str">
            <v>YMQYQXDHW0140*220CM</v>
          </cell>
          <cell r="B121" t="str">
            <v>YMQYQXDH</v>
          </cell>
          <cell r="C121">
            <v>1</v>
          </cell>
          <cell r="D121">
            <v>1</v>
          </cell>
          <cell r="E121">
            <v>2</v>
          </cell>
          <cell r="F121">
            <v>1</v>
          </cell>
          <cell r="G121">
            <v>27.99</v>
          </cell>
        </row>
        <row r="122">
          <cell r="A122" t="str">
            <v>YY-IULCY-KS371-BL-L</v>
          </cell>
          <cell r="B122" t="str">
            <v>YY-IULCY-KS371</v>
          </cell>
          <cell r="C122">
            <v>0</v>
          </cell>
          <cell r="D122">
            <v>2</v>
          </cell>
          <cell r="E122">
            <v>4</v>
          </cell>
          <cell r="F122">
            <v>1</v>
          </cell>
          <cell r="G122">
            <v>13.99</v>
          </cell>
        </row>
        <row r="123">
          <cell r="A123" t="str">
            <v>ARDIANGOLD</v>
          </cell>
          <cell r="B123" t="str">
            <v>ARDIAN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 t="e">
            <v>#DIV/0!</v>
          </cell>
        </row>
        <row r="124">
          <cell r="A124" t="str">
            <v>SGZ-LULHY-001</v>
          </cell>
          <cell r="B124" t="str">
            <v>SGZ-LULHY</v>
          </cell>
          <cell r="C124">
            <v>2</v>
          </cell>
          <cell r="D124">
            <v>6</v>
          </cell>
          <cell r="E124">
            <v>3</v>
          </cell>
          <cell r="F124">
            <v>3</v>
          </cell>
          <cell r="G124">
            <v>24.7042857142857</v>
          </cell>
        </row>
        <row r="125">
          <cell r="A125" t="str">
            <v>BYZBLANS140*200CM</v>
          </cell>
          <cell r="B125" t="str">
            <v>BYZBLANS</v>
          </cell>
          <cell r="C125">
            <v>0</v>
          </cell>
          <cell r="D125">
            <v>0</v>
          </cell>
          <cell r="E125">
            <v>1</v>
          </cell>
          <cell r="F125">
            <v>1</v>
          </cell>
          <cell r="G125">
            <v>25.99</v>
          </cell>
        </row>
        <row r="126">
          <cell r="A126" t="str">
            <v>ETYIBLUE-L</v>
          </cell>
          <cell r="B126" t="str">
            <v>ETYIBLUE</v>
          </cell>
          <cell r="C126">
            <v>4</v>
          </cell>
          <cell r="D126">
            <v>6</v>
          </cell>
          <cell r="E126">
            <v>5</v>
          </cell>
          <cell r="F126">
            <v>1</v>
          </cell>
          <cell r="G126">
            <v>15.99</v>
          </cell>
        </row>
        <row r="127">
          <cell r="A127" t="str">
            <v>YMQYQXDHKF140*220CM</v>
          </cell>
          <cell r="B127" t="str">
            <v>YMQYQXDH</v>
          </cell>
          <cell r="C127">
            <v>1</v>
          </cell>
          <cell r="D127">
            <v>1</v>
          </cell>
          <cell r="E127">
            <v>0</v>
          </cell>
          <cell r="F127">
            <v>3</v>
          </cell>
          <cell r="G127">
            <v>27.99</v>
          </cell>
        </row>
        <row r="128">
          <cell r="A128" t="str">
            <v>YY-IULUY-KS374-DB-M</v>
          </cell>
          <cell r="B128" t="str">
            <v>YY-IULUY-KS374</v>
          </cell>
          <cell r="C128">
            <v>3</v>
          </cell>
          <cell r="D128">
            <v>0</v>
          </cell>
          <cell r="E128">
            <v>6</v>
          </cell>
          <cell r="F128">
            <v>2</v>
          </cell>
          <cell r="G128">
            <v>12.99</v>
          </cell>
        </row>
        <row r="129">
          <cell r="A129" t="str">
            <v>YMQYQDZMZM90*90CM</v>
          </cell>
          <cell r="B129" t="str">
            <v>YMQYQDZMZM</v>
          </cell>
          <cell r="C129">
            <v>0</v>
          </cell>
          <cell r="D129">
            <v>1</v>
          </cell>
          <cell r="E129">
            <v>0</v>
          </cell>
          <cell r="F129">
            <v>1</v>
          </cell>
          <cell r="G129">
            <v>10.9</v>
          </cell>
        </row>
        <row r="130">
          <cell r="A130" t="str">
            <v>YMQYZBCSMS90*90CM</v>
          </cell>
          <cell r="B130" t="str">
            <v>YMQYZBCSM</v>
          </cell>
          <cell r="C130">
            <v>2</v>
          </cell>
          <cell r="D130">
            <v>2</v>
          </cell>
          <cell r="E130">
            <v>0</v>
          </cell>
          <cell r="F130">
            <v>0</v>
          </cell>
          <cell r="G130">
            <v>13.99</v>
          </cell>
        </row>
        <row r="131">
          <cell r="A131" t="str">
            <v>YY-IULCY-KS369-HEAD-L</v>
          </cell>
          <cell r="B131" t="str">
            <v>YY-IULCY-KS369</v>
          </cell>
          <cell r="C131">
            <v>0</v>
          </cell>
          <cell r="D131">
            <v>1</v>
          </cell>
          <cell r="E131">
            <v>0</v>
          </cell>
          <cell r="F131">
            <v>2</v>
          </cell>
          <cell r="G131">
            <v>10</v>
          </cell>
        </row>
        <row r="132">
          <cell r="A132" t="str">
            <v>YY-IULCY-KS377-HEAD-M</v>
          </cell>
          <cell r="B132" t="str">
            <v>YY-IULCY-KS377</v>
          </cell>
          <cell r="C132">
            <v>2</v>
          </cell>
          <cell r="D132">
            <v>0</v>
          </cell>
          <cell r="E132">
            <v>0</v>
          </cell>
          <cell r="F132">
            <v>1</v>
          </cell>
          <cell r="G132">
            <v>10.99</v>
          </cell>
        </row>
        <row r="133">
          <cell r="A133" t="str">
            <v>YY-IULCY-KS372-GN-L</v>
          </cell>
          <cell r="B133" t="str">
            <v>YY-IULCY-KS372</v>
          </cell>
          <cell r="C133">
            <v>0</v>
          </cell>
          <cell r="D133">
            <v>0</v>
          </cell>
          <cell r="E133">
            <v>2</v>
          </cell>
          <cell r="F133">
            <v>1</v>
          </cell>
          <cell r="G133">
            <v>13.99</v>
          </cell>
        </row>
        <row r="134">
          <cell r="A134" t="str">
            <v>YY-IULCY-KS372-BL-XL</v>
          </cell>
          <cell r="B134" t="str">
            <v>YY-IULCY-KS372</v>
          </cell>
          <cell r="C134">
            <v>0</v>
          </cell>
          <cell r="D134">
            <v>0</v>
          </cell>
          <cell r="E134">
            <v>1</v>
          </cell>
          <cell r="F134">
            <v>1</v>
          </cell>
          <cell r="G134">
            <v>13.99</v>
          </cell>
        </row>
        <row r="135">
          <cell r="A135" t="str">
            <v>YY-IULCY-XZM150-BK</v>
          </cell>
          <cell r="B135" t="str">
            <v>TBYPRBMRG</v>
          </cell>
          <cell r="C135">
            <v>29</v>
          </cell>
          <cell r="D135">
            <v>29</v>
          </cell>
          <cell r="E135">
            <v>27</v>
          </cell>
          <cell r="F135">
            <v>8</v>
          </cell>
          <cell r="G135">
            <v>22.7964516129032</v>
          </cell>
        </row>
        <row r="136">
          <cell r="A136" t="str">
            <v>D7-K3RX-7XQQ</v>
          </cell>
          <cell r="B136" t="str">
            <v>D7-K3RX-7XQQ</v>
          </cell>
          <cell r="C136">
            <v>1</v>
          </cell>
          <cell r="D136">
            <v>1</v>
          </cell>
          <cell r="E136">
            <v>0</v>
          </cell>
          <cell r="F136">
            <v>2</v>
          </cell>
          <cell r="G136">
            <v>8.99</v>
          </cell>
        </row>
        <row r="137">
          <cell r="A137" t="str">
            <v>MZYSZHUOBUDTMAP100*140CM</v>
          </cell>
          <cell r="B137" t="str">
            <v>MZYSZHUOBUD</v>
          </cell>
          <cell r="C137">
            <v>10</v>
          </cell>
          <cell r="D137">
            <v>9</v>
          </cell>
          <cell r="E137">
            <v>16</v>
          </cell>
          <cell r="F137">
            <v>4</v>
          </cell>
          <cell r="G137">
            <v>15.9</v>
          </cell>
        </row>
        <row r="138">
          <cell r="A138" t="str">
            <v>MZYSZHUOBUDTLEIS60*60CM</v>
          </cell>
          <cell r="B138" t="str">
            <v>MZYSZHUOBUD</v>
          </cell>
          <cell r="C138">
            <v>2</v>
          </cell>
          <cell r="D138">
            <v>2</v>
          </cell>
          <cell r="E138">
            <v>3</v>
          </cell>
          <cell r="F138">
            <v>1</v>
          </cell>
          <cell r="G138">
            <v>8.3</v>
          </cell>
        </row>
        <row r="139">
          <cell r="A139" t="str">
            <v>BYZBLANS140*250CM</v>
          </cell>
          <cell r="B139" t="str">
            <v>BYZBLANS</v>
          </cell>
          <cell r="C139">
            <v>0</v>
          </cell>
          <cell r="D139">
            <v>0</v>
          </cell>
          <cell r="E139">
            <v>0</v>
          </cell>
          <cell r="F139">
            <v>1</v>
          </cell>
          <cell r="G139">
            <v>30.99</v>
          </cell>
        </row>
        <row r="140">
          <cell r="A140" t="str">
            <v>YMQYQJISZMSS100*140CM</v>
          </cell>
          <cell r="B140" t="str">
            <v>YMQYQJISZM</v>
          </cell>
          <cell r="C140">
            <v>2</v>
          </cell>
          <cell r="D140">
            <v>1</v>
          </cell>
          <cell r="E140">
            <v>1</v>
          </cell>
          <cell r="F140">
            <v>2</v>
          </cell>
          <cell r="G140">
            <v>13.9</v>
          </cell>
        </row>
        <row r="141">
          <cell r="A141" t="str">
            <v>YY-IULCY-KS371-YL-L</v>
          </cell>
          <cell r="B141" t="str">
            <v>YY-IULCY-KS371</v>
          </cell>
          <cell r="C141">
            <v>2</v>
          </cell>
          <cell r="D141">
            <v>5</v>
          </cell>
          <cell r="E141">
            <v>8</v>
          </cell>
          <cell r="F141">
            <v>1</v>
          </cell>
          <cell r="G141">
            <v>13.99</v>
          </cell>
        </row>
        <row r="142">
          <cell r="A142" t="str">
            <v>YMQYZHUOBUJXXHB0140x200CM</v>
          </cell>
          <cell r="B142" t="str">
            <v>YMQYZHUOBUJXXH</v>
          </cell>
          <cell r="C142">
            <v>0</v>
          </cell>
          <cell r="D142">
            <v>0</v>
          </cell>
          <cell r="E142">
            <v>0</v>
          </cell>
          <cell r="F142">
            <v>1</v>
          </cell>
          <cell r="G142">
            <v>34.9</v>
          </cell>
        </row>
        <row r="143">
          <cell r="A143" t="str">
            <v>YY-IULCY-KS372-GN-M</v>
          </cell>
          <cell r="B143" t="str">
            <v>YY-IULCY-KS372</v>
          </cell>
          <cell r="C143">
            <v>0</v>
          </cell>
          <cell r="D143">
            <v>1</v>
          </cell>
          <cell r="E143">
            <v>1</v>
          </cell>
          <cell r="F143">
            <v>1</v>
          </cell>
          <cell r="G143">
            <v>13.99</v>
          </cell>
        </row>
        <row r="144">
          <cell r="A144" t="str">
            <v>YMQYQDZMZM60*60CM</v>
          </cell>
          <cell r="B144" t="str">
            <v>YMQYQDZMZM</v>
          </cell>
          <cell r="C144">
            <v>2</v>
          </cell>
          <cell r="D144">
            <v>2</v>
          </cell>
          <cell r="E144">
            <v>1</v>
          </cell>
          <cell r="F144">
            <v>1</v>
          </cell>
          <cell r="G144">
            <v>6.9</v>
          </cell>
        </row>
        <row r="145">
          <cell r="A145" t="str">
            <v>ZAKKA0040B035*50CM</v>
          </cell>
          <cell r="B145" t="str">
            <v>ZAKKA0040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  <cell r="G145">
            <v>24.49</v>
          </cell>
        </row>
        <row r="146">
          <cell r="A146" t="str">
            <v>ETYIYUANDIAN-L</v>
          </cell>
          <cell r="B146" t="str">
            <v>ETYIYUANDIAN</v>
          </cell>
          <cell r="C146">
            <v>5</v>
          </cell>
          <cell r="D146">
            <v>10</v>
          </cell>
          <cell r="E146">
            <v>8</v>
          </cell>
          <cell r="F146">
            <v>3</v>
          </cell>
          <cell r="G146">
            <v>15.99</v>
          </cell>
        </row>
        <row r="147">
          <cell r="A147" t="str">
            <v>ETYIMC-L-2</v>
          </cell>
          <cell r="B147" t="str">
            <v>ETYIMC</v>
          </cell>
          <cell r="C147">
            <v>0</v>
          </cell>
          <cell r="D147">
            <v>12</v>
          </cell>
          <cell r="E147">
            <v>3</v>
          </cell>
          <cell r="F147">
            <v>1</v>
          </cell>
          <cell r="G147">
            <v>15.99</v>
          </cell>
        </row>
        <row r="148">
          <cell r="A148" t="str">
            <v>TZ-IUYL240-ELPH-S</v>
          </cell>
          <cell r="B148" t="str">
            <v>TZ-IUYL240</v>
          </cell>
          <cell r="C148">
            <v>0</v>
          </cell>
          <cell r="D148">
            <v>1</v>
          </cell>
          <cell r="E148">
            <v>1</v>
          </cell>
          <cell r="F148">
            <v>1</v>
          </cell>
          <cell r="G148">
            <v>13.99</v>
          </cell>
        </row>
        <row r="149">
          <cell r="A149" t="str">
            <v>YMQYQXDHY0100*140CM</v>
          </cell>
          <cell r="B149" t="str">
            <v>YMQYQXDH</v>
          </cell>
          <cell r="C149">
            <v>0</v>
          </cell>
          <cell r="D149">
            <v>0</v>
          </cell>
          <cell r="E149">
            <v>1</v>
          </cell>
          <cell r="F149">
            <v>1</v>
          </cell>
          <cell r="G149">
            <v>16.99</v>
          </cell>
        </row>
        <row r="150">
          <cell r="A150" t="str">
            <v>YY-IULCY-KS372-YL-L</v>
          </cell>
          <cell r="B150" t="str">
            <v>YY-IULCY-KS372</v>
          </cell>
          <cell r="C150">
            <v>3</v>
          </cell>
          <cell r="D150">
            <v>2</v>
          </cell>
          <cell r="E150">
            <v>3</v>
          </cell>
          <cell r="F150">
            <v>12</v>
          </cell>
          <cell r="G150">
            <v>13.99</v>
          </cell>
        </row>
        <row r="151">
          <cell r="A151" t="str">
            <v>YY-IULCY-KS372-YL-XL</v>
          </cell>
          <cell r="B151" t="str">
            <v>YY-IULCY-KS372</v>
          </cell>
          <cell r="C151">
            <v>1</v>
          </cell>
          <cell r="D151">
            <v>4</v>
          </cell>
          <cell r="E151">
            <v>2</v>
          </cell>
          <cell r="F151">
            <v>1</v>
          </cell>
          <cell r="G151">
            <v>13.99</v>
          </cell>
        </row>
        <row r="152">
          <cell r="A152" t="str">
            <v>YMQYQJISZMZM140*180CM</v>
          </cell>
          <cell r="B152" t="str">
            <v>YMQYQJISZM</v>
          </cell>
          <cell r="C152">
            <v>1</v>
          </cell>
          <cell r="D152">
            <v>1</v>
          </cell>
          <cell r="E152">
            <v>0</v>
          </cell>
          <cell r="F152">
            <v>1</v>
          </cell>
          <cell r="G152">
            <v>21.9</v>
          </cell>
        </row>
        <row r="153">
          <cell r="A153" t="str">
            <v>YDYPFS-XL</v>
          </cell>
          <cell r="B153" t="str">
            <v>YDYPFS</v>
          </cell>
          <cell r="C153">
            <v>5</v>
          </cell>
          <cell r="D153">
            <v>7</v>
          </cell>
          <cell r="E153">
            <v>3</v>
          </cell>
          <cell r="F153">
            <v>1</v>
          </cell>
          <cell r="G153">
            <v>15.99</v>
          </cell>
        </row>
        <row r="154">
          <cell r="A154" t="str">
            <v>YMQYQDZMZM140*180CM</v>
          </cell>
          <cell r="B154" t="str">
            <v>YMQYQDZMZM</v>
          </cell>
          <cell r="C154">
            <v>0</v>
          </cell>
          <cell r="D154">
            <v>0</v>
          </cell>
          <cell r="E154">
            <v>0</v>
          </cell>
          <cell r="F154">
            <v>1</v>
          </cell>
          <cell r="G154">
            <v>29.9</v>
          </cell>
        </row>
        <row r="155">
          <cell r="A155" t="str">
            <v>MID46-069-3XL</v>
          </cell>
          <cell r="B155" t="str">
            <v>MID46-069</v>
          </cell>
          <cell r="C155">
            <v>0</v>
          </cell>
          <cell r="D155">
            <v>1</v>
          </cell>
          <cell r="E155">
            <v>0</v>
          </cell>
          <cell r="F155">
            <v>1</v>
          </cell>
          <cell r="G155">
            <v>22.7</v>
          </cell>
        </row>
        <row r="156">
          <cell r="A156" t="str">
            <v>YY-IULCY-KS371-BL-XL</v>
          </cell>
          <cell r="B156" t="str">
            <v>YY-IULCY-KS371</v>
          </cell>
          <cell r="C156">
            <v>1</v>
          </cell>
          <cell r="D156">
            <v>2</v>
          </cell>
          <cell r="E156">
            <v>2</v>
          </cell>
          <cell r="F156">
            <v>1</v>
          </cell>
          <cell r="G156">
            <v>13.99</v>
          </cell>
        </row>
        <row r="157">
          <cell r="A157" t="str">
            <v>YY-IULCY-C9002-AG</v>
          </cell>
          <cell r="B157" t="str">
            <v>YY-IULCY-C9002</v>
          </cell>
          <cell r="C157">
            <v>1</v>
          </cell>
          <cell r="D157">
            <v>1</v>
          </cell>
          <cell r="E157">
            <v>2</v>
          </cell>
          <cell r="F157">
            <v>2</v>
          </cell>
          <cell r="G157">
            <v>15.99</v>
          </cell>
        </row>
        <row r="158">
          <cell r="A158" t="str">
            <v>ETYIYUANDIAN-S-2</v>
          </cell>
          <cell r="B158" t="str">
            <v>ETYIYUANDIAN</v>
          </cell>
          <cell r="C158">
            <v>1</v>
          </cell>
          <cell r="D158">
            <v>1</v>
          </cell>
          <cell r="E158">
            <v>2</v>
          </cell>
          <cell r="F158">
            <v>1</v>
          </cell>
          <cell r="G158">
            <v>15.99</v>
          </cell>
        </row>
        <row r="159">
          <cell r="A159" t="str">
            <v>YY-IULCY-KS369-ANCHOR-L</v>
          </cell>
          <cell r="B159" t="str">
            <v>YY-IULCY-KS369</v>
          </cell>
          <cell r="C159">
            <v>1</v>
          </cell>
          <cell r="D159">
            <v>0</v>
          </cell>
          <cell r="E159">
            <v>0</v>
          </cell>
          <cell r="F159">
            <v>1</v>
          </cell>
          <cell r="G159">
            <v>10</v>
          </cell>
        </row>
        <row r="160">
          <cell r="A160" t="str">
            <v>YY-IULCY-KS369-BIRD-L</v>
          </cell>
          <cell r="B160" t="str">
            <v>YY-IULCY-KS369</v>
          </cell>
          <cell r="C160">
            <v>0</v>
          </cell>
          <cell r="D160">
            <v>0</v>
          </cell>
          <cell r="E160">
            <v>0</v>
          </cell>
          <cell r="F160">
            <v>2</v>
          </cell>
          <cell r="G160">
            <v>10</v>
          </cell>
        </row>
        <row r="161">
          <cell r="A161" t="str">
            <v>YMQYQDZMZM140*140CM</v>
          </cell>
          <cell r="B161" t="str">
            <v>YMQYQDZMZM</v>
          </cell>
          <cell r="C161">
            <v>0</v>
          </cell>
          <cell r="D161">
            <v>3</v>
          </cell>
          <cell r="E161">
            <v>0</v>
          </cell>
          <cell r="F161">
            <v>1</v>
          </cell>
          <cell r="G161">
            <v>25.9</v>
          </cell>
        </row>
        <row r="162">
          <cell r="A162" t="str">
            <v>MZYSZHUOBUDTLEIS140*200CM</v>
          </cell>
          <cell r="B162" t="str">
            <v>MZYSZHUOBUD</v>
          </cell>
          <cell r="C162">
            <v>0</v>
          </cell>
          <cell r="D162">
            <v>1</v>
          </cell>
          <cell r="E162">
            <v>0</v>
          </cell>
          <cell r="F162">
            <v>1</v>
          </cell>
          <cell r="G162">
            <v>29.3</v>
          </cell>
        </row>
        <row r="163">
          <cell r="A163" t="str">
            <v>YY-IULCY-XZM150-PK</v>
          </cell>
          <cell r="B163" t="str">
            <v>TBYPRBMRG</v>
          </cell>
          <cell r="C163">
            <v>25</v>
          </cell>
          <cell r="D163">
            <v>16</v>
          </cell>
          <cell r="E163">
            <v>19</v>
          </cell>
          <cell r="F163">
            <v>1</v>
          </cell>
          <cell r="G163">
            <v>22.9572131147541</v>
          </cell>
        </row>
        <row r="164">
          <cell r="A164" t="str">
            <v>YY-IULCY-KS372-BL-L</v>
          </cell>
          <cell r="B164" t="str">
            <v>YY-IULCY-KS372</v>
          </cell>
          <cell r="C164">
            <v>1</v>
          </cell>
          <cell r="D164">
            <v>3</v>
          </cell>
          <cell r="E164">
            <v>0</v>
          </cell>
          <cell r="F164">
            <v>1</v>
          </cell>
          <cell r="G164">
            <v>13.99</v>
          </cell>
        </row>
        <row r="165">
          <cell r="A165" t="str">
            <v>YY-IULCY-HZYD200-LGSTAR-L</v>
          </cell>
          <cell r="B165" t="str">
            <v>YY-IULCY-HZYD200</v>
          </cell>
          <cell r="C165">
            <v>0</v>
          </cell>
          <cell r="D165">
            <v>1</v>
          </cell>
          <cell r="E165">
            <v>1</v>
          </cell>
          <cell r="F165">
            <v>1</v>
          </cell>
          <cell r="G165">
            <v>15.99</v>
          </cell>
        </row>
        <row r="166">
          <cell r="A166" t="str">
            <v>TZ-IUYL240-BONE-S</v>
          </cell>
          <cell r="B166" t="str">
            <v>TZ-IUYL240</v>
          </cell>
          <cell r="C166">
            <v>6</v>
          </cell>
          <cell r="D166">
            <v>3</v>
          </cell>
          <cell r="E166">
            <v>4</v>
          </cell>
          <cell r="F166">
            <v>1</v>
          </cell>
          <cell r="G166">
            <v>13.99</v>
          </cell>
        </row>
        <row r="167">
          <cell r="A167" t="str">
            <v>YMQYQXDHW090*90CM</v>
          </cell>
          <cell r="B167" t="str">
            <v>YMQYQXDH</v>
          </cell>
          <cell r="C167">
            <v>6</v>
          </cell>
          <cell r="D167">
            <v>2</v>
          </cell>
          <cell r="E167">
            <v>2</v>
          </cell>
          <cell r="F167">
            <v>1</v>
          </cell>
          <cell r="G167">
            <v>11.8090909090909</v>
          </cell>
        </row>
        <row r="168">
          <cell r="A168" t="str">
            <v>YMQYQJISZMSS90*90CM</v>
          </cell>
          <cell r="B168" t="str">
            <v>YMQYQJISZM</v>
          </cell>
          <cell r="C168">
            <v>0</v>
          </cell>
          <cell r="D168">
            <v>2</v>
          </cell>
          <cell r="E168">
            <v>1</v>
          </cell>
          <cell r="F168">
            <v>2</v>
          </cell>
          <cell r="G168">
            <v>10.9</v>
          </cell>
        </row>
        <row r="169">
          <cell r="A169" t="str">
            <v>ETYIBLUE-M-2</v>
          </cell>
          <cell r="B169" t="str">
            <v>ETYIBLUE</v>
          </cell>
          <cell r="C169">
            <v>3</v>
          </cell>
          <cell r="D169">
            <v>11</v>
          </cell>
          <cell r="E169">
            <v>5</v>
          </cell>
          <cell r="F169">
            <v>1</v>
          </cell>
          <cell r="G169">
            <v>15.99</v>
          </cell>
        </row>
        <row r="170">
          <cell r="A170" t="str">
            <v>ETYIYELLOW-L</v>
          </cell>
          <cell r="B170" t="str">
            <v>ETYIYELLOW</v>
          </cell>
          <cell r="C170">
            <v>2</v>
          </cell>
          <cell r="D170">
            <v>0</v>
          </cell>
          <cell r="E170">
            <v>4</v>
          </cell>
          <cell r="F170">
            <v>1</v>
          </cell>
          <cell r="G170">
            <v>15.99</v>
          </cell>
        </row>
        <row r="171">
          <cell r="A171" t="str">
            <v>GMTBYGREEN</v>
          </cell>
          <cell r="B171" t="str">
            <v>GMTBY</v>
          </cell>
          <cell r="C171">
            <v>0</v>
          </cell>
          <cell r="D171">
            <v>0</v>
          </cell>
          <cell r="E171">
            <v>41</v>
          </cell>
          <cell r="F171">
            <v>0</v>
          </cell>
          <cell r="G171">
            <v>21.99</v>
          </cell>
        </row>
        <row r="172">
          <cell r="A172" t="str">
            <v>YY-IULCY-HZYD200-LGSTAR-M</v>
          </cell>
          <cell r="B172" t="str">
            <v>YY-IULCY-HZYD200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 t="e">
            <v>#DIV/0!</v>
          </cell>
        </row>
        <row r="173">
          <cell r="A173" t="str">
            <v>ETYIYELLOW-XL</v>
          </cell>
          <cell r="B173" t="str">
            <v>ETYIYELLOW</v>
          </cell>
          <cell r="C173">
            <v>2</v>
          </cell>
          <cell r="D173">
            <v>2</v>
          </cell>
          <cell r="E173">
            <v>2</v>
          </cell>
          <cell r="F173">
            <v>0</v>
          </cell>
          <cell r="G173">
            <v>15.99</v>
          </cell>
        </row>
        <row r="174">
          <cell r="A174" t="str">
            <v>ZHUAPPPRO-XL</v>
          </cell>
          <cell r="B174" t="str">
            <v>ZHUAPPP</v>
          </cell>
          <cell r="C174">
            <v>0</v>
          </cell>
          <cell r="D174">
            <v>0</v>
          </cell>
          <cell r="E174">
            <v>1</v>
          </cell>
          <cell r="F174">
            <v>0</v>
          </cell>
          <cell r="G174">
            <v>17.99</v>
          </cell>
        </row>
        <row r="175">
          <cell r="A175" t="str">
            <v>YY-IULCY-HZYD100-BIGEYED-L</v>
          </cell>
          <cell r="B175" t="str">
            <v>YY-IULCY-HZYD100</v>
          </cell>
          <cell r="C175">
            <v>0</v>
          </cell>
          <cell r="D175">
            <v>1</v>
          </cell>
          <cell r="E175">
            <v>1</v>
          </cell>
          <cell r="F175">
            <v>0</v>
          </cell>
          <cell r="G175">
            <v>12.99</v>
          </cell>
        </row>
        <row r="176">
          <cell r="A176" t="str">
            <v>SXHLYITAO4-LH-001DHS40x60CM</v>
          </cell>
          <cell r="B176" t="str">
            <v>SXHLYITAO1-LH-001</v>
          </cell>
          <cell r="C176">
            <v>0</v>
          </cell>
          <cell r="D176">
            <v>4</v>
          </cell>
          <cell r="E176">
            <v>3</v>
          </cell>
          <cell r="F176">
            <v>0</v>
          </cell>
          <cell r="G176">
            <v>13.99</v>
          </cell>
        </row>
        <row r="177">
          <cell r="A177" t="str">
            <v>DLJJZHUOBU-BGZW0100x140CM</v>
          </cell>
          <cell r="B177" t="str">
            <v>DLJJZHUOBU-BGZW0</v>
          </cell>
          <cell r="C177">
            <v>1</v>
          </cell>
          <cell r="D177">
            <v>0</v>
          </cell>
          <cell r="E177">
            <v>1</v>
          </cell>
          <cell r="F177">
            <v>0</v>
          </cell>
          <cell r="G177">
            <v>13.3</v>
          </cell>
        </row>
        <row r="178">
          <cell r="A178" t="str">
            <v>YY2127GRL</v>
          </cell>
          <cell r="B178" t="str">
            <v>YY2127</v>
          </cell>
          <cell r="C178">
            <v>0</v>
          </cell>
          <cell r="D178">
            <v>0</v>
          </cell>
          <cell r="E178">
            <v>1</v>
          </cell>
          <cell r="F178">
            <v>0</v>
          </cell>
          <cell r="G178">
            <v>19.99</v>
          </cell>
        </row>
        <row r="179">
          <cell r="A179" t="str">
            <v>YX-IUCY-819-N5-L</v>
          </cell>
          <cell r="B179" t="str">
            <v>YX-IUCY</v>
          </cell>
          <cell r="C179">
            <v>1</v>
          </cell>
          <cell r="D179">
            <v>1</v>
          </cell>
          <cell r="E179">
            <v>3</v>
          </cell>
          <cell r="F179">
            <v>0</v>
          </cell>
          <cell r="G179">
            <v>8.2</v>
          </cell>
        </row>
        <row r="180">
          <cell r="A180" t="str">
            <v>MZYSZHUOBUDTLEIS140*220CM</v>
          </cell>
          <cell r="B180" t="str">
            <v>MZYSZHUOBUD</v>
          </cell>
          <cell r="C180">
            <v>1</v>
          </cell>
          <cell r="D180">
            <v>3</v>
          </cell>
          <cell r="E180">
            <v>2</v>
          </cell>
          <cell r="F180">
            <v>0</v>
          </cell>
          <cell r="G180">
            <v>32.6</v>
          </cell>
        </row>
        <row r="181">
          <cell r="A181" t="str">
            <v>MZYSWZ8590*90CM</v>
          </cell>
          <cell r="B181" t="str">
            <v>MZYSWZ85</v>
          </cell>
          <cell r="C181">
            <v>1</v>
          </cell>
          <cell r="D181">
            <v>0</v>
          </cell>
          <cell r="E181">
            <v>1</v>
          </cell>
          <cell r="F181">
            <v>0</v>
          </cell>
          <cell r="G181">
            <v>23.9</v>
          </cell>
        </row>
        <row r="182">
          <cell r="A182" t="str">
            <v>YY2127GRYL</v>
          </cell>
          <cell r="B182" t="str">
            <v>YY2127</v>
          </cell>
          <cell r="C182">
            <v>1</v>
          </cell>
          <cell r="D182">
            <v>2</v>
          </cell>
          <cell r="E182">
            <v>2</v>
          </cell>
          <cell r="F182">
            <v>0</v>
          </cell>
          <cell r="G182">
            <v>20.39</v>
          </cell>
        </row>
        <row r="183">
          <cell r="A183" t="str">
            <v>SXHLYITAO1-LH-001MHS40x60CM</v>
          </cell>
          <cell r="B183" t="str">
            <v>SXHLYITAO1-LH-001</v>
          </cell>
          <cell r="C183">
            <v>2</v>
          </cell>
          <cell r="D183">
            <v>6</v>
          </cell>
          <cell r="E183">
            <v>3</v>
          </cell>
          <cell r="F183">
            <v>0</v>
          </cell>
          <cell r="G183">
            <v>13.99</v>
          </cell>
        </row>
        <row r="184">
          <cell r="A184" t="str">
            <v>GMTBYWHITE</v>
          </cell>
          <cell r="B184" t="str">
            <v>GMTBY</v>
          </cell>
          <cell r="C184">
            <v>0</v>
          </cell>
          <cell r="D184">
            <v>0</v>
          </cell>
          <cell r="E184">
            <v>11</v>
          </cell>
          <cell r="F184">
            <v>0</v>
          </cell>
          <cell r="G184">
            <v>21.99</v>
          </cell>
        </row>
        <row r="185">
          <cell r="A185" t="str">
            <v>BYZBLANS60*60CM</v>
          </cell>
          <cell r="B185" t="str">
            <v>BYZBLANS</v>
          </cell>
          <cell r="C185">
            <v>0</v>
          </cell>
          <cell r="D185">
            <v>0</v>
          </cell>
          <cell r="E185">
            <v>2</v>
          </cell>
          <cell r="F185">
            <v>0</v>
          </cell>
          <cell r="G185">
            <v>8.99</v>
          </cell>
        </row>
        <row r="186">
          <cell r="A186" t="str">
            <v>ETYIYUANDIAN-M</v>
          </cell>
          <cell r="B186" t="str">
            <v>ETYIYUANDIAN</v>
          </cell>
          <cell r="C186">
            <v>3</v>
          </cell>
          <cell r="D186">
            <v>8</v>
          </cell>
          <cell r="E186">
            <v>5</v>
          </cell>
          <cell r="F186">
            <v>0</v>
          </cell>
          <cell r="G186">
            <v>15.99</v>
          </cell>
        </row>
        <row r="187">
          <cell r="A187" t="str">
            <v>BYZBFS140*250CM</v>
          </cell>
          <cell r="B187" t="str">
            <v>BYZBFS</v>
          </cell>
          <cell r="C187">
            <v>0</v>
          </cell>
          <cell r="D187">
            <v>1</v>
          </cell>
          <cell r="E187">
            <v>1</v>
          </cell>
          <cell r="F187">
            <v>0</v>
          </cell>
          <cell r="G187">
            <v>29.31</v>
          </cell>
        </row>
        <row r="188">
          <cell r="A188" t="str">
            <v>YMQYQXDHKF140*250CM</v>
          </cell>
          <cell r="B188" t="str">
            <v>YMQYQXDH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  <cell r="G188">
            <v>30.99</v>
          </cell>
        </row>
        <row r="189">
          <cell r="A189" t="str">
            <v>ZBCSXMXM140*200</v>
          </cell>
          <cell r="B189" t="str">
            <v>ZBCSXMXM</v>
          </cell>
          <cell r="C189">
            <v>0</v>
          </cell>
          <cell r="D189">
            <v>0</v>
          </cell>
          <cell r="E189">
            <v>1</v>
          </cell>
          <cell r="F189">
            <v>0</v>
          </cell>
          <cell r="G189">
            <v>27</v>
          </cell>
        </row>
        <row r="190">
          <cell r="A190" t="str">
            <v>SJJJZHUOBUKTWB090x90cm</v>
          </cell>
          <cell r="B190" t="str">
            <v>SJJJZHUOBUKTWB0</v>
          </cell>
          <cell r="C190">
            <v>1</v>
          </cell>
          <cell r="D190">
            <v>1</v>
          </cell>
          <cell r="E190">
            <v>5</v>
          </cell>
          <cell r="F190">
            <v>0</v>
          </cell>
          <cell r="G190">
            <v>12.4</v>
          </cell>
        </row>
        <row r="191">
          <cell r="A191" t="str">
            <v>YMQYQXDHW0140*180CM</v>
          </cell>
          <cell r="B191" t="str">
            <v>YMQYQXDH</v>
          </cell>
          <cell r="C191">
            <v>2</v>
          </cell>
          <cell r="D191">
            <v>2</v>
          </cell>
          <cell r="E191">
            <v>1</v>
          </cell>
          <cell r="F191">
            <v>0</v>
          </cell>
          <cell r="G191">
            <v>22.99</v>
          </cell>
        </row>
        <row r="192">
          <cell r="A192" t="str">
            <v>YMQYQXDHKF90*90CM</v>
          </cell>
          <cell r="B192" t="str">
            <v>YMQYQXDH</v>
          </cell>
          <cell r="C192">
            <v>1</v>
          </cell>
          <cell r="D192">
            <v>0</v>
          </cell>
          <cell r="E192">
            <v>8</v>
          </cell>
          <cell r="F192">
            <v>0</v>
          </cell>
          <cell r="G192">
            <v>6.62</v>
          </cell>
        </row>
        <row r="193">
          <cell r="A193" t="str">
            <v>YX-IUCY-819-N5-2XL</v>
          </cell>
          <cell r="B193" t="str">
            <v>YX-IUCY</v>
          </cell>
          <cell r="C193">
            <v>0</v>
          </cell>
          <cell r="D193">
            <v>0</v>
          </cell>
          <cell r="E193">
            <v>2</v>
          </cell>
          <cell r="F193">
            <v>0</v>
          </cell>
          <cell r="G193">
            <v>8</v>
          </cell>
        </row>
        <row r="194">
          <cell r="A194" t="str">
            <v>YX-IUCY-819-WO-XL</v>
          </cell>
          <cell r="B194" t="str">
            <v>YX-IUCY</v>
          </cell>
          <cell r="C194">
            <v>1</v>
          </cell>
          <cell r="D194">
            <v>0</v>
          </cell>
          <cell r="E194">
            <v>1</v>
          </cell>
          <cell r="F194">
            <v>0</v>
          </cell>
          <cell r="G194">
            <v>8.5</v>
          </cell>
        </row>
        <row r="195">
          <cell r="A195" t="str">
            <v>YMQYQXDHPO140*220CM</v>
          </cell>
          <cell r="B195" t="str">
            <v>YMQYQXDH</v>
          </cell>
          <cell r="C195">
            <v>0</v>
          </cell>
          <cell r="D195">
            <v>0</v>
          </cell>
          <cell r="E195">
            <v>1</v>
          </cell>
          <cell r="F195">
            <v>0</v>
          </cell>
          <cell r="G195">
            <v>22.39</v>
          </cell>
        </row>
        <row r="196">
          <cell r="A196" t="str">
            <v>YX-IUCY-819-WO-2XL</v>
          </cell>
          <cell r="B196" t="str">
            <v>YX-IUCY</v>
          </cell>
          <cell r="C196">
            <v>1</v>
          </cell>
          <cell r="D196">
            <v>6</v>
          </cell>
          <cell r="E196">
            <v>1</v>
          </cell>
          <cell r="F196">
            <v>0</v>
          </cell>
          <cell r="G196">
            <v>8.125</v>
          </cell>
        </row>
        <row r="197">
          <cell r="A197" t="str">
            <v>ETYIMC-M-2</v>
          </cell>
          <cell r="B197" t="str">
            <v>ETYIMC</v>
          </cell>
          <cell r="C197">
            <v>1</v>
          </cell>
          <cell r="D197">
            <v>9</v>
          </cell>
          <cell r="E197">
            <v>3</v>
          </cell>
          <cell r="F197">
            <v>0</v>
          </cell>
          <cell r="G197">
            <v>15.99</v>
          </cell>
        </row>
        <row r="198">
          <cell r="A198" t="str">
            <v>YY-IULCY-HZYD100-BIGEYED-M</v>
          </cell>
          <cell r="B198" t="str">
            <v>YY-IULCY-HZYD100</v>
          </cell>
          <cell r="C198">
            <v>0</v>
          </cell>
          <cell r="D198">
            <v>1</v>
          </cell>
          <cell r="E198">
            <v>3</v>
          </cell>
          <cell r="F198">
            <v>0</v>
          </cell>
          <cell r="G198">
            <v>12.99</v>
          </cell>
        </row>
        <row r="199">
          <cell r="A199" t="str">
            <v>YDYPFS-L</v>
          </cell>
          <cell r="B199" t="str">
            <v>YDYPFS</v>
          </cell>
          <cell r="C199">
            <v>8</v>
          </cell>
          <cell r="D199">
            <v>4</v>
          </cell>
          <cell r="E199">
            <v>2</v>
          </cell>
          <cell r="F199">
            <v>0</v>
          </cell>
          <cell r="G199">
            <v>15.99</v>
          </cell>
        </row>
        <row r="200">
          <cell r="A200" t="str">
            <v>YX-IUCY-518-BO-L</v>
          </cell>
          <cell r="B200" t="str">
            <v>YX-IUCY</v>
          </cell>
          <cell r="C200">
            <v>2</v>
          </cell>
          <cell r="D200">
            <v>0</v>
          </cell>
          <cell r="E200">
            <v>1</v>
          </cell>
          <cell r="F200">
            <v>0</v>
          </cell>
          <cell r="G200">
            <v>8.33333333333333</v>
          </cell>
        </row>
        <row r="201">
          <cell r="A201" t="str">
            <v>YY-IULCY-C9002-LG</v>
          </cell>
          <cell r="B201" t="str">
            <v>YY-IULCY-C9002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15.99</v>
          </cell>
        </row>
        <row r="202">
          <cell r="A202" t="str">
            <v>YMQYQJISZMZM90*90CM</v>
          </cell>
          <cell r="B202" t="str">
            <v>YMQYQJISZM</v>
          </cell>
          <cell r="C202">
            <v>0</v>
          </cell>
          <cell r="D202">
            <v>0</v>
          </cell>
          <cell r="E202">
            <v>4</v>
          </cell>
          <cell r="F202">
            <v>0</v>
          </cell>
          <cell r="G202">
            <v>10.9</v>
          </cell>
        </row>
        <row r="203">
          <cell r="A203" t="str">
            <v>HATQHMZ</v>
          </cell>
          <cell r="B203" t="str">
            <v>HATQHMZ</v>
          </cell>
          <cell r="C203">
            <v>1</v>
          </cell>
          <cell r="D203">
            <v>0</v>
          </cell>
          <cell r="E203">
            <v>1</v>
          </cell>
          <cell r="F203">
            <v>0</v>
          </cell>
          <cell r="G203">
            <v>9.99</v>
          </cell>
        </row>
        <row r="204">
          <cell r="A204" t="str">
            <v>ETYIM-S-2</v>
          </cell>
          <cell r="B204" t="str">
            <v>ETYIM</v>
          </cell>
          <cell r="C204">
            <v>1</v>
          </cell>
          <cell r="D204">
            <v>1</v>
          </cell>
          <cell r="E204">
            <v>2</v>
          </cell>
          <cell r="F204">
            <v>0</v>
          </cell>
          <cell r="G204">
            <v>15.99</v>
          </cell>
        </row>
        <row r="205">
          <cell r="A205" t="str">
            <v>YDYPFS-S</v>
          </cell>
          <cell r="B205" t="str">
            <v>YDYPFS</v>
          </cell>
          <cell r="C205">
            <v>3</v>
          </cell>
          <cell r="D205">
            <v>3</v>
          </cell>
          <cell r="E205">
            <v>3</v>
          </cell>
          <cell r="F205">
            <v>0</v>
          </cell>
          <cell r="G205">
            <v>17.7666666666667</v>
          </cell>
        </row>
        <row r="206">
          <cell r="A206" t="str">
            <v>SNTG-CLBOS-M</v>
          </cell>
          <cell r="B206" t="str">
            <v>SNTG-CL</v>
          </cell>
          <cell r="C206">
            <v>0</v>
          </cell>
          <cell r="D206">
            <v>0</v>
          </cell>
          <cell r="E206">
            <v>1</v>
          </cell>
          <cell r="F206">
            <v>0</v>
          </cell>
          <cell r="G206">
            <v>11.99</v>
          </cell>
        </row>
        <row r="207">
          <cell r="A207" t="str">
            <v>SJJJZHUOBUKTWB0140x140cm</v>
          </cell>
          <cell r="B207" t="str">
            <v>SJJJZHUOBUKTWB0</v>
          </cell>
          <cell r="C207">
            <v>0</v>
          </cell>
          <cell r="D207">
            <v>0</v>
          </cell>
          <cell r="E207">
            <v>1</v>
          </cell>
          <cell r="F207">
            <v>0</v>
          </cell>
          <cell r="G207">
            <v>20.7</v>
          </cell>
        </row>
        <row r="208">
          <cell r="A208" t="str">
            <v>ZHUAPPPJS-XL</v>
          </cell>
          <cell r="B208" t="str">
            <v>ZHUAPPP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  <cell r="G208">
            <v>17.99</v>
          </cell>
        </row>
        <row r="209">
          <cell r="A209" t="str">
            <v>SXHLYITAO1-LH-001BO40x60CM</v>
          </cell>
          <cell r="B209" t="str">
            <v>SXHLYITAO1-LH-001</v>
          </cell>
          <cell r="C209">
            <v>2</v>
          </cell>
          <cell r="D209">
            <v>1</v>
          </cell>
          <cell r="E209">
            <v>2</v>
          </cell>
          <cell r="F209">
            <v>0</v>
          </cell>
          <cell r="G209">
            <v>13.99</v>
          </cell>
        </row>
        <row r="210">
          <cell r="A210" t="str">
            <v>MZYSTYMM100*140CM</v>
          </cell>
          <cell r="B210" t="str">
            <v>MZYSTYMM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20</v>
          </cell>
        </row>
        <row r="211">
          <cell r="A211" t="str">
            <v>9CUE9N-01SLXXXL</v>
          </cell>
          <cell r="B211" t="str">
            <v>9CUE9N</v>
          </cell>
          <cell r="C211">
            <v>2</v>
          </cell>
          <cell r="D211">
            <v>1</v>
          </cell>
          <cell r="E211">
            <v>6</v>
          </cell>
          <cell r="F211">
            <v>0</v>
          </cell>
          <cell r="G211">
            <v>14.1011111111111</v>
          </cell>
        </row>
        <row r="212">
          <cell r="A212" t="str">
            <v>TZ-IUYL240-STRAWBERRY-S</v>
          </cell>
          <cell r="B212" t="str">
            <v>TZ-IUYL240</v>
          </cell>
          <cell r="C212">
            <v>0</v>
          </cell>
          <cell r="D212">
            <v>0</v>
          </cell>
          <cell r="E212">
            <v>1</v>
          </cell>
          <cell r="F212">
            <v>0</v>
          </cell>
          <cell r="G212">
            <v>13.99</v>
          </cell>
        </row>
        <row r="213">
          <cell r="A213" t="str">
            <v>LQXFLS85*85CM</v>
          </cell>
          <cell r="B213" t="str">
            <v>LQXFLS</v>
          </cell>
          <cell r="C213">
            <v>6</v>
          </cell>
          <cell r="D213">
            <v>2</v>
          </cell>
          <cell r="E213">
            <v>1</v>
          </cell>
          <cell r="F213">
            <v>0</v>
          </cell>
          <cell r="G213">
            <v>9.9</v>
          </cell>
        </row>
        <row r="214">
          <cell r="A214" t="str">
            <v>ZAKKA0589R035*50CM</v>
          </cell>
          <cell r="B214" t="str">
            <v>ZAKKA0589</v>
          </cell>
          <cell r="C214">
            <v>0</v>
          </cell>
          <cell r="D214">
            <v>0</v>
          </cell>
          <cell r="E214">
            <v>2</v>
          </cell>
          <cell r="F214">
            <v>0</v>
          </cell>
          <cell r="G214">
            <v>9.9</v>
          </cell>
        </row>
        <row r="215">
          <cell r="A215" t="str">
            <v>YMQYZBCSMS140*200CM</v>
          </cell>
          <cell r="B215" t="str">
            <v>YMQYZBCSM</v>
          </cell>
          <cell r="C215">
            <v>1</v>
          </cell>
          <cell r="D215">
            <v>1</v>
          </cell>
          <cell r="E215">
            <v>1</v>
          </cell>
          <cell r="F215">
            <v>0</v>
          </cell>
          <cell r="G215">
            <v>25.7</v>
          </cell>
        </row>
        <row r="216">
          <cell r="A216" t="str">
            <v>ZPSD-LAHM-800-BK-L</v>
          </cell>
          <cell r="B216" t="str">
            <v>ZPSD-LAHM-800</v>
          </cell>
          <cell r="C216">
            <v>1</v>
          </cell>
          <cell r="D216">
            <v>2</v>
          </cell>
          <cell r="E216">
            <v>3</v>
          </cell>
          <cell r="F216">
            <v>0</v>
          </cell>
          <cell r="G216">
            <v>22.99</v>
          </cell>
        </row>
        <row r="217">
          <cell r="A217" t="str">
            <v>DJSCZHUOBUCSAQHS140*140CM</v>
          </cell>
          <cell r="B217" t="str">
            <v>DJSCZHUOBUCSAQHS</v>
          </cell>
          <cell r="C217">
            <v>0</v>
          </cell>
          <cell r="D217">
            <v>6</v>
          </cell>
          <cell r="E217">
            <v>1</v>
          </cell>
          <cell r="F217">
            <v>0</v>
          </cell>
          <cell r="G217">
            <v>22.99</v>
          </cell>
        </row>
        <row r="218">
          <cell r="A218" t="str">
            <v>YDYPFS-M-2</v>
          </cell>
          <cell r="B218" t="str">
            <v>YDYPFS</v>
          </cell>
          <cell r="C218">
            <v>1</v>
          </cell>
          <cell r="D218">
            <v>14</v>
          </cell>
          <cell r="E218">
            <v>4</v>
          </cell>
          <cell r="F218">
            <v>0</v>
          </cell>
          <cell r="G218">
            <v>15.99</v>
          </cell>
        </row>
        <row r="219">
          <cell r="A219" t="str">
            <v>YMQYQJISZMSS140*250CM</v>
          </cell>
          <cell r="B219" t="str">
            <v>YMQYQJISZM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  <cell r="G219">
            <v>34.9</v>
          </cell>
        </row>
        <row r="220">
          <cell r="A220" t="str">
            <v>YY-IULCY-HZYD100-BIGEYED-XL</v>
          </cell>
          <cell r="B220" t="str">
            <v>YY-IULCY-HZYD100</v>
          </cell>
          <cell r="C220">
            <v>3</v>
          </cell>
          <cell r="D220">
            <v>2</v>
          </cell>
          <cell r="E220">
            <v>2</v>
          </cell>
          <cell r="F220">
            <v>0</v>
          </cell>
          <cell r="G220">
            <v>12.99</v>
          </cell>
        </row>
        <row r="221">
          <cell r="A221" t="str">
            <v>ZB-IULCY-YMQY100-GR140*180</v>
          </cell>
          <cell r="B221" t="str">
            <v>ZB-IULCY</v>
          </cell>
          <cell r="C221">
            <v>0</v>
          </cell>
          <cell r="D221">
            <v>2</v>
          </cell>
          <cell r="E221">
            <v>2</v>
          </cell>
          <cell r="F221">
            <v>0</v>
          </cell>
          <cell r="G221">
            <v>25.99</v>
          </cell>
        </row>
        <row r="222">
          <cell r="A222" t="str">
            <v>FMHSGJH67*20CM</v>
          </cell>
          <cell r="B222" t="str">
            <v>FMHSGJH</v>
          </cell>
          <cell r="C222">
            <v>1</v>
          </cell>
          <cell r="D222">
            <v>2</v>
          </cell>
          <cell r="E222">
            <v>3</v>
          </cell>
          <cell r="F222">
            <v>0</v>
          </cell>
          <cell r="G222">
            <v>8.99</v>
          </cell>
        </row>
        <row r="223">
          <cell r="A223" t="str">
            <v>FSFZB001JHRO180CM</v>
          </cell>
          <cell r="B223" t="str">
            <v>FSFZB001</v>
          </cell>
          <cell r="C223">
            <v>0</v>
          </cell>
          <cell r="D223">
            <v>0</v>
          </cell>
          <cell r="E223">
            <v>1</v>
          </cell>
          <cell r="F223">
            <v>0</v>
          </cell>
          <cell r="G223">
            <v>21.9</v>
          </cell>
        </row>
        <row r="224">
          <cell r="A224" t="str">
            <v>SWEATPETRO28</v>
          </cell>
          <cell r="B224" t="str">
            <v>SWEATPET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 t="e">
            <v>#DIV/0!</v>
          </cell>
        </row>
        <row r="225">
          <cell r="A225" t="str">
            <v>9CUE9N-04Y0XXXL</v>
          </cell>
          <cell r="B225" t="str">
            <v>9CUE9N</v>
          </cell>
          <cell r="C225">
            <v>1</v>
          </cell>
          <cell r="D225">
            <v>6</v>
          </cell>
          <cell r="E225">
            <v>3</v>
          </cell>
          <cell r="F225">
            <v>0</v>
          </cell>
          <cell r="G225">
            <v>13.99</v>
          </cell>
        </row>
        <row r="226">
          <cell r="A226" t="str">
            <v>YDWJQWHQWH150*200CM</v>
          </cell>
          <cell r="B226" t="str">
            <v>YDWJQWHQWH</v>
          </cell>
          <cell r="C226">
            <v>0</v>
          </cell>
          <cell r="D226">
            <v>1</v>
          </cell>
          <cell r="E226">
            <v>1</v>
          </cell>
          <cell r="F226">
            <v>0</v>
          </cell>
          <cell r="G226">
            <v>15.99</v>
          </cell>
        </row>
        <row r="227">
          <cell r="A227" t="str">
            <v>YY-IULCY-HZYD200-LGSTAR-XL</v>
          </cell>
          <cell r="B227" t="str">
            <v>YY-IULCY-HZYD200</v>
          </cell>
          <cell r="C227">
            <v>0</v>
          </cell>
          <cell r="D227">
            <v>0</v>
          </cell>
          <cell r="E227">
            <v>4</v>
          </cell>
          <cell r="F227">
            <v>0</v>
          </cell>
          <cell r="G227">
            <v>15.99</v>
          </cell>
        </row>
        <row r="228">
          <cell r="A228" t="str">
            <v>YMQYQDZMZM140*200CM</v>
          </cell>
          <cell r="B228" t="str">
            <v>YMQYQDZMZM</v>
          </cell>
          <cell r="C228">
            <v>2</v>
          </cell>
          <cell r="D228">
            <v>0</v>
          </cell>
          <cell r="E228">
            <v>1</v>
          </cell>
          <cell r="F228">
            <v>0</v>
          </cell>
          <cell r="G228">
            <v>25.54</v>
          </cell>
        </row>
        <row r="229">
          <cell r="A229" t="str">
            <v>BYZBLANS140*180CM</v>
          </cell>
          <cell r="B229" t="str">
            <v>BYZBLANS</v>
          </cell>
          <cell r="C229">
            <v>0</v>
          </cell>
          <cell r="D229">
            <v>0</v>
          </cell>
          <cell r="E229">
            <v>1</v>
          </cell>
          <cell r="F229">
            <v>0</v>
          </cell>
          <cell r="G229">
            <v>23.99</v>
          </cell>
        </row>
        <row r="230">
          <cell r="A230" t="str">
            <v>SXHLYITAO5-LH-001QKS40x60CM</v>
          </cell>
          <cell r="B230" t="str">
            <v>SXHLYITAO1-LH-001</v>
          </cell>
          <cell r="C230">
            <v>0</v>
          </cell>
          <cell r="D230">
            <v>0</v>
          </cell>
          <cell r="E230">
            <v>2</v>
          </cell>
          <cell r="F230">
            <v>0</v>
          </cell>
          <cell r="G230">
            <v>13.99</v>
          </cell>
        </row>
        <row r="231">
          <cell r="A231" t="str">
            <v>YY-IULCY-KS369-ANCHOR-M</v>
          </cell>
          <cell r="B231" t="str">
            <v>YY-IULCY-KS369</v>
          </cell>
          <cell r="C231">
            <v>0</v>
          </cell>
          <cell r="D231">
            <v>0</v>
          </cell>
          <cell r="E231">
            <v>1</v>
          </cell>
          <cell r="F231">
            <v>0</v>
          </cell>
          <cell r="G231">
            <v>10</v>
          </cell>
        </row>
        <row r="232">
          <cell r="A232" t="str">
            <v>YMQYQXDHPO140*180CM</v>
          </cell>
          <cell r="B232" t="str">
            <v>YMQYQXDH</v>
          </cell>
          <cell r="C232">
            <v>0</v>
          </cell>
          <cell r="D232">
            <v>0</v>
          </cell>
          <cell r="E232">
            <v>1</v>
          </cell>
          <cell r="F232">
            <v>0</v>
          </cell>
          <cell r="G232">
            <v>23.99</v>
          </cell>
        </row>
        <row r="233">
          <cell r="A233" t="str">
            <v>YMQYQXDHY060*60CM</v>
          </cell>
          <cell r="B233" t="str">
            <v>YMQYQXDH</v>
          </cell>
          <cell r="C233">
            <v>1</v>
          </cell>
          <cell r="D233">
            <v>0</v>
          </cell>
          <cell r="E233">
            <v>1</v>
          </cell>
          <cell r="F233">
            <v>0</v>
          </cell>
          <cell r="G233">
            <v>7.99</v>
          </cell>
        </row>
        <row r="234">
          <cell r="A234" t="str">
            <v>YMQYQXDHKF100*140CM</v>
          </cell>
          <cell r="B234" t="str">
            <v>YMQYQXDH</v>
          </cell>
          <cell r="C234">
            <v>1</v>
          </cell>
          <cell r="D234">
            <v>0</v>
          </cell>
          <cell r="E234">
            <v>1</v>
          </cell>
          <cell r="F234">
            <v>0</v>
          </cell>
          <cell r="G234">
            <v>17.99</v>
          </cell>
        </row>
        <row r="235">
          <cell r="A235" t="str">
            <v>YMQYZB4DHD100*140CM</v>
          </cell>
          <cell r="B235" t="str">
            <v>YMQYZB4DHD</v>
          </cell>
          <cell r="C235">
            <v>0</v>
          </cell>
          <cell r="D235">
            <v>0</v>
          </cell>
          <cell r="E235">
            <v>1</v>
          </cell>
          <cell r="F235">
            <v>0</v>
          </cell>
          <cell r="G235">
            <v>9</v>
          </cell>
        </row>
        <row r="236">
          <cell r="A236" t="str">
            <v>SXHLYITAO2-LH-001SKFS40x60CM</v>
          </cell>
          <cell r="B236" t="str">
            <v>SXHLYITAO1-LH-001</v>
          </cell>
          <cell r="C236">
            <v>0</v>
          </cell>
          <cell r="D236">
            <v>6</v>
          </cell>
          <cell r="E236">
            <v>1</v>
          </cell>
          <cell r="F236">
            <v>0</v>
          </cell>
          <cell r="G236">
            <v>13.99</v>
          </cell>
        </row>
        <row r="237">
          <cell r="A237" t="str">
            <v>ZAKKA0633R035*50CM</v>
          </cell>
          <cell r="B237" t="str">
            <v>ZAKKA0633</v>
          </cell>
          <cell r="C237">
            <v>1</v>
          </cell>
          <cell r="D237">
            <v>0</v>
          </cell>
          <cell r="E237">
            <v>1</v>
          </cell>
          <cell r="F237">
            <v>0</v>
          </cell>
          <cell r="G237">
            <v>12.9</v>
          </cell>
        </row>
        <row r="238">
          <cell r="A238" t="str">
            <v>YY-IULCY-KS372-BL-M</v>
          </cell>
          <cell r="B238" t="str">
            <v>YY-IULCY-KS372</v>
          </cell>
          <cell r="C238">
            <v>1</v>
          </cell>
          <cell r="D238">
            <v>1</v>
          </cell>
          <cell r="E238">
            <v>1</v>
          </cell>
          <cell r="F238">
            <v>0</v>
          </cell>
          <cell r="G238">
            <v>13.99</v>
          </cell>
        </row>
        <row r="239">
          <cell r="A239" t="str">
            <v>ZPSD-LAHM-800-BK-S</v>
          </cell>
          <cell r="B239" t="str">
            <v>ZPSD-LAHM-800</v>
          </cell>
          <cell r="C239">
            <v>3</v>
          </cell>
          <cell r="D239">
            <v>0</v>
          </cell>
          <cell r="E239">
            <v>1</v>
          </cell>
          <cell r="F239">
            <v>0</v>
          </cell>
          <cell r="G239">
            <v>17.99</v>
          </cell>
        </row>
        <row r="240">
          <cell r="A240" t="str">
            <v>ETYIBLUE-S-2</v>
          </cell>
          <cell r="B240" t="str">
            <v>ETYIBLUE</v>
          </cell>
          <cell r="C240">
            <v>5</v>
          </cell>
          <cell r="D240">
            <v>3</v>
          </cell>
          <cell r="E240">
            <v>2</v>
          </cell>
          <cell r="F240">
            <v>0</v>
          </cell>
          <cell r="G240">
            <v>15.99</v>
          </cell>
        </row>
        <row r="241">
          <cell r="A241" t="str">
            <v>MIDUYD036G0SX</v>
          </cell>
          <cell r="B241" t="str">
            <v>MIDUYD036</v>
          </cell>
          <cell r="C241">
            <v>0</v>
          </cell>
          <cell r="D241">
            <v>0</v>
          </cell>
          <cell r="E241">
            <v>1</v>
          </cell>
          <cell r="F241">
            <v>0</v>
          </cell>
          <cell r="G241">
            <v>10.99</v>
          </cell>
        </row>
        <row r="242">
          <cell r="A242" t="str">
            <v>YMQYQXDHKF140*180CM</v>
          </cell>
          <cell r="B242" t="str">
            <v>YMQYQXDH</v>
          </cell>
          <cell r="C242">
            <v>0</v>
          </cell>
          <cell r="D242">
            <v>1</v>
          </cell>
          <cell r="E242">
            <v>1</v>
          </cell>
          <cell r="F242">
            <v>0</v>
          </cell>
          <cell r="G242">
            <v>23.99</v>
          </cell>
        </row>
        <row r="243">
          <cell r="A243" t="str">
            <v>GMZYL-FLQ06-BF-40</v>
          </cell>
          <cell r="B243" t="str">
            <v>GMZYL-FLQ06</v>
          </cell>
          <cell r="C243">
            <v>27</v>
          </cell>
          <cell r="D243">
            <v>7</v>
          </cell>
          <cell r="E243">
            <v>3</v>
          </cell>
          <cell r="F243">
            <v>0</v>
          </cell>
          <cell r="G243">
            <v>15.99</v>
          </cell>
        </row>
        <row r="244">
          <cell r="A244" t="str">
            <v>YX-IUCY-518-WO-XL</v>
          </cell>
          <cell r="B244" t="str">
            <v>YX-IUCY</v>
          </cell>
          <cell r="C244">
            <v>0</v>
          </cell>
          <cell r="D244">
            <v>1</v>
          </cell>
          <cell r="E244">
            <v>1</v>
          </cell>
          <cell r="F244">
            <v>0</v>
          </cell>
          <cell r="G244">
            <v>8</v>
          </cell>
        </row>
        <row r="245">
          <cell r="A245" t="str">
            <v>YX-IUCY-819-N5-XL</v>
          </cell>
          <cell r="B245" t="str">
            <v>YX-IUCY</v>
          </cell>
          <cell r="C245">
            <v>1</v>
          </cell>
          <cell r="D245">
            <v>1</v>
          </cell>
          <cell r="E245">
            <v>1</v>
          </cell>
          <cell r="F245">
            <v>0</v>
          </cell>
          <cell r="G245">
            <v>8.33333333333333</v>
          </cell>
        </row>
        <row r="246">
          <cell r="A246" t="str">
            <v>YMQYQJISZMSS140*200CM</v>
          </cell>
          <cell r="B246" t="str">
            <v>YMQYQJISZM</v>
          </cell>
          <cell r="C246">
            <v>1</v>
          </cell>
          <cell r="D246">
            <v>0</v>
          </cell>
          <cell r="E246">
            <v>1</v>
          </cell>
          <cell r="F246">
            <v>0</v>
          </cell>
          <cell r="G246">
            <v>23.9</v>
          </cell>
        </row>
        <row r="247">
          <cell r="A247" t="str">
            <v>YMQYQJISZMZM140*200CM</v>
          </cell>
          <cell r="B247" t="str">
            <v>YMQYQJISZM</v>
          </cell>
          <cell r="C247">
            <v>1</v>
          </cell>
          <cell r="D247">
            <v>0</v>
          </cell>
          <cell r="E247">
            <v>1</v>
          </cell>
          <cell r="F247">
            <v>0</v>
          </cell>
          <cell r="G247">
            <v>23.9</v>
          </cell>
        </row>
        <row r="248">
          <cell r="A248" t="str">
            <v>YY-IULCY-KS377-HEAD-L</v>
          </cell>
          <cell r="B248" t="str">
            <v>YY-IULCY-KS377</v>
          </cell>
          <cell r="C248">
            <v>1</v>
          </cell>
          <cell r="D248">
            <v>1</v>
          </cell>
          <cell r="E248">
            <v>1</v>
          </cell>
          <cell r="F248">
            <v>0</v>
          </cell>
          <cell r="G248">
            <v>10.99</v>
          </cell>
        </row>
        <row r="249">
          <cell r="A249" t="str">
            <v>SXHLYITAO5-LH-001YHS40x60CM</v>
          </cell>
          <cell r="B249" t="str">
            <v>SXHLYITAO1-LH-001</v>
          </cell>
          <cell r="C249">
            <v>0</v>
          </cell>
          <cell r="D249">
            <v>3</v>
          </cell>
          <cell r="E249">
            <v>3</v>
          </cell>
          <cell r="F249">
            <v>0</v>
          </cell>
          <cell r="G249">
            <v>13.99</v>
          </cell>
        </row>
        <row r="250">
          <cell r="A250" t="str">
            <v>YDY-YUNDONGK-8756K0-XL</v>
          </cell>
          <cell r="B250" t="str">
            <v>YDY-YUNDONGK-8756</v>
          </cell>
          <cell r="C250">
            <v>0</v>
          </cell>
          <cell r="D250">
            <v>0</v>
          </cell>
          <cell r="E250">
            <v>1</v>
          </cell>
          <cell r="F250">
            <v>0</v>
          </cell>
          <cell r="G250">
            <v>10</v>
          </cell>
        </row>
        <row r="251">
          <cell r="A251" t="str">
            <v>ZAKKA0040R035*50CM</v>
          </cell>
          <cell r="B251" t="str">
            <v>ZAKKA0040</v>
          </cell>
          <cell r="C251">
            <v>0</v>
          </cell>
          <cell r="D251">
            <v>2</v>
          </cell>
          <cell r="E251">
            <v>0</v>
          </cell>
          <cell r="F251">
            <v>0</v>
          </cell>
          <cell r="G251">
            <v>9.9</v>
          </cell>
        </row>
        <row r="252">
          <cell r="A252" t="str">
            <v>YMQYQXDHG0100*140CM</v>
          </cell>
          <cell r="B252" t="str">
            <v>YMQYQXDH</v>
          </cell>
          <cell r="C252">
            <v>0</v>
          </cell>
          <cell r="D252">
            <v>2</v>
          </cell>
          <cell r="E252">
            <v>0</v>
          </cell>
          <cell r="F252">
            <v>0</v>
          </cell>
          <cell r="G252">
            <v>16.99</v>
          </cell>
        </row>
        <row r="253">
          <cell r="A253" t="str">
            <v>YY-IULCY-KS377-PLANT-L</v>
          </cell>
          <cell r="B253" t="str">
            <v>YY-IULCY-KS377</v>
          </cell>
          <cell r="C253">
            <v>0</v>
          </cell>
          <cell r="D253">
            <v>1</v>
          </cell>
          <cell r="E253">
            <v>0</v>
          </cell>
          <cell r="F253">
            <v>0</v>
          </cell>
          <cell r="G253">
            <v>10.99</v>
          </cell>
        </row>
        <row r="254">
          <cell r="A254" t="str">
            <v>DZ-IUYL210-BK</v>
          </cell>
          <cell r="B254" t="str">
            <v>DZ-IUYL210</v>
          </cell>
          <cell r="C254">
            <v>0</v>
          </cell>
          <cell r="D254">
            <v>1</v>
          </cell>
          <cell r="E254">
            <v>0</v>
          </cell>
          <cell r="F254">
            <v>0</v>
          </cell>
          <cell r="G254">
            <v>37.99</v>
          </cell>
        </row>
        <row r="255">
          <cell r="A255" t="str">
            <v>ETYIYELLOW-S-2</v>
          </cell>
          <cell r="B255" t="str">
            <v>ETYIYELLOW</v>
          </cell>
          <cell r="C255">
            <v>2</v>
          </cell>
          <cell r="D255">
            <v>2</v>
          </cell>
          <cell r="E255">
            <v>0</v>
          </cell>
          <cell r="F255">
            <v>0</v>
          </cell>
          <cell r="G255">
            <v>15.99</v>
          </cell>
        </row>
        <row r="256">
          <cell r="A256" t="str">
            <v>YY-IULCY-C9002-DB</v>
          </cell>
          <cell r="B256" t="str">
            <v>YY-IULCY-C9002</v>
          </cell>
          <cell r="C256">
            <v>0</v>
          </cell>
          <cell r="D256">
            <v>1</v>
          </cell>
          <cell r="E256">
            <v>0</v>
          </cell>
          <cell r="F256">
            <v>0</v>
          </cell>
          <cell r="G256">
            <v>15.19</v>
          </cell>
        </row>
        <row r="257">
          <cell r="A257" t="str">
            <v>YY-IULCY-KS372-WT-XL</v>
          </cell>
          <cell r="B257" t="str">
            <v>YY-IULCY-KS372</v>
          </cell>
          <cell r="C257">
            <v>0</v>
          </cell>
          <cell r="D257">
            <v>1</v>
          </cell>
          <cell r="E257">
            <v>0</v>
          </cell>
          <cell r="F257">
            <v>0</v>
          </cell>
          <cell r="G257">
            <v>13.99</v>
          </cell>
        </row>
        <row r="258">
          <cell r="A258" t="str">
            <v>YMQYZBCSMS140*220CM</v>
          </cell>
          <cell r="B258" t="str">
            <v>YMQYZBCSM</v>
          </cell>
          <cell r="C258">
            <v>0</v>
          </cell>
          <cell r="D258">
            <v>1</v>
          </cell>
          <cell r="E258">
            <v>0</v>
          </cell>
          <cell r="F258">
            <v>0</v>
          </cell>
          <cell r="G258">
            <v>32.99</v>
          </cell>
        </row>
        <row r="259">
          <cell r="A259" t="str">
            <v>YMQYZBCSMS140*250CM</v>
          </cell>
          <cell r="B259" t="str">
            <v>YMQYZBCSM</v>
          </cell>
          <cell r="C259">
            <v>1</v>
          </cell>
          <cell r="D259">
            <v>4</v>
          </cell>
          <cell r="E259">
            <v>0</v>
          </cell>
          <cell r="F259">
            <v>0</v>
          </cell>
          <cell r="G259">
            <v>39.99</v>
          </cell>
        </row>
        <row r="260">
          <cell r="A260" t="str">
            <v>YY5100B0L</v>
          </cell>
          <cell r="B260" t="str">
            <v>YY5100</v>
          </cell>
          <cell r="C260">
            <v>2</v>
          </cell>
          <cell r="D260">
            <v>1</v>
          </cell>
          <cell r="E260">
            <v>0</v>
          </cell>
          <cell r="F260">
            <v>0</v>
          </cell>
          <cell r="G260">
            <v>13.99</v>
          </cell>
        </row>
        <row r="261">
          <cell r="A261" t="str">
            <v>DLJJZHUOBU-BGZW070x70CM</v>
          </cell>
          <cell r="B261" t="str">
            <v>DLJJZHUOBU-BGZW0</v>
          </cell>
          <cell r="C261">
            <v>0</v>
          </cell>
          <cell r="D261">
            <v>1</v>
          </cell>
          <cell r="E261">
            <v>0</v>
          </cell>
          <cell r="F261">
            <v>0</v>
          </cell>
          <cell r="G261">
            <v>10.5</v>
          </cell>
        </row>
        <row r="262">
          <cell r="A262" t="str">
            <v>YY-IULCY-KS372-PP-L</v>
          </cell>
          <cell r="B262" t="str">
            <v>YY-IULCY-KS372</v>
          </cell>
          <cell r="C262">
            <v>1</v>
          </cell>
          <cell r="D262">
            <v>2</v>
          </cell>
          <cell r="E262">
            <v>0</v>
          </cell>
          <cell r="F262">
            <v>0</v>
          </cell>
          <cell r="G262">
            <v>13.99</v>
          </cell>
        </row>
        <row r="263">
          <cell r="A263" t="str">
            <v>YY-IULCY-KS372-YL-M</v>
          </cell>
          <cell r="B263" t="str">
            <v>YY-IULCY-KS372</v>
          </cell>
          <cell r="C263">
            <v>2</v>
          </cell>
          <cell r="D263">
            <v>3</v>
          </cell>
          <cell r="E263">
            <v>0</v>
          </cell>
          <cell r="F263">
            <v>0</v>
          </cell>
          <cell r="G263">
            <v>13.99</v>
          </cell>
        </row>
        <row r="264">
          <cell r="A264" t="str">
            <v>TM-IULCY-300-LB</v>
          </cell>
          <cell r="B264" t="str">
            <v>TM-IULCY-300</v>
          </cell>
          <cell r="C264">
            <v>0</v>
          </cell>
          <cell r="D264">
            <v>1</v>
          </cell>
          <cell r="E264">
            <v>0</v>
          </cell>
          <cell r="F264">
            <v>0</v>
          </cell>
          <cell r="G264">
            <v>25</v>
          </cell>
        </row>
        <row r="265">
          <cell r="A265" t="str">
            <v>YMQYQXDHW060*60CM</v>
          </cell>
          <cell r="B265" t="str">
            <v>YMQYQXDH</v>
          </cell>
          <cell r="C265">
            <v>0</v>
          </cell>
          <cell r="D265">
            <v>1</v>
          </cell>
          <cell r="E265">
            <v>0</v>
          </cell>
          <cell r="F265">
            <v>0</v>
          </cell>
          <cell r="G265">
            <v>8.99</v>
          </cell>
        </row>
        <row r="266">
          <cell r="A266" t="str">
            <v>SWEATPETLAN12</v>
          </cell>
          <cell r="B266" t="str">
            <v>SWEATPET</v>
          </cell>
          <cell r="C266">
            <v>0</v>
          </cell>
          <cell r="D266">
            <v>1</v>
          </cell>
          <cell r="E266">
            <v>0</v>
          </cell>
          <cell r="F266">
            <v>0</v>
          </cell>
          <cell r="G266">
            <v>9.99</v>
          </cell>
        </row>
        <row r="267">
          <cell r="A267" t="str">
            <v>9CUE9N-00TLXXXL</v>
          </cell>
          <cell r="B267" t="str">
            <v>9CUE9N</v>
          </cell>
          <cell r="C267">
            <v>1</v>
          </cell>
          <cell r="D267">
            <v>3</v>
          </cell>
          <cell r="E267">
            <v>0</v>
          </cell>
          <cell r="F267">
            <v>0</v>
          </cell>
          <cell r="G267">
            <v>13.99</v>
          </cell>
        </row>
        <row r="268">
          <cell r="A268" t="str">
            <v>DLJJZHUOBU-BGZW0140x140CM</v>
          </cell>
          <cell r="B268" t="str">
            <v>DLJJZHUOBU-BGZW0</v>
          </cell>
          <cell r="C268">
            <v>0</v>
          </cell>
          <cell r="D268">
            <v>2</v>
          </cell>
          <cell r="E268">
            <v>0</v>
          </cell>
          <cell r="F268">
            <v>0</v>
          </cell>
          <cell r="G268">
            <v>16.7</v>
          </cell>
        </row>
        <row r="269">
          <cell r="A269" t="str">
            <v>YY-IULCY-KS372-PK-L</v>
          </cell>
          <cell r="B269" t="str">
            <v>YY-IULCY-KS372</v>
          </cell>
          <cell r="C269">
            <v>0</v>
          </cell>
          <cell r="D269">
            <v>1</v>
          </cell>
          <cell r="E269">
            <v>0</v>
          </cell>
          <cell r="F269">
            <v>0</v>
          </cell>
          <cell r="G269">
            <v>13.99</v>
          </cell>
        </row>
        <row r="270">
          <cell r="A270" t="str">
            <v>YMQYQXDHW0140*160CM</v>
          </cell>
          <cell r="B270" t="str">
            <v>YMQYQXDH</v>
          </cell>
          <cell r="C270">
            <v>0</v>
          </cell>
          <cell r="D270">
            <v>2</v>
          </cell>
          <cell r="E270">
            <v>0</v>
          </cell>
          <cell r="F270">
            <v>0</v>
          </cell>
          <cell r="G270">
            <v>21.99</v>
          </cell>
        </row>
        <row r="271">
          <cell r="A271" t="str">
            <v>YMQYQXDHG0140*200CM</v>
          </cell>
          <cell r="B271" t="str">
            <v>YMQYQXDH</v>
          </cell>
          <cell r="C271">
            <v>0</v>
          </cell>
          <cell r="D271">
            <v>1</v>
          </cell>
          <cell r="E271">
            <v>0</v>
          </cell>
          <cell r="F271">
            <v>0</v>
          </cell>
          <cell r="G271">
            <v>30.99</v>
          </cell>
        </row>
        <row r="272">
          <cell r="A272" t="str">
            <v>YY-IULCY-KS372-WT-M</v>
          </cell>
          <cell r="B272" t="str">
            <v>YY-IULCY-KS372</v>
          </cell>
          <cell r="C272">
            <v>0</v>
          </cell>
          <cell r="D272">
            <v>2</v>
          </cell>
          <cell r="E272">
            <v>0</v>
          </cell>
          <cell r="F272">
            <v>0</v>
          </cell>
          <cell r="G272">
            <v>13.99</v>
          </cell>
        </row>
        <row r="273">
          <cell r="A273" t="str">
            <v>H5-F378-ECJO</v>
          </cell>
          <cell r="B273" t="str">
            <v>H5-F378</v>
          </cell>
          <cell r="C273">
            <v>2</v>
          </cell>
          <cell r="D273">
            <v>3</v>
          </cell>
          <cell r="E273">
            <v>0</v>
          </cell>
          <cell r="F273">
            <v>0</v>
          </cell>
          <cell r="G273">
            <v>9.9</v>
          </cell>
        </row>
        <row r="274">
          <cell r="A274" t="str">
            <v>YMQYZBCSMS140*140CM</v>
          </cell>
          <cell r="B274" t="str">
            <v>YMQYZBCSM</v>
          </cell>
          <cell r="C274">
            <v>0</v>
          </cell>
          <cell r="D274">
            <v>1</v>
          </cell>
          <cell r="E274">
            <v>0</v>
          </cell>
          <cell r="F274">
            <v>0</v>
          </cell>
          <cell r="G274">
            <v>22.99</v>
          </cell>
        </row>
        <row r="275">
          <cell r="A275" t="str">
            <v>YY-IULCY-KS369-PLANT-M</v>
          </cell>
          <cell r="B275" t="str">
            <v>YY-IULCY-KS369</v>
          </cell>
          <cell r="C275">
            <v>0</v>
          </cell>
          <cell r="D275">
            <v>1</v>
          </cell>
          <cell r="E275">
            <v>0</v>
          </cell>
          <cell r="F275">
            <v>0</v>
          </cell>
          <cell r="G275">
            <v>10</v>
          </cell>
        </row>
        <row r="276">
          <cell r="A276" t="str">
            <v>ZB-IULCY-YMQY100-CF140*180</v>
          </cell>
          <cell r="B276" t="str">
            <v>ZB-IULCY</v>
          </cell>
          <cell r="C276">
            <v>2</v>
          </cell>
          <cell r="D276">
            <v>2</v>
          </cell>
          <cell r="E276">
            <v>0</v>
          </cell>
          <cell r="F276">
            <v>0</v>
          </cell>
          <cell r="G276">
            <v>25.99</v>
          </cell>
        </row>
        <row r="277">
          <cell r="A277" t="str">
            <v>YY-IULCY-KS370-BL-L</v>
          </cell>
          <cell r="B277" t="str">
            <v>YY-IULCY-KS370</v>
          </cell>
          <cell r="C277">
            <v>1</v>
          </cell>
          <cell r="D277">
            <v>1</v>
          </cell>
          <cell r="E277">
            <v>0</v>
          </cell>
          <cell r="F277">
            <v>0</v>
          </cell>
          <cell r="G277">
            <v>14.99</v>
          </cell>
        </row>
        <row r="278">
          <cell r="A278" t="str">
            <v>YMQYQJISZMSS60*60CM</v>
          </cell>
          <cell r="B278" t="str">
            <v>YMQYQJISZM</v>
          </cell>
          <cell r="C278">
            <v>0</v>
          </cell>
          <cell r="D278">
            <v>3</v>
          </cell>
          <cell r="E278">
            <v>0</v>
          </cell>
          <cell r="F278">
            <v>0</v>
          </cell>
          <cell r="G278">
            <v>7.9</v>
          </cell>
        </row>
        <row r="279">
          <cell r="A279" t="str">
            <v>YY-IULCY-KS371-WT-XL</v>
          </cell>
          <cell r="B279" t="str">
            <v>YY-IULCY-KS371</v>
          </cell>
          <cell r="C279">
            <v>2</v>
          </cell>
          <cell r="D279">
            <v>1</v>
          </cell>
          <cell r="E279">
            <v>0</v>
          </cell>
          <cell r="F279">
            <v>0</v>
          </cell>
          <cell r="G279">
            <v>12.99</v>
          </cell>
        </row>
        <row r="280">
          <cell r="A280" t="str">
            <v>GMSNH-LUHM001-E0</v>
          </cell>
          <cell r="B280" t="str">
            <v>GMSNH-LUHM001</v>
          </cell>
          <cell r="C280">
            <v>6</v>
          </cell>
          <cell r="D280">
            <v>2</v>
          </cell>
          <cell r="E280">
            <v>0</v>
          </cell>
          <cell r="F280">
            <v>0</v>
          </cell>
          <cell r="G280">
            <v>8.99</v>
          </cell>
        </row>
        <row r="281">
          <cell r="A281" t="str">
            <v>ZB-IULCY-YMQY100-CF100*140</v>
          </cell>
          <cell r="B281" t="str">
            <v>ZB-IULCY</v>
          </cell>
          <cell r="C281">
            <v>2</v>
          </cell>
          <cell r="D281">
            <v>1</v>
          </cell>
          <cell r="E281">
            <v>0</v>
          </cell>
          <cell r="F281">
            <v>0</v>
          </cell>
          <cell r="G281">
            <v>16.99</v>
          </cell>
        </row>
        <row r="282">
          <cell r="A282" t="str">
            <v>SWEATPETLAN14</v>
          </cell>
          <cell r="B282" t="str">
            <v>SWEATPET</v>
          </cell>
          <cell r="C282">
            <v>0</v>
          </cell>
          <cell r="D282">
            <v>1</v>
          </cell>
          <cell r="E282">
            <v>0</v>
          </cell>
          <cell r="F282">
            <v>0</v>
          </cell>
          <cell r="G282">
            <v>9.99</v>
          </cell>
        </row>
        <row r="283">
          <cell r="A283" t="str">
            <v>BYZBFS140*140CM</v>
          </cell>
          <cell r="B283" t="str">
            <v>BYZBFS</v>
          </cell>
          <cell r="C283">
            <v>0</v>
          </cell>
          <cell r="D283">
            <v>1</v>
          </cell>
          <cell r="E283">
            <v>0</v>
          </cell>
          <cell r="F283">
            <v>0</v>
          </cell>
          <cell r="G283">
            <v>16.44</v>
          </cell>
        </row>
        <row r="284">
          <cell r="A284" t="str">
            <v>BYZBLANS140*140CM</v>
          </cell>
          <cell r="B284" t="str">
            <v>BYZBLANS</v>
          </cell>
          <cell r="C284">
            <v>1</v>
          </cell>
          <cell r="D284">
            <v>1</v>
          </cell>
          <cell r="E284">
            <v>0</v>
          </cell>
          <cell r="F284">
            <v>0</v>
          </cell>
          <cell r="G284">
            <v>19.99</v>
          </cell>
        </row>
        <row r="285">
          <cell r="A285" t="str">
            <v>SB-100-G0</v>
          </cell>
          <cell r="B285" t="str">
            <v>SB-100</v>
          </cell>
          <cell r="C285">
            <v>4</v>
          </cell>
          <cell r="D285">
            <v>3</v>
          </cell>
          <cell r="E285">
            <v>0</v>
          </cell>
          <cell r="F285">
            <v>0</v>
          </cell>
          <cell r="G285">
            <v>14.2757142857143</v>
          </cell>
        </row>
        <row r="286">
          <cell r="A286" t="str">
            <v>DLJJZHUOBU-DSGZGZ140x140CM</v>
          </cell>
          <cell r="B286" t="str">
            <v>DLJJZHUOBU-DSGZGZ</v>
          </cell>
          <cell r="C286">
            <v>0</v>
          </cell>
          <cell r="D286">
            <v>1</v>
          </cell>
          <cell r="E286">
            <v>0</v>
          </cell>
          <cell r="F286">
            <v>0</v>
          </cell>
          <cell r="G286">
            <v>23.5</v>
          </cell>
        </row>
        <row r="287">
          <cell r="A287" t="str">
            <v>YY2127GRYXL</v>
          </cell>
          <cell r="B287" t="str">
            <v>YY2127</v>
          </cell>
          <cell r="C287">
            <v>0</v>
          </cell>
          <cell r="D287">
            <v>2</v>
          </cell>
          <cell r="E287">
            <v>0</v>
          </cell>
          <cell r="F287">
            <v>0</v>
          </cell>
          <cell r="G287">
            <v>19.99</v>
          </cell>
        </row>
        <row r="288">
          <cell r="A288" t="str">
            <v>SB-100-K0</v>
          </cell>
          <cell r="B288" t="str">
            <v>SB-100</v>
          </cell>
          <cell r="C288">
            <v>0</v>
          </cell>
          <cell r="D288">
            <v>2</v>
          </cell>
          <cell r="E288">
            <v>0</v>
          </cell>
          <cell r="F288">
            <v>0</v>
          </cell>
          <cell r="G288">
            <v>11.99</v>
          </cell>
        </row>
        <row r="289">
          <cell r="A289" t="str">
            <v>SB-101-B0</v>
          </cell>
          <cell r="B289" t="str">
            <v>SB-101</v>
          </cell>
          <cell r="C289">
            <v>0</v>
          </cell>
          <cell r="D289">
            <v>2</v>
          </cell>
          <cell r="E289">
            <v>0</v>
          </cell>
          <cell r="F289">
            <v>0</v>
          </cell>
          <cell r="G289">
            <v>11.99</v>
          </cell>
        </row>
        <row r="290">
          <cell r="A290" t="str">
            <v>FSFZB006J0RO180CM</v>
          </cell>
          <cell r="B290" t="str">
            <v>FSFZB006</v>
          </cell>
          <cell r="C290">
            <v>0</v>
          </cell>
          <cell r="D290">
            <v>1</v>
          </cell>
          <cell r="E290">
            <v>0</v>
          </cell>
          <cell r="F290">
            <v>0</v>
          </cell>
          <cell r="G290">
            <v>23.9</v>
          </cell>
        </row>
        <row r="291">
          <cell r="A291" t="str">
            <v>GMSNH-CY001-Y0</v>
          </cell>
          <cell r="B291" t="str">
            <v>GMSNH-CY001</v>
          </cell>
          <cell r="C291">
            <v>10</v>
          </cell>
          <cell r="D291">
            <v>0</v>
          </cell>
          <cell r="E291">
            <v>0</v>
          </cell>
          <cell r="F291">
            <v>0</v>
          </cell>
          <cell r="G291">
            <v>9.495</v>
          </cell>
        </row>
        <row r="292">
          <cell r="A292" t="str">
            <v>YX-IUCY-518-N5-2XL</v>
          </cell>
          <cell r="B292" t="str">
            <v>YX-IUCY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8</v>
          </cell>
        </row>
        <row r="293">
          <cell r="A293" t="str">
            <v>BBSA140*180CM</v>
          </cell>
          <cell r="B293" t="str">
            <v>BBSA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18.99</v>
          </cell>
        </row>
        <row r="294">
          <cell r="A294" t="str">
            <v>YY-IULCY-KS372-PK-XL</v>
          </cell>
          <cell r="B294" t="str">
            <v>YY-IULCY-KS372</v>
          </cell>
          <cell r="C294">
            <v>2</v>
          </cell>
          <cell r="D294">
            <v>0</v>
          </cell>
          <cell r="E294">
            <v>0</v>
          </cell>
          <cell r="F294">
            <v>0</v>
          </cell>
          <cell r="G294">
            <v>13.99</v>
          </cell>
        </row>
        <row r="295">
          <cell r="A295" t="str">
            <v>SWEATPETJS12</v>
          </cell>
          <cell r="B295" t="str">
            <v>SWEATPET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9.99</v>
          </cell>
        </row>
        <row r="296">
          <cell r="A296" t="str">
            <v>YY-IULCY-KS370-RD-M</v>
          </cell>
          <cell r="B296" t="str">
            <v>YY-IULCY-KS370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14.99</v>
          </cell>
        </row>
        <row r="297">
          <cell r="A297" t="str">
            <v>YMQYQJISZMZM60*60CM</v>
          </cell>
          <cell r="B297" t="str">
            <v>YMQYQJISZM</v>
          </cell>
          <cell r="C297">
            <v>3</v>
          </cell>
          <cell r="D297">
            <v>0</v>
          </cell>
          <cell r="E297">
            <v>0</v>
          </cell>
          <cell r="F297">
            <v>0</v>
          </cell>
          <cell r="G297">
            <v>7.9</v>
          </cell>
        </row>
        <row r="298">
          <cell r="A298" t="str">
            <v>MTX-IULHY-M1759-DB-29</v>
          </cell>
          <cell r="B298" t="str">
            <v>MTX-IULHY-M1759</v>
          </cell>
          <cell r="C298">
            <v>5</v>
          </cell>
          <cell r="D298">
            <v>0</v>
          </cell>
          <cell r="E298">
            <v>0</v>
          </cell>
          <cell r="F298">
            <v>0</v>
          </cell>
          <cell r="G298">
            <v>15.99</v>
          </cell>
        </row>
        <row r="299">
          <cell r="A299" t="str">
            <v>SWEATPETLAN28</v>
          </cell>
          <cell r="B299" t="str">
            <v>SWEATPET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14.99</v>
          </cell>
        </row>
        <row r="300">
          <cell r="A300" t="str">
            <v>SWEATPETRO24</v>
          </cell>
          <cell r="B300" t="str">
            <v>SWEATPET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  <cell r="G300">
            <v>12.99</v>
          </cell>
        </row>
        <row r="301">
          <cell r="A301" t="str">
            <v>GMSNT-CY001-DX</v>
          </cell>
          <cell r="B301" t="str">
            <v>GMSNT-CY001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  <cell r="G301">
            <v>14.99</v>
          </cell>
        </row>
        <row r="302">
          <cell r="A302" t="str">
            <v>YX-IUCY-518-BO-XL</v>
          </cell>
          <cell r="B302" t="str">
            <v>YX-IUCY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 t="e">
            <v>#DIV/0!</v>
          </cell>
        </row>
        <row r="303">
          <cell r="A303" t="str">
            <v>YMQYQDZMZM100*140CM</v>
          </cell>
          <cell r="B303" t="str">
            <v>YMQYQDZMZM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14.58</v>
          </cell>
        </row>
        <row r="304">
          <cell r="A304" t="str">
            <v>MID46-069-2XL</v>
          </cell>
          <cell r="B304" t="str">
            <v>MID46-069</v>
          </cell>
          <cell r="C304">
            <v>1</v>
          </cell>
          <cell r="D304">
            <v>0</v>
          </cell>
          <cell r="E304">
            <v>0</v>
          </cell>
          <cell r="F304">
            <v>0</v>
          </cell>
          <cell r="G304">
            <v>22.7</v>
          </cell>
        </row>
        <row r="305">
          <cell r="A305" t="str">
            <v>ZB-IULCY-YMQY100-GR140*140</v>
          </cell>
          <cell r="B305" t="str">
            <v>ZB-IULCY</v>
          </cell>
          <cell r="C305">
            <v>2</v>
          </cell>
          <cell r="D305">
            <v>0</v>
          </cell>
          <cell r="E305">
            <v>0</v>
          </cell>
          <cell r="F305">
            <v>0</v>
          </cell>
          <cell r="G305">
            <v>21.99</v>
          </cell>
        </row>
        <row r="306">
          <cell r="A306" t="str">
            <v>MTX-IULHY-M1759-DB-27</v>
          </cell>
          <cell r="B306" t="str">
            <v>MTX-IULHY-M1759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 t="e">
            <v>#DIV/0!</v>
          </cell>
        </row>
        <row r="307">
          <cell r="A307" t="str">
            <v>SND-IUYL00B-W0</v>
          </cell>
          <cell r="B307" t="str">
            <v>SND-IUYL</v>
          </cell>
          <cell r="C307">
            <v>1</v>
          </cell>
          <cell r="D307">
            <v>0</v>
          </cell>
          <cell r="E307">
            <v>0</v>
          </cell>
          <cell r="F307">
            <v>0</v>
          </cell>
          <cell r="G307">
            <v>8.99</v>
          </cell>
        </row>
        <row r="308">
          <cell r="A308" t="str">
            <v>YY-IULCY-KS369-BIRD-M</v>
          </cell>
          <cell r="B308" t="str">
            <v>YY-IULCY-KS369</v>
          </cell>
          <cell r="C308">
            <v>1</v>
          </cell>
          <cell r="D308">
            <v>0</v>
          </cell>
          <cell r="E308">
            <v>0</v>
          </cell>
          <cell r="F308">
            <v>0</v>
          </cell>
          <cell r="G308">
            <v>10</v>
          </cell>
        </row>
        <row r="309">
          <cell r="A309" t="str">
            <v>YMQYQXDHPO90*90CM</v>
          </cell>
          <cell r="B309" t="str">
            <v>YMQYQXDH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  <cell r="G309">
            <v>12.99</v>
          </cell>
        </row>
        <row r="310">
          <cell r="A310" t="str">
            <v>YMQYZBJTE0140*180CM</v>
          </cell>
          <cell r="B310" t="str">
            <v>YMQYZBJT</v>
          </cell>
          <cell r="C310">
            <v>2</v>
          </cell>
          <cell r="D310">
            <v>0</v>
          </cell>
          <cell r="E310">
            <v>0</v>
          </cell>
          <cell r="F310">
            <v>0</v>
          </cell>
          <cell r="G310">
            <v>24.5</v>
          </cell>
        </row>
        <row r="311">
          <cell r="A311" t="str">
            <v>YMQYQZBXHGSS90*90CM</v>
          </cell>
          <cell r="B311" t="str">
            <v>YMQYQZBXHGSS</v>
          </cell>
          <cell r="C311">
            <v>1</v>
          </cell>
          <cell r="D311">
            <v>0</v>
          </cell>
          <cell r="E311">
            <v>0</v>
          </cell>
          <cell r="F311">
            <v>0</v>
          </cell>
          <cell r="G311">
            <v>10.9</v>
          </cell>
        </row>
        <row r="312">
          <cell r="A312" t="str">
            <v>ZB-IULCY-YMQY100-GR100*140</v>
          </cell>
          <cell r="B312" t="str">
            <v>ZB-IULCY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16.99</v>
          </cell>
        </row>
        <row r="313">
          <cell r="A313" t="str">
            <v>MTX-IULHY-W1758-GN-27</v>
          </cell>
          <cell r="B313" t="str">
            <v>MTX-IULHY-W1758</v>
          </cell>
          <cell r="C313">
            <v>1</v>
          </cell>
          <cell r="D313">
            <v>0</v>
          </cell>
          <cell r="E313">
            <v>0</v>
          </cell>
          <cell r="F313">
            <v>0</v>
          </cell>
          <cell r="G313">
            <v>16.99</v>
          </cell>
        </row>
        <row r="314">
          <cell r="A314" t="str">
            <v>YY5100R5L</v>
          </cell>
          <cell r="B314" t="str">
            <v>YY5100</v>
          </cell>
          <cell r="C314">
            <v>1</v>
          </cell>
          <cell r="D314">
            <v>0</v>
          </cell>
          <cell r="E314">
            <v>0</v>
          </cell>
          <cell r="F314">
            <v>0</v>
          </cell>
          <cell r="G314">
            <v>10</v>
          </cell>
        </row>
        <row r="315">
          <cell r="A315" t="str">
            <v>YMQYZBCSMS140*180CM</v>
          </cell>
          <cell r="B315" t="str">
            <v>YMQYZBCSM</v>
          </cell>
          <cell r="C315">
            <v>1</v>
          </cell>
          <cell r="D315">
            <v>0</v>
          </cell>
          <cell r="E315">
            <v>0</v>
          </cell>
          <cell r="F315">
            <v>0</v>
          </cell>
          <cell r="G315">
            <v>25.99</v>
          </cell>
        </row>
        <row r="316">
          <cell r="A316" t="str">
            <v>MTX-IULHY-W1758-OR-26</v>
          </cell>
          <cell r="B316" t="str">
            <v>MTX-IULHY-W1758</v>
          </cell>
          <cell r="C316">
            <v>2</v>
          </cell>
          <cell r="D316">
            <v>0</v>
          </cell>
          <cell r="E316">
            <v>0</v>
          </cell>
          <cell r="F316">
            <v>0</v>
          </cell>
          <cell r="G316">
            <v>16.99</v>
          </cell>
        </row>
        <row r="317">
          <cell r="A317" t="str">
            <v>GMSNH-LUHM001-K0</v>
          </cell>
          <cell r="B317" t="str">
            <v>GMSNH-LUHM001</v>
          </cell>
          <cell r="C317">
            <v>1</v>
          </cell>
          <cell r="D317">
            <v>0</v>
          </cell>
          <cell r="E317">
            <v>0</v>
          </cell>
          <cell r="F317">
            <v>0</v>
          </cell>
          <cell r="G317">
            <v>10</v>
          </cell>
        </row>
        <row r="318">
          <cell r="A318" t="str">
            <v>MTX-IULHY-W1759-OR-26</v>
          </cell>
          <cell r="B318" t="str">
            <v>MTX-IULHY-W1759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  <cell r="G318">
            <v>15.99</v>
          </cell>
        </row>
        <row r="319">
          <cell r="A319" t="str">
            <v>MTX-IULHY-M1759-GR-29</v>
          </cell>
          <cell r="B319" t="str">
            <v>MTX-IULHY-M1759</v>
          </cell>
          <cell r="C319">
            <v>1</v>
          </cell>
          <cell r="D319">
            <v>0</v>
          </cell>
          <cell r="E319">
            <v>0</v>
          </cell>
          <cell r="F319">
            <v>0</v>
          </cell>
          <cell r="G319">
            <v>15.99</v>
          </cell>
        </row>
        <row r="320">
          <cell r="A320" t="str">
            <v>MTX-IULHY-W1759-GN-27</v>
          </cell>
          <cell r="B320" t="str">
            <v>MTX-IULHY-W1759</v>
          </cell>
          <cell r="C320">
            <v>1</v>
          </cell>
          <cell r="D320">
            <v>0</v>
          </cell>
          <cell r="E320">
            <v>0</v>
          </cell>
          <cell r="F320">
            <v>0</v>
          </cell>
          <cell r="G320">
            <v>15.99</v>
          </cell>
        </row>
        <row r="321">
          <cell r="A321" t="str">
            <v>YY-IULCY-KS369-PLANT-L</v>
          </cell>
          <cell r="B321" t="str">
            <v>YY-IULCY-KS369</v>
          </cell>
          <cell r="C321">
            <v>1</v>
          </cell>
          <cell r="D321">
            <v>0</v>
          </cell>
          <cell r="E321">
            <v>0</v>
          </cell>
          <cell r="F321">
            <v>0</v>
          </cell>
          <cell r="G321">
            <v>10</v>
          </cell>
        </row>
        <row r="322">
          <cell r="A322" t="str">
            <v>ETYIMC-L-3</v>
          </cell>
          <cell r="B322" t="str">
            <v>ETYIMC</v>
          </cell>
          <cell r="C322">
            <v>4</v>
          </cell>
          <cell r="D322">
            <v>0</v>
          </cell>
          <cell r="E322">
            <v>0</v>
          </cell>
          <cell r="F322">
            <v>0</v>
          </cell>
          <cell r="G322">
            <v>15.99</v>
          </cell>
        </row>
        <row r="323">
          <cell r="A323" t="str">
            <v>MTX-IULHY-W188-PK-38/39</v>
          </cell>
          <cell r="B323" t="str">
            <v>MTX-IULHY-W188</v>
          </cell>
          <cell r="C323">
            <v>1</v>
          </cell>
          <cell r="D323">
            <v>0</v>
          </cell>
          <cell r="E323">
            <v>0</v>
          </cell>
          <cell r="F323">
            <v>0</v>
          </cell>
          <cell r="G323">
            <v>11.99</v>
          </cell>
        </row>
        <row r="324">
          <cell r="A324" t="str">
            <v>YY5100Y0M</v>
          </cell>
          <cell r="B324" t="str">
            <v>YY5100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 t="e">
            <v>#DIV/0!</v>
          </cell>
        </row>
        <row r="325">
          <cell r="A325" t="str">
            <v>YY5100R5XL</v>
          </cell>
          <cell r="B325" t="str">
            <v>YY5100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  <cell r="G325">
            <v>13.99</v>
          </cell>
        </row>
        <row r="326">
          <cell r="A326" t="str">
            <v>ZB-IULCY-YMQY100-CF140*140</v>
          </cell>
          <cell r="B326" t="str">
            <v>ZB-IULCY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 t="e">
            <v>#DIV/0!</v>
          </cell>
        </row>
        <row r="327">
          <cell r="A327" t="str">
            <v>MTX-IULHY-W1759-PK-27</v>
          </cell>
          <cell r="B327" t="str">
            <v>MTX-IULHY-W1759</v>
          </cell>
          <cell r="C327">
            <v>1</v>
          </cell>
          <cell r="D327">
            <v>0</v>
          </cell>
          <cell r="E327">
            <v>0</v>
          </cell>
          <cell r="F327">
            <v>0</v>
          </cell>
          <cell r="G327">
            <v>15.99</v>
          </cell>
        </row>
        <row r="328">
          <cell r="A328" t="str">
            <v>MTX-IULHY-M1759-DB-28</v>
          </cell>
          <cell r="B328" t="str">
            <v>MTX-IULHY-M1759</v>
          </cell>
          <cell r="C328">
            <v>2</v>
          </cell>
          <cell r="D328">
            <v>0</v>
          </cell>
          <cell r="E328">
            <v>0</v>
          </cell>
          <cell r="F328">
            <v>0</v>
          </cell>
          <cell r="G328">
            <v>15.99</v>
          </cell>
        </row>
        <row r="329">
          <cell r="A329" t="str">
            <v>YMQYGZZBGZ90*90CM</v>
          </cell>
          <cell r="B329" t="str">
            <v>YMQYGZZBGZ</v>
          </cell>
          <cell r="C329">
            <v>1</v>
          </cell>
          <cell r="D329">
            <v>0</v>
          </cell>
          <cell r="E329">
            <v>0</v>
          </cell>
          <cell r="F329">
            <v>0</v>
          </cell>
          <cell r="G329">
            <v>16.9</v>
          </cell>
        </row>
        <row r="330">
          <cell r="A330" t="str">
            <v>MID46-069HSS</v>
          </cell>
          <cell r="B330" t="str">
            <v>MID46-069</v>
          </cell>
          <cell r="C330">
            <v>1</v>
          </cell>
          <cell r="D330">
            <v>0</v>
          </cell>
          <cell r="E330">
            <v>0</v>
          </cell>
          <cell r="F330">
            <v>0</v>
          </cell>
          <cell r="G330">
            <v>22.7</v>
          </cell>
        </row>
        <row r="331">
          <cell r="A331" t="str">
            <v>FSFZB001JHRO160CM</v>
          </cell>
          <cell r="B331" t="str">
            <v>FSFZB001</v>
          </cell>
          <cell r="C331">
            <v>1</v>
          </cell>
          <cell r="D331">
            <v>0</v>
          </cell>
          <cell r="E331">
            <v>0</v>
          </cell>
          <cell r="F331">
            <v>0</v>
          </cell>
          <cell r="G331">
            <v>17.9</v>
          </cell>
        </row>
        <row r="332">
          <cell r="A332" t="str">
            <v>YMQYQXDHY0140*180CM</v>
          </cell>
          <cell r="B332" t="str">
            <v>YMQYQXDH</v>
          </cell>
          <cell r="C332">
            <v>1</v>
          </cell>
          <cell r="D332">
            <v>0</v>
          </cell>
          <cell r="E332">
            <v>0</v>
          </cell>
          <cell r="F332">
            <v>0</v>
          </cell>
          <cell r="G332">
            <v>26.99</v>
          </cell>
        </row>
        <row r="333">
          <cell r="A333" t="str">
            <v>BYZBFS90*140CM</v>
          </cell>
          <cell r="B333" t="str">
            <v>BYZBFS</v>
          </cell>
          <cell r="C333">
            <v>1</v>
          </cell>
          <cell r="D333">
            <v>0</v>
          </cell>
          <cell r="E333">
            <v>0</v>
          </cell>
          <cell r="F333">
            <v>0</v>
          </cell>
          <cell r="G333">
            <v>15.85</v>
          </cell>
        </row>
        <row r="6860">
          <cell r="A6860" t="str">
            <v>YY5100XGZG0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YY-IULCY-KS371</v>
          </cell>
          <cell r="B2">
            <v>13.9130769230769</v>
          </cell>
        </row>
        <row r="3">
          <cell r="A3" t="str">
            <v>ZAKKA0466</v>
          </cell>
          <cell r="B3">
            <v>9.9</v>
          </cell>
        </row>
        <row r="4">
          <cell r="A4" t="str">
            <v>GMTBY</v>
          </cell>
          <cell r="B4">
            <v>21.99</v>
          </cell>
        </row>
        <row r="5">
          <cell r="A5" t="str">
            <v>TBYPRBMRG</v>
          </cell>
          <cell r="B5">
            <v>23.036873012508</v>
          </cell>
        </row>
        <row r="6">
          <cell r="A6" t="str">
            <v>ZAKKA0631</v>
          </cell>
          <cell r="B6">
            <v>9.63140969162995</v>
          </cell>
        </row>
        <row r="7">
          <cell r="A7" t="str">
            <v>YMQYQXDH</v>
          </cell>
          <cell r="B7">
            <v>20.0365979381443</v>
          </cell>
        </row>
        <row r="8">
          <cell r="A8" t="str">
            <v>ETYIMC</v>
          </cell>
          <cell r="B8">
            <v>15.99</v>
          </cell>
        </row>
        <row r="9">
          <cell r="A9" t="str">
            <v>MZYSZHUOBUD</v>
          </cell>
          <cell r="B9">
            <v>19.4592741935484</v>
          </cell>
        </row>
        <row r="10">
          <cell r="A10" t="str">
            <v>MZYSM</v>
          </cell>
          <cell r="B10">
            <v>25.48</v>
          </cell>
        </row>
        <row r="11">
          <cell r="A11" t="str">
            <v>DJSCZHUOBUCSAQHS</v>
          </cell>
          <cell r="B11">
            <v>21.98</v>
          </cell>
        </row>
        <row r="12">
          <cell r="A12" t="str">
            <v>ZAKKA0630</v>
          </cell>
          <cell r="B12">
            <v>10.4543333333333</v>
          </cell>
        </row>
        <row r="13">
          <cell r="A13" t="str">
            <v>ZAKKA0633</v>
          </cell>
          <cell r="B13">
            <v>12.9</v>
          </cell>
        </row>
        <row r="14">
          <cell r="A14" t="str">
            <v>YY-IULUY-KS374</v>
          </cell>
          <cell r="B14">
            <v>12.99</v>
          </cell>
        </row>
        <row r="15">
          <cell r="A15" t="str">
            <v>YY5100</v>
          </cell>
          <cell r="B15">
            <v>17.3905</v>
          </cell>
        </row>
        <row r="16">
          <cell r="A16" t="str">
            <v>YY-IULCY-KS377</v>
          </cell>
          <cell r="B16">
            <v>10.99</v>
          </cell>
        </row>
        <row r="17">
          <cell r="A17" t="str">
            <v>YY-IULCY-KS370</v>
          </cell>
          <cell r="B17">
            <v>14.99</v>
          </cell>
        </row>
        <row r="18">
          <cell r="A18" t="str">
            <v>ZCGTZ-IUCY001</v>
          </cell>
          <cell r="B18">
            <v>44.99</v>
          </cell>
        </row>
        <row r="19">
          <cell r="A19" t="str">
            <v>BH-E628-EYEA</v>
          </cell>
          <cell r="B19">
            <v>9.99</v>
          </cell>
        </row>
        <row r="20">
          <cell r="A20" t="str">
            <v>YX-IUCY</v>
          </cell>
          <cell r="B20">
            <v>8.12727272727273</v>
          </cell>
        </row>
        <row r="21">
          <cell r="A21" t="str">
            <v>YY1100</v>
          </cell>
          <cell r="B21">
            <v>22.6836990595612</v>
          </cell>
        </row>
        <row r="22">
          <cell r="A22" t="str">
            <v>YMQYQJISZM</v>
          </cell>
          <cell r="B22">
            <v>16.0998</v>
          </cell>
        </row>
        <row r="23">
          <cell r="A23" t="str">
            <v>YY-IULCY-KS372</v>
          </cell>
          <cell r="B23">
            <v>13.8129113924051</v>
          </cell>
        </row>
        <row r="24">
          <cell r="A24" t="str">
            <v>YY2127</v>
          </cell>
          <cell r="B24">
            <v>20.115</v>
          </cell>
        </row>
        <row r="25">
          <cell r="A25" t="str">
            <v>YMQYQHCZQ</v>
          </cell>
          <cell r="B25">
            <v>19.9</v>
          </cell>
        </row>
        <row r="26">
          <cell r="A26" t="str">
            <v>SXHLYITAO1-LH-001</v>
          </cell>
          <cell r="B26">
            <v>13.99</v>
          </cell>
        </row>
        <row r="27">
          <cell r="A27" t="str">
            <v>YMQYZBCSM</v>
          </cell>
          <cell r="B27">
            <v>23.1488461538462</v>
          </cell>
        </row>
        <row r="28">
          <cell r="A28" t="str">
            <v>LQXFMS1H</v>
          </cell>
          <cell r="B28">
            <v>29.9</v>
          </cell>
        </row>
        <row r="29">
          <cell r="A29" t="str">
            <v>ZAKKA0589</v>
          </cell>
          <cell r="B29">
            <v>9.9</v>
          </cell>
        </row>
        <row r="30">
          <cell r="A30" t="str">
            <v>ETYIYELLOW</v>
          </cell>
          <cell r="B30">
            <v>15.99</v>
          </cell>
        </row>
        <row r="31">
          <cell r="A31" t="str">
            <v>ETYIYUANDIAN</v>
          </cell>
          <cell r="B31">
            <v>15.99</v>
          </cell>
        </row>
        <row r="32">
          <cell r="A32" t="str">
            <v>YMQYZHUOBUJXXH</v>
          </cell>
          <cell r="B32">
            <v>19.772</v>
          </cell>
        </row>
        <row r="33">
          <cell r="A33" t="str">
            <v>TZ-IUYL240</v>
          </cell>
          <cell r="B33">
            <v>14.4636842105263</v>
          </cell>
        </row>
        <row r="34">
          <cell r="A34" t="str">
            <v>SWEATPET</v>
          </cell>
          <cell r="B34">
            <v>11.3233333333333</v>
          </cell>
        </row>
        <row r="35">
          <cell r="A35" t="str">
            <v>YY-IULCY-C9002</v>
          </cell>
          <cell r="B35">
            <v>15.8122222222222</v>
          </cell>
        </row>
        <row r="36">
          <cell r="A36" t="str">
            <v>JCHOME-AX</v>
          </cell>
          <cell r="B36">
            <v>20.99</v>
          </cell>
        </row>
        <row r="37">
          <cell r="A37" t="str">
            <v>SND-IUYL</v>
          </cell>
          <cell r="B37">
            <v>8.99</v>
          </cell>
        </row>
        <row r="38">
          <cell r="A38" t="str">
            <v>ETYIBLUE</v>
          </cell>
          <cell r="B38">
            <v>15.99</v>
          </cell>
        </row>
        <row r="39">
          <cell r="A39" t="str">
            <v>ARDIAN</v>
          </cell>
          <cell r="B39" t="e">
            <v>#DIV/0!</v>
          </cell>
        </row>
        <row r="40">
          <cell r="A40" t="str">
            <v>SGZ-LULHY</v>
          </cell>
          <cell r="B40">
            <v>24.7042857142857</v>
          </cell>
        </row>
        <row r="41">
          <cell r="A41" t="str">
            <v>BYZBLANS</v>
          </cell>
          <cell r="B41">
            <v>20.615</v>
          </cell>
        </row>
        <row r="42">
          <cell r="A42" t="str">
            <v>YMQYQDZMZM</v>
          </cell>
          <cell r="B42">
            <v>16.9352941176471</v>
          </cell>
        </row>
        <row r="43">
          <cell r="A43" t="str">
            <v>YY-IULCY-KS369</v>
          </cell>
          <cell r="B43">
            <v>10</v>
          </cell>
        </row>
        <row r="44">
          <cell r="A44" t="str">
            <v>D7-K3RX-7XQQ</v>
          </cell>
          <cell r="B44">
            <v>8.99</v>
          </cell>
        </row>
        <row r="45">
          <cell r="A45" t="str">
            <v>ZAKKA0040</v>
          </cell>
          <cell r="B45">
            <v>14.7633333333333</v>
          </cell>
        </row>
        <row r="46">
          <cell r="A46" t="str">
            <v>YDYPFS</v>
          </cell>
          <cell r="B46">
            <v>16.2656896551724</v>
          </cell>
        </row>
        <row r="47">
          <cell r="A47" t="str">
            <v>MID46-069</v>
          </cell>
          <cell r="B47">
            <v>22.7</v>
          </cell>
        </row>
        <row r="48">
          <cell r="A48" t="str">
            <v>YY-IULCY-HZYD200</v>
          </cell>
          <cell r="B48">
            <v>15.99</v>
          </cell>
        </row>
        <row r="49">
          <cell r="A49" t="str">
            <v>ZHUAPPP</v>
          </cell>
          <cell r="B49">
            <v>17.99</v>
          </cell>
        </row>
        <row r="50">
          <cell r="A50" t="str">
            <v>YY-IULCY-HZYD100</v>
          </cell>
          <cell r="B50">
            <v>12.99</v>
          </cell>
        </row>
        <row r="51">
          <cell r="A51" t="str">
            <v>DLJJZHUOBU-BGZW0</v>
          </cell>
          <cell r="B51">
            <v>14.1</v>
          </cell>
        </row>
        <row r="52">
          <cell r="A52" t="str">
            <v>MZYSWZ85</v>
          </cell>
          <cell r="B52">
            <v>23.9</v>
          </cell>
        </row>
        <row r="53">
          <cell r="A53" t="str">
            <v>BYZBFS</v>
          </cell>
          <cell r="B53">
            <v>22.7275</v>
          </cell>
        </row>
        <row r="54">
          <cell r="A54" t="str">
            <v>ZBCSXMXM</v>
          </cell>
          <cell r="B54">
            <v>27</v>
          </cell>
        </row>
        <row r="55">
          <cell r="A55" t="str">
            <v>SJJJZHUOBUKTWB0</v>
          </cell>
          <cell r="B55">
            <v>13.4375</v>
          </cell>
        </row>
        <row r="56">
          <cell r="A56" t="str">
            <v>HATQHMZ</v>
          </cell>
          <cell r="B56">
            <v>9.99</v>
          </cell>
        </row>
        <row r="57">
          <cell r="A57" t="str">
            <v>ETYIM</v>
          </cell>
          <cell r="B57">
            <v>15.99</v>
          </cell>
        </row>
        <row r="58">
          <cell r="A58" t="str">
            <v>SNTG-CL</v>
          </cell>
          <cell r="B58">
            <v>11.99</v>
          </cell>
        </row>
        <row r="59">
          <cell r="A59" t="str">
            <v>MZYSTYMM</v>
          </cell>
          <cell r="B59">
            <v>20</v>
          </cell>
        </row>
        <row r="60">
          <cell r="A60" t="str">
            <v>9CUE9N</v>
          </cell>
          <cell r="B60">
            <v>14.0334782608696</v>
          </cell>
        </row>
        <row r="61">
          <cell r="A61" t="str">
            <v>LQXFLS</v>
          </cell>
          <cell r="B61">
            <v>9.9</v>
          </cell>
        </row>
        <row r="62">
          <cell r="A62" t="str">
            <v>ZPSD-LAHM-800</v>
          </cell>
          <cell r="B62">
            <v>20.99</v>
          </cell>
        </row>
        <row r="63">
          <cell r="A63" t="str">
            <v>ZB-IULCY</v>
          </cell>
          <cell r="B63">
            <v>22.8471428571429</v>
          </cell>
        </row>
        <row r="64">
          <cell r="A64" t="str">
            <v>FMHSGJH</v>
          </cell>
          <cell r="B64">
            <v>8.99</v>
          </cell>
        </row>
        <row r="65">
          <cell r="A65" t="str">
            <v>FSFZB001</v>
          </cell>
          <cell r="B65">
            <v>19.9</v>
          </cell>
        </row>
        <row r="66">
          <cell r="A66" t="str">
            <v>YDWJQWHQWH</v>
          </cell>
          <cell r="B66">
            <v>15.99</v>
          </cell>
        </row>
        <row r="67">
          <cell r="A67" t="str">
            <v>YMQYZB4DHD</v>
          </cell>
          <cell r="B67">
            <v>9</v>
          </cell>
        </row>
        <row r="68">
          <cell r="A68" t="str">
            <v>MIDUYD036</v>
          </cell>
          <cell r="B68">
            <v>10.99</v>
          </cell>
        </row>
        <row r="69">
          <cell r="A69" t="str">
            <v>GMZYL-FLQ06</v>
          </cell>
          <cell r="B69">
            <v>15.99</v>
          </cell>
        </row>
        <row r="70">
          <cell r="A70" t="str">
            <v>YDY-YUNDONGK-8756</v>
          </cell>
          <cell r="B70">
            <v>10</v>
          </cell>
        </row>
        <row r="71">
          <cell r="A71" t="str">
            <v>DZ-IUYL210</v>
          </cell>
          <cell r="B71">
            <v>37.99</v>
          </cell>
        </row>
        <row r="72">
          <cell r="A72" t="str">
            <v>TM-IULCY-300</v>
          </cell>
          <cell r="B72">
            <v>25</v>
          </cell>
        </row>
        <row r="73">
          <cell r="A73" t="str">
            <v>H5-F378</v>
          </cell>
          <cell r="B73">
            <v>9.9</v>
          </cell>
        </row>
        <row r="74">
          <cell r="A74" t="str">
            <v>GMSNH-LUHM001</v>
          </cell>
          <cell r="B74">
            <v>9.10222222222222</v>
          </cell>
        </row>
        <row r="75">
          <cell r="A75" t="str">
            <v>SB-100</v>
          </cell>
          <cell r="B75">
            <v>13.7677777777778</v>
          </cell>
        </row>
        <row r="76">
          <cell r="A76" t="str">
            <v>DLJJZHUOBU-DSGZGZ</v>
          </cell>
          <cell r="B76">
            <v>23.5</v>
          </cell>
        </row>
        <row r="77">
          <cell r="A77" t="str">
            <v>SB-101</v>
          </cell>
          <cell r="B77">
            <v>11.99</v>
          </cell>
        </row>
        <row r="78">
          <cell r="A78" t="str">
            <v>FSFZB006</v>
          </cell>
          <cell r="B78">
            <v>23.9</v>
          </cell>
        </row>
        <row r="79">
          <cell r="A79" t="str">
            <v>GMSNH-CY001</v>
          </cell>
          <cell r="B79">
            <v>9.495</v>
          </cell>
        </row>
        <row r="80">
          <cell r="A80" t="str">
            <v>BBSA</v>
          </cell>
          <cell r="B80">
            <v>18.99</v>
          </cell>
        </row>
        <row r="81">
          <cell r="A81" t="str">
            <v>MTX-IULHY-M1759</v>
          </cell>
          <cell r="B81">
            <v>15.99</v>
          </cell>
        </row>
        <row r="82">
          <cell r="A82" t="str">
            <v>GMSNT-CY001</v>
          </cell>
          <cell r="B82">
            <v>14.99</v>
          </cell>
        </row>
        <row r="83">
          <cell r="A83" t="str">
            <v>YMQYZBJT</v>
          </cell>
          <cell r="B83">
            <v>24.5</v>
          </cell>
        </row>
        <row r="84">
          <cell r="A84" t="str">
            <v>YMQYQZBXHGSS</v>
          </cell>
          <cell r="B84">
            <v>10.9</v>
          </cell>
        </row>
        <row r="85">
          <cell r="A85" t="str">
            <v>MTX-IULHY-W1758</v>
          </cell>
          <cell r="B85">
            <v>16.99</v>
          </cell>
        </row>
        <row r="86">
          <cell r="A86" t="str">
            <v>MTX-IULHY-W1759</v>
          </cell>
          <cell r="B86">
            <v>15.99</v>
          </cell>
        </row>
        <row r="87">
          <cell r="A87" t="str">
            <v>MTX-IULHY-W188</v>
          </cell>
          <cell r="B87">
            <v>11.99</v>
          </cell>
        </row>
        <row r="88">
          <cell r="A88" t="str">
            <v>YMQYGZZBGZ</v>
          </cell>
          <cell r="B88">
            <v>16.9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0A-OLK7-ZS6V</v>
          </cell>
          <cell r="B3" t="str">
            <v>0A-OLK7-ZS6V</v>
          </cell>
        </row>
        <row r="4">
          <cell r="A4" t="str">
            <v>1Q-F18P-MTNO</v>
          </cell>
          <cell r="B4" t="str">
            <v>1Q-F18P-MTNO</v>
          </cell>
        </row>
        <row r="5">
          <cell r="A5" t="str">
            <v>24-TKUP-1NJJ</v>
          </cell>
          <cell r="B5" t="str">
            <v>24-TKUP-1NJJ</v>
          </cell>
        </row>
        <row r="6">
          <cell r="A6" t="str">
            <v>6958140000000-21</v>
          </cell>
          <cell r="B6" t="str">
            <v>6958140000000</v>
          </cell>
        </row>
        <row r="7">
          <cell r="A7" t="str">
            <v>6958140000000-36</v>
          </cell>
          <cell r="B7" t="str">
            <v>6958140000000</v>
          </cell>
        </row>
        <row r="8">
          <cell r="A8" t="str">
            <v>8Y-T6OF-YUJY</v>
          </cell>
          <cell r="B8" t="str">
            <v>8Y-T6OF-YUJY</v>
          </cell>
        </row>
        <row r="9">
          <cell r="A9" t="str">
            <v>9CUE9N-00TLXXXL</v>
          </cell>
          <cell r="B9" t="str">
            <v>9CUE9N</v>
          </cell>
        </row>
        <row r="10">
          <cell r="A10" t="str">
            <v>9CUE9N-01SLXXXL</v>
          </cell>
          <cell r="B10" t="str">
            <v>9CUE9N</v>
          </cell>
        </row>
        <row r="11">
          <cell r="A11" t="str">
            <v>9CUE9N-03R0XXXL</v>
          </cell>
          <cell r="B11" t="str">
            <v>9CUE9N</v>
          </cell>
        </row>
        <row r="12">
          <cell r="A12" t="str">
            <v>9CUE9N-04Y0XXXL</v>
          </cell>
          <cell r="B12" t="str">
            <v>9CUE9N</v>
          </cell>
        </row>
        <row r="13">
          <cell r="A13" t="str">
            <v>9S-9NNT-31M9</v>
          </cell>
          <cell r="B13" t="str">
            <v>9S-9NNT-31M9</v>
          </cell>
        </row>
        <row r="14">
          <cell r="A14" t="str">
            <v>A7KKBX-01G0L</v>
          </cell>
          <cell r="B14" t="str">
            <v>A7KKBX-01</v>
          </cell>
        </row>
        <row r="15">
          <cell r="A15" t="str">
            <v>AQD-IUCY330-BK</v>
          </cell>
          <cell r="B15" t="str">
            <v>AQD-IUCY330</v>
          </cell>
        </row>
        <row r="16">
          <cell r="A16" t="str">
            <v>AQD-IUCY330-CF</v>
          </cell>
          <cell r="B16" t="str">
            <v>AQD-IUCY330</v>
          </cell>
        </row>
        <row r="17">
          <cell r="A17" t="str">
            <v>AQD-IUCY330-DB</v>
          </cell>
          <cell r="B17" t="str">
            <v>AQD-IUCY330</v>
          </cell>
        </row>
        <row r="18">
          <cell r="A18" t="str">
            <v>AQD-IUCY330-DP</v>
          </cell>
          <cell r="B18" t="str">
            <v>AQD-IUCY330</v>
          </cell>
        </row>
        <row r="19">
          <cell r="A19" t="str">
            <v>AQD-IUCY330-GR</v>
          </cell>
          <cell r="B19" t="str">
            <v>AQD-IUCY330</v>
          </cell>
        </row>
        <row r="20">
          <cell r="A20" t="str">
            <v>AQD-IUCY330-LB</v>
          </cell>
          <cell r="B20" t="str">
            <v>AQD-IUCY330</v>
          </cell>
        </row>
        <row r="21">
          <cell r="A21" t="str">
            <v>AQD-IUCY330-LP</v>
          </cell>
          <cell r="B21" t="str">
            <v>AQD-IUCY330</v>
          </cell>
        </row>
        <row r="22">
          <cell r="A22" t="str">
            <v>AQD-IUCY330-OR</v>
          </cell>
          <cell r="B22" t="str">
            <v>AQD-IUCY330</v>
          </cell>
        </row>
        <row r="23">
          <cell r="A23" t="str">
            <v>AQD-IUCY330-OR-2</v>
          </cell>
          <cell r="B23" t="str">
            <v>AQD-IUCY330</v>
          </cell>
        </row>
        <row r="24">
          <cell r="A24" t="str">
            <v>AQD-IUCY330-PK</v>
          </cell>
          <cell r="B24" t="str">
            <v>AQD-IUCY330</v>
          </cell>
        </row>
        <row r="25">
          <cell r="A25" t="str">
            <v>AQD-IUCY330-PK-2</v>
          </cell>
          <cell r="B25" t="str">
            <v>AQD-IUCY330</v>
          </cell>
        </row>
        <row r="26">
          <cell r="A26" t="str">
            <v>AQD-IUCY330-PP</v>
          </cell>
          <cell r="B26" t="str">
            <v>AQD-IUCY330</v>
          </cell>
        </row>
        <row r="27">
          <cell r="A27" t="str">
            <v>AQD-IUCY330-RD</v>
          </cell>
          <cell r="B27" t="str">
            <v>AQD-IUCY330</v>
          </cell>
        </row>
        <row r="28">
          <cell r="A28" t="str">
            <v>AQD-IUCY330-YL</v>
          </cell>
          <cell r="B28" t="str">
            <v>AQD-IUCY330</v>
          </cell>
        </row>
        <row r="29">
          <cell r="A29" t="str">
            <v>AQD-IUCY330-YL-2</v>
          </cell>
          <cell r="B29" t="str">
            <v>AQD-IUCY330</v>
          </cell>
        </row>
        <row r="30">
          <cell r="A30" t="str">
            <v>ARDIANBS</v>
          </cell>
          <cell r="B30" t="str">
            <v>ARDIAN</v>
          </cell>
        </row>
        <row r="31">
          <cell r="A31" t="str">
            <v>ARDIANCOF</v>
          </cell>
          <cell r="B31" t="str">
            <v>ARDIAN</v>
          </cell>
        </row>
        <row r="32">
          <cell r="A32" t="str">
            <v>ARDIANCOF-1</v>
          </cell>
          <cell r="B32" t="str">
            <v>ARDIAN</v>
          </cell>
        </row>
        <row r="33">
          <cell r="A33" t="str">
            <v>ARDIANGOLD</v>
          </cell>
          <cell r="B33" t="str">
            <v>ARDIAN</v>
          </cell>
        </row>
        <row r="34">
          <cell r="A34" t="str">
            <v>ARDIANKQS</v>
          </cell>
          <cell r="B34" t="str">
            <v>ARDIAN</v>
          </cell>
        </row>
        <row r="35">
          <cell r="A35" t="str">
            <v>ARDIANKQS-1</v>
          </cell>
          <cell r="B35" t="str">
            <v>ARDIAN</v>
          </cell>
        </row>
        <row r="36">
          <cell r="A36" t="str">
            <v>ARDIANYHUS</v>
          </cell>
          <cell r="B36" t="str">
            <v>ARDIAN</v>
          </cell>
        </row>
        <row r="37">
          <cell r="A37" t="str">
            <v>ARDIANYHUS-1</v>
          </cell>
          <cell r="B37" t="str">
            <v>ARDIAN</v>
          </cell>
        </row>
        <row r="38">
          <cell r="A38" t="str">
            <v>AWFSNANKU-2292B0-30</v>
          </cell>
          <cell r="B38" t="str">
            <v>AWFSNANKU-2292</v>
          </cell>
        </row>
        <row r="39">
          <cell r="A39" t="str">
            <v>AWFSNANKU-2292B0-31</v>
          </cell>
          <cell r="B39" t="str">
            <v>AWFSNANKU-2292</v>
          </cell>
        </row>
        <row r="40">
          <cell r="A40" t="str">
            <v>AWFSNANKU-2292B0-32</v>
          </cell>
          <cell r="B40" t="str">
            <v>AWFSNANKU-2292</v>
          </cell>
        </row>
        <row r="41">
          <cell r="A41" t="str">
            <v>AWFSNANKU-2292B0-34</v>
          </cell>
          <cell r="B41" t="str">
            <v>AWFSNANKU-2292</v>
          </cell>
        </row>
        <row r="42">
          <cell r="A42" t="str">
            <v>AWFSNANKU-2292B0-36</v>
          </cell>
          <cell r="B42" t="str">
            <v>AWFSNANKU-2292</v>
          </cell>
        </row>
        <row r="43">
          <cell r="A43" t="str">
            <v>AWFSNANKU-2292B0-38</v>
          </cell>
          <cell r="B43" t="str">
            <v>AWFSNANKU-2292</v>
          </cell>
        </row>
        <row r="44">
          <cell r="A44" t="str">
            <v>AWFSNANKU-2292B0-40</v>
          </cell>
          <cell r="B44" t="str">
            <v>AWFSNANKU-2292</v>
          </cell>
        </row>
        <row r="45">
          <cell r="A45" t="str">
            <v>AWFSNANKU-2292JLS-30</v>
          </cell>
          <cell r="B45" t="str">
            <v>AWFSNANKU-2292</v>
          </cell>
        </row>
        <row r="46">
          <cell r="A46" t="str">
            <v>AWFSNANKU-2292JLS-31</v>
          </cell>
          <cell r="B46" t="str">
            <v>AWFSNANKU-2292</v>
          </cell>
        </row>
        <row r="47">
          <cell r="A47" t="str">
            <v>AWFSNANKU-2292JLS-32</v>
          </cell>
          <cell r="B47" t="str">
            <v>AWFSNANKU-2292</v>
          </cell>
        </row>
        <row r="48">
          <cell r="A48" t="str">
            <v>AWFSNANKU-2292JLS-34</v>
          </cell>
          <cell r="B48" t="str">
            <v>AWFSNANKU-2292</v>
          </cell>
        </row>
        <row r="49">
          <cell r="A49" t="str">
            <v>AWFSNANKU-2292JLS-36</v>
          </cell>
          <cell r="B49" t="str">
            <v>AWFSNANKU-2292</v>
          </cell>
        </row>
        <row r="50">
          <cell r="A50" t="str">
            <v>AWFSNANKU-2292JLS-38</v>
          </cell>
          <cell r="B50" t="str">
            <v>AWFSNANKU-2292</v>
          </cell>
        </row>
        <row r="51">
          <cell r="A51" t="str">
            <v>AWFSNANKU-2292JLS-40</v>
          </cell>
          <cell r="B51" t="str">
            <v>AWFSNANKU-2292</v>
          </cell>
        </row>
        <row r="52">
          <cell r="A52" t="str">
            <v>AWFSNANKU2-HBWYB5822LS-38</v>
          </cell>
          <cell r="B52" t="str">
            <v>AWFSNANKU2-HBWYB5822</v>
          </cell>
        </row>
        <row r="53">
          <cell r="A53" t="str">
            <v>AWFSNANKU2-HBWYB5822ZQ-32</v>
          </cell>
          <cell r="B53" t="str">
            <v>AWFSNANKU2-HBWYB5822</v>
          </cell>
        </row>
        <row r="54">
          <cell r="A54" t="str">
            <v>AWFSNANKU2-JJ-G367-BHBMC-30</v>
          </cell>
          <cell r="B54" t="str">
            <v>AWFSNANKU2-JJ-G367-BHBMC</v>
          </cell>
        </row>
        <row r="55">
          <cell r="A55" t="str">
            <v>AWFSNANKU2-JJ-G367-BHBMC-31</v>
          </cell>
          <cell r="B55" t="str">
            <v>AWFSNANKU2-JJ-G367-BHBMC</v>
          </cell>
        </row>
        <row r="56">
          <cell r="A56" t="str">
            <v>AWFSNANKU2-JJ-G367-BHBMC-32</v>
          </cell>
          <cell r="B56" t="str">
            <v>AWFSNANKU2-JJ-G367-BHBMC</v>
          </cell>
        </row>
        <row r="57">
          <cell r="A57" t="str">
            <v>AWFSNANKU2-JJ-G367-BHBMC-34</v>
          </cell>
          <cell r="B57" t="str">
            <v>AWFSNANKU2-JJ-G367-BHBMC</v>
          </cell>
        </row>
        <row r="58">
          <cell r="A58" t="str">
            <v>AWFSNANKU2-JJ-G367-BHBMC-36</v>
          </cell>
          <cell r="B58" t="str">
            <v>AWFSNANKU2-JJ-G367-BHBMC</v>
          </cell>
        </row>
        <row r="59">
          <cell r="A59" t="str">
            <v>AWFSNANKU2-JJ-G367-BHBMC-38</v>
          </cell>
          <cell r="B59" t="str">
            <v>AWFSNANKU2-JJ-G367</v>
          </cell>
        </row>
        <row r="60">
          <cell r="A60" t="str">
            <v>AWFSNANKU2-JJ-G367-BLHMC-30</v>
          </cell>
          <cell r="B60" t="str">
            <v>AWFSNANKU2-JJ-G367</v>
          </cell>
        </row>
        <row r="61">
          <cell r="A61" t="str">
            <v>AWFSNANKU2-JJ-G367-BLHMC-32</v>
          </cell>
          <cell r="B61" t="str">
            <v>AWFSNANKU2-JJ-G367</v>
          </cell>
        </row>
        <row r="62">
          <cell r="A62" t="str">
            <v>AWFSNANKU-HBWYB5822BS-30</v>
          </cell>
          <cell r="B62" t="str">
            <v>AWFSNANKU-HBWYB5822</v>
          </cell>
        </row>
        <row r="63">
          <cell r="A63" t="str">
            <v>AWFSNANKU-HBWYB5822BS-31</v>
          </cell>
          <cell r="B63" t="str">
            <v>AWFSNANKU-HBWYB5822</v>
          </cell>
        </row>
        <row r="64">
          <cell r="A64" t="str">
            <v>AWFSNANKU-HBWYB5822BS-32</v>
          </cell>
          <cell r="B64" t="str">
            <v>AWFSNANKU-HBWYB5822</v>
          </cell>
        </row>
        <row r="65">
          <cell r="A65" t="str">
            <v>AWFSNANKU-HBWYB5822BS-34</v>
          </cell>
          <cell r="B65" t="str">
            <v>AWFSNANKU-HBWYB5822</v>
          </cell>
        </row>
        <row r="66">
          <cell r="A66" t="str">
            <v>AWFSNANKU-HBWYB5822BS-36</v>
          </cell>
          <cell r="B66" t="str">
            <v>AWFSNANKU-HBWYB5822</v>
          </cell>
        </row>
        <row r="67">
          <cell r="A67" t="str">
            <v>AWFSNANKU-HBWYB5822BS-36-1</v>
          </cell>
          <cell r="B67" t="str">
            <v>AWFSNANKU-HBWYB5822</v>
          </cell>
        </row>
        <row r="68">
          <cell r="A68" t="str">
            <v>AWFSNANKU-HBWYB5822BS-38</v>
          </cell>
          <cell r="B68" t="str">
            <v>AWFSNANKU-HBWYB5822</v>
          </cell>
        </row>
        <row r="69">
          <cell r="A69" t="str">
            <v>AWFSNANKU-HBWYB5822HS-29</v>
          </cell>
          <cell r="B69" t="str">
            <v>AWFSNANKU-HBWYB5822</v>
          </cell>
        </row>
        <row r="70">
          <cell r="A70" t="str">
            <v>AWFSNANKU-HBWYB5822HS-30</v>
          </cell>
          <cell r="B70" t="str">
            <v>AWFSNANKU-HBWYB5822</v>
          </cell>
        </row>
        <row r="71">
          <cell r="A71" t="str">
            <v>AWFSNANKU-HBWYB5822HS-31</v>
          </cell>
          <cell r="B71" t="str">
            <v>AWFSNANKU-HBWYB5822</v>
          </cell>
        </row>
        <row r="72">
          <cell r="A72" t="str">
            <v>AWFSNANKU-HBWYB5822HS-32</v>
          </cell>
          <cell r="B72" t="str">
            <v>AWFSNANKU-HBWYB5822</v>
          </cell>
        </row>
        <row r="73">
          <cell r="A73" t="str">
            <v>AWFSNANKU-HBWYB5822HS-34</v>
          </cell>
          <cell r="B73" t="str">
            <v>AWFSNANKU-HBWYB5822</v>
          </cell>
        </row>
        <row r="74">
          <cell r="A74" t="str">
            <v>AWFSNANKU-HBWYB5822HS-36</v>
          </cell>
          <cell r="B74" t="str">
            <v>AWFSNANKU-HBWYB5822</v>
          </cell>
        </row>
        <row r="75">
          <cell r="A75" t="str">
            <v>AWFSNANKU-HBWYB5822HS-38</v>
          </cell>
          <cell r="B75" t="str">
            <v>AWFSNANKU-HBWYB5822</v>
          </cell>
        </row>
        <row r="76">
          <cell r="A76" t="str">
            <v>AWFSNANKU-HBWYB5822HS-38-1</v>
          </cell>
          <cell r="B76" t="str">
            <v>AWFSNANKU-HBWYB5822</v>
          </cell>
        </row>
        <row r="77">
          <cell r="A77" t="str">
            <v>AWFSNANKU-HBWYB5822SJL-29</v>
          </cell>
          <cell r="B77" t="str">
            <v>AWFSNANKU-HBWYB5822</v>
          </cell>
        </row>
        <row r="78">
          <cell r="A78" t="str">
            <v>AWFSNANKU-HBWYB5822SJL-30</v>
          </cell>
          <cell r="B78" t="str">
            <v>AWFSNANKU-HBWYB5822SJL</v>
          </cell>
        </row>
        <row r="79">
          <cell r="A79" t="str">
            <v>AWFSNANKU-HBWYB5822SJL-31</v>
          </cell>
          <cell r="B79" t="str">
            <v>AWFSNANKU-HBWYB5822SJL</v>
          </cell>
        </row>
        <row r="80">
          <cell r="A80" t="str">
            <v>AWFSNANKU-HBWYB5822SJL-32</v>
          </cell>
          <cell r="B80" t="str">
            <v>AWFSNANKU-HBWYB5822SJL</v>
          </cell>
        </row>
        <row r="81">
          <cell r="A81" t="str">
            <v>AWFSNANKU-HBWYB5822SJL-34</v>
          </cell>
          <cell r="B81" t="str">
            <v>AWFSNANKU-HBWYB5822SJL</v>
          </cell>
        </row>
        <row r="82">
          <cell r="A82" t="str">
            <v>AWFSNANKU-HBWYB5822SJL-36</v>
          </cell>
          <cell r="B82" t="str">
            <v>AWFSNANKU-HBWYB5822SJL</v>
          </cell>
        </row>
        <row r="83">
          <cell r="A83" t="str">
            <v>AWFSNANKU-HBWYB5822SJL-38</v>
          </cell>
          <cell r="B83" t="str">
            <v>AWFSNANKU-HBWYB5822SJL</v>
          </cell>
        </row>
        <row r="84">
          <cell r="A84" t="str">
            <v>AWFSNANKU-HBWYB5822SJL-40</v>
          </cell>
          <cell r="B84" t="str">
            <v>AWFSNANKU-HBWYB5822SJL</v>
          </cell>
        </row>
        <row r="85">
          <cell r="A85" t="str">
            <v>AWFSNANKU-JJ-G367-BHMC-38</v>
          </cell>
          <cell r="B85" t="str">
            <v>AWFSNANKU-JJ-G367</v>
          </cell>
        </row>
        <row r="86">
          <cell r="A86" t="str">
            <v>AWFSNANKU-K19B0-30</v>
          </cell>
          <cell r="B86" t="str">
            <v>AWFSNANKU-K19</v>
          </cell>
        </row>
        <row r="87">
          <cell r="A87" t="str">
            <v>AWFSNANKU-K19B0-36</v>
          </cell>
          <cell r="B87" t="str">
            <v>AWFSNANKU-K19</v>
          </cell>
        </row>
        <row r="88">
          <cell r="A88" t="str">
            <v>AWFSNANKU-K19B0-38</v>
          </cell>
          <cell r="B88" t="str">
            <v>AWFSNANKU-K19</v>
          </cell>
        </row>
        <row r="89">
          <cell r="A89" t="str">
            <v>AWFSNANKU-K19E0-29</v>
          </cell>
          <cell r="B89" t="str">
            <v>AWFSNANKU-K19</v>
          </cell>
        </row>
        <row r="90">
          <cell r="A90" t="str">
            <v>AWFSNANKU-K19E0-30</v>
          </cell>
          <cell r="B90" t="str">
            <v>AWFSNANKU-K19</v>
          </cell>
        </row>
        <row r="91">
          <cell r="A91" t="str">
            <v>AWFSNANKU-K19E0-31</v>
          </cell>
          <cell r="B91" t="str">
            <v>AWFSNANKU-K19</v>
          </cell>
        </row>
        <row r="92">
          <cell r="A92" t="str">
            <v>AWFSNANKU-K19E0-36</v>
          </cell>
          <cell r="B92" t="str">
            <v>AWFSNANKU-K19</v>
          </cell>
        </row>
        <row r="93">
          <cell r="A93" t="str">
            <v>AWFSNANKU-K19E0-38</v>
          </cell>
          <cell r="B93" t="str">
            <v>AWFSNANKU-K19</v>
          </cell>
        </row>
        <row r="94">
          <cell r="A94" t="str">
            <v>AWFSNANKU-K19GL-38</v>
          </cell>
          <cell r="B94" t="str">
            <v>AWFSNANKU-K19</v>
          </cell>
        </row>
        <row r="95">
          <cell r="A95" t="str">
            <v>AWFSNANKU-K19K0-29</v>
          </cell>
          <cell r="B95" t="str">
            <v>AWFSNANKU-K19</v>
          </cell>
        </row>
        <row r="96">
          <cell r="A96" t="str">
            <v>AWFSNANKU-K19K0-30</v>
          </cell>
          <cell r="B96" t="str">
            <v>AWFSNANKU-K19</v>
          </cell>
        </row>
        <row r="97">
          <cell r="A97" t="str">
            <v>AWFSNANKU-K19K0-31</v>
          </cell>
          <cell r="B97" t="str">
            <v>AWFSNANKU-K19</v>
          </cell>
        </row>
        <row r="98">
          <cell r="A98" t="str">
            <v>AWFSNANKU-K19K0-32</v>
          </cell>
          <cell r="B98" t="str">
            <v>AWFSNANKU-K19</v>
          </cell>
        </row>
        <row r="99">
          <cell r="A99" t="str">
            <v>AWFSNANKU-K19K0-34</v>
          </cell>
          <cell r="B99" t="str">
            <v>AWFSNANKU-K19</v>
          </cell>
        </row>
        <row r="100">
          <cell r="A100" t="str">
            <v>AWFSNANKU-K19K0-36</v>
          </cell>
          <cell r="B100" t="str">
            <v>AWFSNANKU-K19</v>
          </cell>
        </row>
        <row r="101">
          <cell r="A101" t="str">
            <v>AWFSNANKU-K19K0-38</v>
          </cell>
          <cell r="B101" t="str">
            <v>AWFSNANKU-K19</v>
          </cell>
        </row>
        <row r="102">
          <cell r="A102" t="str">
            <v>AWFSNANKU-K19KQS-30</v>
          </cell>
          <cell r="B102" t="str">
            <v>AWFSNANKU-K19</v>
          </cell>
        </row>
        <row r="103">
          <cell r="A103" t="str">
            <v>AWFSNANKU-K19KQS-31</v>
          </cell>
          <cell r="B103" t="str">
            <v>AWFSNANKU-K19</v>
          </cell>
        </row>
        <row r="104">
          <cell r="A104" t="str">
            <v>AWFSNANKU-K19KQS-32</v>
          </cell>
          <cell r="B104" t="str">
            <v>AWFSNANKU-K19</v>
          </cell>
        </row>
        <row r="105">
          <cell r="A105" t="str">
            <v>AWFSNANKU-K19KQS-34</v>
          </cell>
          <cell r="B105" t="str">
            <v>AWFSNANKU-K19</v>
          </cell>
        </row>
        <row r="106">
          <cell r="A106" t="str">
            <v>AWFSNANKU-K19KQS-36</v>
          </cell>
          <cell r="B106" t="str">
            <v>AWFSNANKU-K19</v>
          </cell>
        </row>
        <row r="107">
          <cell r="A107" t="str">
            <v>AWFSNANKU-K19KQS-38</v>
          </cell>
          <cell r="B107" t="str">
            <v>AWFSNANKU-K19</v>
          </cell>
        </row>
        <row r="108">
          <cell r="A108" t="str">
            <v>AWFSNANKU-K19R0-31</v>
          </cell>
          <cell r="B108" t="str">
            <v>AWFSNANKU-K19</v>
          </cell>
        </row>
        <row r="109">
          <cell r="A109" t="str">
            <v>BBSA140*180CM</v>
          </cell>
          <cell r="B109" t="str">
            <v>BBSA</v>
          </cell>
        </row>
        <row r="110">
          <cell r="A110" t="str">
            <v>BBSA140*240CM</v>
          </cell>
          <cell r="B110" t="str">
            <v>BBSA</v>
          </cell>
        </row>
        <row r="111">
          <cell r="A111" t="str">
            <v>BBSA140*260CM</v>
          </cell>
          <cell r="B111" t="str">
            <v>BBSA</v>
          </cell>
        </row>
        <row r="112">
          <cell r="A112" t="str">
            <v>BBYIFS-2XL</v>
          </cell>
          <cell r="B112" t="str">
            <v>BBYIHS</v>
          </cell>
        </row>
        <row r="113">
          <cell r="A113" t="str">
            <v>BBYIHS-3XL</v>
          </cell>
          <cell r="B113" t="str">
            <v>BBYIHS</v>
          </cell>
        </row>
        <row r="114">
          <cell r="A114" t="str">
            <v>BBYIHS-M</v>
          </cell>
          <cell r="B114" t="str">
            <v>BBYIHS</v>
          </cell>
        </row>
        <row r="115">
          <cell r="A115" t="str">
            <v>BBYIHS-XL</v>
          </cell>
          <cell r="B115" t="str">
            <v>BBYIHS</v>
          </cell>
        </row>
        <row r="116">
          <cell r="A116" t="str">
            <v>BBYILS-2XL</v>
          </cell>
          <cell r="B116" t="str">
            <v>BBYILS</v>
          </cell>
        </row>
        <row r="117">
          <cell r="A117" t="str">
            <v>BBYILS-M</v>
          </cell>
          <cell r="B117" t="str">
            <v>BBYILS</v>
          </cell>
        </row>
        <row r="118">
          <cell r="A118" t="str">
            <v>BBYILS-XL</v>
          </cell>
          <cell r="B118" t="str">
            <v>BBYILS</v>
          </cell>
        </row>
        <row r="119">
          <cell r="A119" t="str">
            <v>BDB-001-B0</v>
          </cell>
          <cell r="B119" t="str">
            <v>BDB-001</v>
          </cell>
        </row>
        <row r="120">
          <cell r="A120" t="str">
            <v>BDB-001-G0</v>
          </cell>
          <cell r="B120" t="str">
            <v>BDB-001</v>
          </cell>
        </row>
        <row r="121">
          <cell r="A121" t="str">
            <v>BDB-001-K0</v>
          </cell>
          <cell r="B121" t="str">
            <v>BDB-001</v>
          </cell>
        </row>
        <row r="122">
          <cell r="A122" t="str">
            <v>BDB-001-R0</v>
          </cell>
          <cell r="B122" t="str">
            <v>BDB-001</v>
          </cell>
        </row>
        <row r="123">
          <cell r="A123" t="str">
            <v>BDB-001-Y0</v>
          </cell>
          <cell r="B123" t="str">
            <v>BDB-001</v>
          </cell>
        </row>
        <row r="124">
          <cell r="A124" t="str">
            <v>BDB-001-ZL</v>
          </cell>
          <cell r="B124" t="str">
            <v>BDB-001</v>
          </cell>
        </row>
        <row r="125">
          <cell r="A125" t="str">
            <v>BDB-LUHM001-B0</v>
          </cell>
          <cell r="B125" t="str">
            <v>BDB-LUHM001</v>
          </cell>
        </row>
        <row r="126">
          <cell r="A126" t="str">
            <v>BDB-LUHM001-G0</v>
          </cell>
          <cell r="B126" t="str">
            <v>BDB-LUHM001</v>
          </cell>
        </row>
        <row r="127">
          <cell r="A127" t="str">
            <v>BDB-LUHM001-K0</v>
          </cell>
          <cell r="B127" t="str">
            <v>BDB-LUHM001</v>
          </cell>
        </row>
        <row r="128">
          <cell r="A128" t="str">
            <v>BDB-LUHM001-R0</v>
          </cell>
          <cell r="B128" t="str">
            <v>BDB-LUHM001</v>
          </cell>
        </row>
        <row r="129">
          <cell r="A129" t="str">
            <v>BDB-LUHM001-Y0</v>
          </cell>
          <cell r="B129" t="str">
            <v>BDB-LUHM001</v>
          </cell>
        </row>
        <row r="130">
          <cell r="A130" t="str">
            <v>BDB-LUHM001-ZL</v>
          </cell>
          <cell r="B130" t="str">
            <v>BDB-LUHM001</v>
          </cell>
        </row>
        <row r="131">
          <cell r="A131" t="str">
            <v>BG-5CN8-7YYT</v>
          </cell>
          <cell r="B131" t="str">
            <v>BG-5CN8-7YYT</v>
          </cell>
        </row>
        <row r="132">
          <cell r="A132" t="str">
            <v>BH-E628-EYEA</v>
          </cell>
          <cell r="B132" t="str">
            <v>BH-E628-EYEA</v>
          </cell>
        </row>
        <row r="133">
          <cell r="A133" t="str">
            <v>BUDSNOWBO-L</v>
          </cell>
          <cell r="B133" t="str">
            <v>BUDSNOW</v>
          </cell>
        </row>
        <row r="134">
          <cell r="A134" t="str">
            <v>BUDSNOWBO-M</v>
          </cell>
          <cell r="B134" t="str">
            <v>BUDSNOW</v>
          </cell>
        </row>
        <row r="135">
          <cell r="A135" t="str">
            <v>BUDSNOWBO-S</v>
          </cell>
          <cell r="B135" t="str">
            <v>BUDSNOW</v>
          </cell>
        </row>
        <row r="136">
          <cell r="A136" t="str">
            <v>BUDSNOWBO-XL</v>
          </cell>
          <cell r="B136" t="str">
            <v>BUDSNOW</v>
          </cell>
        </row>
        <row r="137">
          <cell r="A137" t="str">
            <v>BUDSNOWBO-XXL</v>
          </cell>
          <cell r="B137" t="str">
            <v>BUDSNOW</v>
          </cell>
        </row>
        <row r="138">
          <cell r="A138" t="str">
            <v>BUDSNOWRO-L</v>
          </cell>
          <cell r="B138" t="str">
            <v>BUDSNOW</v>
          </cell>
        </row>
        <row r="139">
          <cell r="A139" t="str">
            <v>BUDSNOWRO-M</v>
          </cell>
          <cell r="B139" t="str">
            <v>BUDSNOW</v>
          </cell>
        </row>
        <row r="140">
          <cell r="A140" t="str">
            <v>BUDSNOWRO-S</v>
          </cell>
          <cell r="B140" t="str">
            <v>BUDSNOW</v>
          </cell>
        </row>
        <row r="141">
          <cell r="A141" t="str">
            <v>BUDSNOWRO-XL</v>
          </cell>
          <cell r="B141" t="str">
            <v>BUDSNOW</v>
          </cell>
        </row>
        <row r="142">
          <cell r="A142" t="str">
            <v>BUDSNOWRO-XXL</v>
          </cell>
          <cell r="B142" t="str">
            <v>BUDSNOW</v>
          </cell>
        </row>
        <row r="143">
          <cell r="A143" t="str">
            <v>BYZBFS140*140CM</v>
          </cell>
          <cell r="B143" t="str">
            <v>BYZBFS</v>
          </cell>
        </row>
        <row r="144">
          <cell r="A144" t="str">
            <v>BYZBFS140*180CM</v>
          </cell>
          <cell r="B144" t="str">
            <v>BYZBFS</v>
          </cell>
        </row>
        <row r="145">
          <cell r="A145" t="str">
            <v>BYZBFS140*200CM</v>
          </cell>
          <cell r="B145" t="str">
            <v>BYZBFS</v>
          </cell>
        </row>
        <row r="146">
          <cell r="A146" t="str">
            <v>BYZBFS140*220CM</v>
          </cell>
          <cell r="B146" t="str">
            <v>BYZBFS</v>
          </cell>
        </row>
        <row r="147">
          <cell r="A147" t="str">
            <v>BYZBFS140*250CM</v>
          </cell>
          <cell r="B147" t="str">
            <v>BYZBFS</v>
          </cell>
        </row>
        <row r="148">
          <cell r="A148" t="str">
            <v>BYZBFS60*60CM</v>
          </cell>
          <cell r="B148" t="str">
            <v>BYZBFS</v>
          </cell>
        </row>
        <row r="149">
          <cell r="A149" t="str">
            <v>BYZBFS90*140CM</v>
          </cell>
          <cell r="B149" t="str">
            <v>BYZBFS</v>
          </cell>
        </row>
        <row r="150">
          <cell r="A150" t="str">
            <v>BYZBFS90*90CM</v>
          </cell>
          <cell r="B150" t="str">
            <v>BYZBFS</v>
          </cell>
        </row>
        <row r="151">
          <cell r="A151" t="str">
            <v>BYZBLANS140*140CM</v>
          </cell>
          <cell r="B151" t="str">
            <v>BYZBLANS</v>
          </cell>
        </row>
        <row r="152">
          <cell r="A152" t="str">
            <v>BYZBLANS140*180CM</v>
          </cell>
          <cell r="B152" t="str">
            <v>BYZBLANS</v>
          </cell>
        </row>
        <row r="153">
          <cell r="A153" t="str">
            <v>BYZBLANS140*200CM</v>
          </cell>
          <cell r="B153" t="str">
            <v>BYZBLANS</v>
          </cell>
        </row>
        <row r="154">
          <cell r="A154" t="str">
            <v>BYZBLANS140*220CM</v>
          </cell>
          <cell r="B154" t="str">
            <v>BYZBLANS</v>
          </cell>
        </row>
        <row r="155">
          <cell r="A155" t="str">
            <v>BYZBLANS140*250CM</v>
          </cell>
          <cell r="B155" t="str">
            <v>BYZBLANS</v>
          </cell>
        </row>
        <row r="156">
          <cell r="A156" t="str">
            <v>BYZBLANS60*60CM</v>
          </cell>
          <cell r="B156" t="str">
            <v>BYZBLANS</v>
          </cell>
        </row>
        <row r="157">
          <cell r="A157" t="str">
            <v>BYZBLANS90*140CM</v>
          </cell>
          <cell r="B157" t="str">
            <v>BYZBLANS</v>
          </cell>
        </row>
        <row r="158">
          <cell r="A158" t="str">
            <v>BYZBLANS90*90CM</v>
          </cell>
          <cell r="B158" t="str">
            <v>BYZBLANS</v>
          </cell>
        </row>
        <row r="159">
          <cell r="A159" t="str">
            <v>BZXKHH628B</v>
          </cell>
          <cell r="B159" t="str">
            <v>BZXKHH628</v>
          </cell>
        </row>
        <row r="160">
          <cell r="A160" t="str">
            <v>BZXKHH628C</v>
          </cell>
          <cell r="B160" t="str">
            <v>BZXKHH628</v>
          </cell>
        </row>
        <row r="161">
          <cell r="A161" t="str">
            <v>BZXKHH628E</v>
          </cell>
          <cell r="B161" t="str">
            <v>BZXKHH628</v>
          </cell>
        </row>
        <row r="162">
          <cell r="A162" t="str">
            <v>CAGM9CUE9N-01SLXXXL</v>
          </cell>
          <cell r="B162" t="str">
            <v>CAGM9CUE9N-01</v>
          </cell>
        </row>
        <row r="163">
          <cell r="A163" t="str">
            <v>CAGM9CUE9N-04Y0XXXL</v>
          </cell>
          <cell r="B163" t="str">
            <v>CAGM9CUE9N-04</v>
          </cell>
        </row>
        <row r="164">
          <cell r="A164" t="str">
            <v>CAGMAWFSNANKU-2292B0-32</v>
          </cell>
          <cell r="B164" t="str">
            <v>CAGMAWFSNANKU-2292</v>
          </cell>
        </row>
        <row r="165">
          <cell r="A165" t="str">
            <v>CAGMAWFSNANKU-2292B0-34</v>
          </cell>
          <cell r="B165" t="str">
            <v>CAGMAWFSNANKU-2292</v>
          </cell>
        </row>
        <row r="166">
          <cell r="A166" t="str">
            <v>CAGMAWFSNANKU-2292B0-40</v>
          </cell>
          <cell r="B166" t="str">
            <v>CAGMAWFSNANKU-2292</v>
          </cell>
        </row>
        <row r="167">
          <cell r="A167" t="str">
            <v>CAGMAWFSNANKU2-JJ-G367-BHBMC-34</v>
          </cell>
          <cell r="B167" t="str">
            <v>CAGMAWFSNANKU2-JJ-G367</v>
          </cell>
        </row>
        <row r="168">
          <cell r="A168" t="str">
            <v>CAGMAWFSNANKU-HBWYB5822BS-31</v>
          </cell>
          <cell r="B168" t="str">
            <v>CAGMAWFSNANKU-HBWYB5822</v>
          </cell>
        </row>
        <row r="169">
          <cell r="A169" t="str">
            <v>CAGMAWFSNANKU-HBWYB5822BS-32</v>
          </cell>
          <cell r="B169" t="str">
            <v>CAGMAWFSNANKU-HBWYB5822</v>
          </cell>
        </row>
        <row r="170">
          <cell r="A170" t="str">
            <v>CAGMAWFSNANKU-HBWYB5822BS-34</v>
          </cell>
          <cell r="B170" t="str">
            <v>CAGMAWFSNANKU-HBWYB5822</v>
          </cell>
        </row>
        <row r="171">
          <cell r="A171" t="str">
            <v>CAGMAWFSNANKU-HBWYB5822BS-38</v>
          </cell>
          <cell r="B171" t="str">
            <v>CAGMAWFSNANKU-HBWYB5822</v>
          </cell>
        </row>
        <row r="172">
          <cell r="A172" t="str">
            <v>CAGMAWFSNANKU-HBWYB5822HS-31</v>
          </cell>
          <cell r="B172" t="str">
            <v>CAGMAWFSNANKU-HBWYB5822</v>
          </cell>
        </row>
        <row r="173">
          <cell r="A173" t="str">
            <v>CAGMAWFSNANKU-HBWYB5822HS-32</v>
          </cell>
          <cell r="B173" t="str">
            <v>CAGMAWFSNANKU-HBWYB5822</v>
          </cell>
        </row>
        <row r="174">
          <cell r="A174" t="str">
            <v>CAGMAWFSNANKU-HBWYB5822SJL-34</v>
          </cell>
          <cell r="B174" t="str">
            <v>CAGMAWFSNANKU-HBWYB5822</v>
          </cell>
        </row>
        <row r="175">
          <cell r="A175" t="str">
            <v>CAGMMIDUYD036G0M</v>
          </cell>
          <cell r="B175" t="str">
            <v>CAGMMIDUY</v>
          </cell>
        </row>
        <row r="176">
          <cell r="A176" t="str">
            <v>CAGMMZYSZHUOBUDTLEIS140*140CM</v>
          </cell>
          <cell r="B176" t="str">
            <v>CAGMMZYSZHUOBUDTLEIS</v>
          </cell>
        </row>
        <row r="177">
          <cell r="A177" t="str">
            <v>CAGMMZYSZHUOBUDTLEIS140*180CM</v>
          </cell>
          <cell r="B177" t="str">
            <v>CAGMMZYSZHUOBUDTLEIS</v>
          </cell>
        </row>
        <row r="178">
          <cell r="A178" t="str">
            <v>CAGMMZYSZHUOBUDTLEIS140*200CM</v>
          </cell>
          <cell r="B178" t="str">
            <v>CAGMMZYSZHUOBUDTLEIS</v>
          </cell>
        </row>
        <row r="179">
          <cell r="A179" t="str">
            <v>CAGMMZYSZHUOBUDTLEIS140*220CM</v>
          </cell>
          <cell r="B179" t="str">
            <v>CAGMMZYSZHUOBUDTLEIS</v>
          </cell>
        </row>
        <row r="180">
          <cell r="A180" t="str">
            <v>CAGMMZYSZHUOBUDTLEIS60*60CM</v>
          </cell>
          <cell r="B180" t="str">
            <v>CAGMMZYSZHUOBUDTLEIS</v>
          </cell>
        </row>
        <row r="181">
          <cell r="A181" t="str">
            <v>CAGMRSDXTXKZS12*10CM</v>
          </cell>
          <cell r="B181" t="str">
            <v>CAGMRSDXTXKZS</v>
          </cell>
        </row>
        <row r="182">
          <cell r="A182" t="str">
            <v>CAGMSXHLYITAO1-LH-001GO40x60CM</v>
          </cell>
          <cell r="B182" t="str">
            <v>CAGMSXHLYITAO1-LH-001</v>
          </cell>
        </row>
        <row r="183">
          <cell r="A183" t="str">
            <v>CAGMSXHLYITAO5-LH-001YHS40x60CM</v>
          </cell>
          <cell r="B183" t="str">
            <v>CAGMSXHLYITAO5-LH-001</v>
          </cell>
        </row>
        <row r="184">
          <cell r="A184" t="str">
            <v>CAGMYDY-YUNDONGK-8756BLS-L</v>
          </cell>
          <cell r="B184" t="str">
            <v>CAGMYDY-YUNDONGK-8756</v>
          </cell>
        </row>
        <row r="185">
          <cell r="A185" t="str">
            <v>CAGMYDY-YUNDONGK-8756BLS-M</v>
          </cell>
          <cell r="B185" t="str">
            <v>CAGMYDY-YUNDONGK-8756</v>
          </cell>
        </row>
        <row r="186">
          <cell r="A186" t="str">
            <v>CAGMYDY-YUNDONGK-8756BLS-XL</v>
          </cell>
          <cell r="B186" t="str">
            <v>CAGMYDY-YUNDONGK-8756</v>
          </cell>
        </row>
        <row r="187">
          <cell r="A187" t="str">
            <v>CAGMYDY-YUNDONGK-8756BLS-XXL</v>
          </cell>
          <cell r="B187" t="str">
            <v>CAGMYDY-YUNDONGK-8756</v>
          </cell>
        </row>
        <row r="188">
          <cell r="A188" t="str">
            <v>CAGMYDY-YUNDONGK-8756K0-L</v>
          </cell>
          <cell r="B188" t="str">
            <v>CAGMYDY-YUNDONGK-8756</v>
          </cell>
        </row>
        <row r="189">
          <cell r="A189" t="str">
            <v>CAGMYDY-YUNDONGK-8756K0-M</v>
          </cell>
          <cell r="B189" t="str">
            <v>CAGMYDY-YUNDONGK-8756</v>
          </cell>
        </row>
        <row r="190">
          <cell r="A190" t="str">
            <v>CAGMYDY-YUNDONGK-8756K0-XL</v>
          </cell>
          <cell r="B190" t="str">
            <v>CAGMYDY-YUNDONGK-8756</v>
          </cell>
        </row>
        <row r="191">
          <cell r="A191" t="str">
            <v>CAGMYMQYQZBBKSC140*160CM</v>
          </cell>
          <cell r="B191" t="str">
            <v>CAGMYMQYQZBBKSC</v>
          </cell>
        </row>
        <row r="192">
          <cell r="A192" t="str">
            <v>CAGMYY2009L</v>
          </cell>
          <cell r="B192" t="str">
            <v>CAGMYY</v>
          </cell>
        </row>
        <row r="193">
          <cell r="A193" t="str">
            <v>CAGMYY2127GRL</v>
          </cell>
          <cell r="B193" t="str">
            <v>CAGMYY</v>
          </cell>
        </row>
        <row r="194">
          <cell r="A194" t="str">
            <v>CAGMZAKKA0627B025*32CM</v>
          </cell>
          <cell r="B194" t="str">
            <v>CAGMZAKKA0627</v>
          </cell>
        </row>
        <row r="195">
          <cell r="A195" t="str">
            <v>CAGMZXXAFS-S</v>
          </cell>
          <cell r="B195" t="str">
            <v>CAGMZXXAFS</v>
          </cell>
        </row>
        <row r="196">
          <cell r="A196" t="str">
            <v>CL-UN1G-DNUH</v>
          </cell>
          <cell r="B196" t="str">
            <v>CL-UN1G-DNUH</v>
          </cell>
        </row>
        <row r="197">
          <cell r="A197" t="str">
            <v>CWGQYS-BDB0L</v>
          </cell>
          <cell r="B197" t="str">
            <v>CWGQYS</v>
          </cell>
        </row>
        <row r="198">
          <cell r="A198" t="str">
            <v>CWGQYS-BDB0M</v>
          </cell>
          <cell r="B198" t="str">
            <v>CWGQYS</v>
          </cell>
        </row>
        <row r="199">
          <cell r="A199" t="str">
            <v>CWGQYS-BDB0S</v>
          </cell>
          <cell r="B199" t="str">
            <v>CWGQYS</v>
          </cell>
        </row>
        <row r="200">
          <cell r="A200" t="str">
            <v>CWGQYS-BDB0XL</v>
          </cell>
          <cell r="B200" t="str">
            <v>CWGQYS</v>
          </cell>
        </row>
        <row r="201">
          <cell r="A201" t="str">
            <v>CWGQYS-BDG01L</v>
          </cell>
          <cell r="B201" t="str">
            <v>CWGQYS</v>
          </cell>
        </row>
        <row r="202">
          <cell r="A202" t="str">
            <v>CWGQYS-BDG01M</v>
          </cell>
          <cell r="B202" t="str">
            <v>CWGQYS</v>
          </cell>
        </row>
        <row r="203">
          <cell r="A203" t="str">
            <v>CWGQYS-BDG01S</v>
          </cell>
          <cell r="B203" t="str">
            <v>CWGQYS</v>
          </cell>
        </row>
        <row r="204">
          <cell r="A204" t="str">
            <v>CWGQYS-BDG01XL</v>
          </cell>
          <cell r="B204" t="str">
            <v>CWGQYS</v>
          </cell>
        </row>
        <row r="205">
          <cell r="A205" t="str">
            <v>CWGQYS-BDK0L</v>
          </cell>
          <cell r="B205" t="str">
            <v>CWGQYS</v>
          </cell>
        </row>
        <row r="206">
          <cell r="A206" t="str">
            <v>CWGQYS-BDK0M</v>
          </cell>
          <cell r="B206" t="str">
            <v>CWGQYS</v>
          </cell>
        </row>
        <row r="207">
          <cell r="A207" t="str">
            <v>CWGQYS-BDK0S</v>
          </cell>
          <cell r="B207" t="str">
            <v>CWGQYS</v>
          </cell>
        </row>
        <row r="208">
          <cell r="A208" t="str">
            <v>CWGQYS-BDK0XL</v>
          </cell>
          <cell r="B208" t="str">
            <v>CWGQYS</v>
          </cell>
        </row>
        <row r="209">
          <cell r="A209" t="str">
            <v>CWGQYS-BDR0L</v>
          </cell>
          <cell r="B209" t="str">
            <v>CWGQYS</v>
          </cell>
        </row>
        <row r="210">
          <cell r="A210" t="str">
            <v>CWGQYS-BDR0M</v>
          </cell>
          <cell r="B210" t="str">
            <v>CWGQYS</v>
          </cell>
        </row>
        <row r="211">
          <cell r="A211" t="str">
            <v>CWGQYS-BDR0S</v>
          </cell>
          <cell r="B211" t="str">
            <v>CWGQYS</v>
          </cell>
        </row>
        <row r="212">
          <cell r="A212" t="str">
            <v>CWGQYS-BDR0XL</v>
          </cell>
          <cell r="B212" t="str">
            <v>CWGQYS</v>
          </cell>
        </row>
        <row r="213">
          <cell r="A213" t="str">
            <v>CWGQYS-XSB0L</v>
          </cell>
          <cell r="B213" t="str">
            <v>CWGQYS</v>
          </cell>
        </row>
        <row r="214">
          <cell r="A214" t="str">
            <v>CWGQYS-XSB0M</v>
          </cell>
          <cell r="B214" t="str">
            <v>CWGQYS</v>
          </cell>
        </row>
        <row r="215">
          <cell r="A215" t="str">
            <v>CWGQYS-XSB0S</v>
          </cell>
          <cell r="B215" t="str">
            <v>CWGQYS</v>
          </cell>
        </row>
        <row r="216">
          <cell r="A216" t="str">
            <v>CWGQYS-XSB0XL</v>
          </cell>
          <cell r="B216" t="str">
            <v>CWGQYS</v>
          </cell>
        </row>
        <row r="217">
          <cell r="A217" t="str">
            <v>CWGQYS-XSK0L</v>
          </cell>
          <cell r="B217" t="str">
            <v>CWGQYS</v>
          </cell>
        </row>
        <row r="218">
          <cell r="A218" t="str">
            <v>CWGQYS-XSK0M</v>
          </cell>
          <cell r="B218" t="str">
            <v>CWGQYS</v>
          </cell>
        </row>
        <row r="219">
          <cell r="A219" t="str">
            <v>CWGQYS-XSK0S</v>
          </cell>
          <cell r="B219" t="str">
            <v>CWGQYS</v>
          </cell>
        </row>
        <row r="220">
          <cell r="A220" t="str">
            <v>CWGQYS-XSK0XL</v>
          </cell>
          <cell r="B220" t="str">
            <v>CWGQYS</v>
          </cell>
        </row>
        <row r="221">
          <cell r="A221" t="str">
            <v>CWGQYS-XSR0L</v>
          </cell>
          <cell r="B221" t="str">
            <v>CWGQYS</v>
          </cell>
        </row>
        <row r="222">
          <cell r="A222" t="str">
            <v>CWGQYS-XSR0M</v>
          </cell>
          <cell r="B222" t="str">
            <v>CWGQYS</v>
          </cell>
        </row>
        <row r="223">
          <cell r="A223" t="str">
            <v>CWGQYS-XSR0S</v>
          </cell>
          <cell r="B223" t="str">
            <v>CWGQYS</v>
          </cell>
        </row>
        <row r="224">
          <cell r="A224" t="str">
            <v>CWGQYS-XSR0XL</v>
          </cell>
          <cell r="B224" t="str">
            <v>CWGQYS</v>
          </cell>
        </row>
        <row r="225">
          <cell r="A225" t="str">
            <v>CWGWMB0M</v>
          </cell>
          <cell r="B225" t="str">
            <v>CWGWMB0</v>
          </cell>
        </row>
        <row r="226">
          <cell r="A226" t="str">
            <v>CWGWMB0S</v>
          </cell>
          <cell r="B226" t="str">
            <v>CWGWMB0</v>
          </cell>
        </row>
        <row r="227">
          <cell r="A227" t="str">
            <v>CWGWMB0XL</v>
          </cell>
          <cell r="B227" t="str">
            <v>CWGWMB0</v>
          </cell>
        </row>
        <row r="228">
          <cell r="A228" t="str">
            <v>CWGWM-HSCHM</v>
          </cell>
          <cell r="B228" t="str">
            <v>CWGWM-HS</v>
          </cell>
        </row>
        <row r="229">
          <cell r="A229" t="str">
            <v>CWGWM-HSCHS</v>
          </cell>
          <cell r="B229" t="str">
            <v>CWGWM-HS</v>
          </cell>
        </row>
        <row r="230">
          <cell r="A230" t="str">
            <v>CWGWM-HSG01L</v>
          </cell>
          <cell r="B230" t="str">
            <v>CWGWM-HS</v>
          </cell>
        </row>
        <row r="231">
          <cell r="A231" t="str">
            <v>CWGWMR0XL</v>
          </cell>
          <cell r="B231" t="str">
            <v>CWGWMR0</v>
          </cell>
        </row>
        <row r="232">
          <cell r="A232" t="str">
            <v>CWGWM-TDB0</v>
          </cell>
          <cell r="B232" t="str">
            <v>CWGWM-TD</v>
          </cell>
        </row>
        <row r="233">
          <cell r="A233" t="str">
            <v>CWGWM-TDE0</v>
          </cell>
          <cell r="B233" t="str">
            <v>CWGWM-TD</v>
          </cell>
        </row>
        <row r="234">
          <cell r="A234" t="str">
            <v>CWGWM-TDJS</v>
          </cell>
          <cell r="B234" t="str">
            <v>CWGWM-TD</v>
          </cell>
        </row>
        <row r="235">
          <cell r="A235" t="str">
            <v>CWGWM-TDZS</v>
          </cell>
          <cell r="B235" t="str">
            <v>CWGWM-TD</v>
          </cell>
        </row>
        <row r="236">
          <cell r="A236" t="str">
            <v>CWGWM-XJY0M</v>
          </cell>
          <cell r="B236" t="str">
            <v>CWGWM-XJ</v>
          </cell>
        </row>
        <row r="237">
          <cell r="A237" t="str">
            <v>CWYFYLRAXXL</v>
          </cell>
          <cell r="B237" t="str">
            <v>CWYFYLR-WY</v>
          </cell>
        </row>
        <row r="238">
          <cell r="A238" t="str">
            <v>CWYFYLRB0XS</v>
          </cell>
          <cell r="B238" t="str">
            <v>CWYFYLR-WY</v>
          </cell>
        </row>
        <row r="239">
          <cell r="A239" t="str">
            <v>CWYFYLRXHXL</v>
          </cell>
          <cell r="B239" t="str">
            <v>CWYFYLR-WY</v>
          </cell>
        </row>
        <row r="240">
          <cell r="A240" t="str">
            <v>CWYFYLRXHXXL</v>
          </cell>
          <cell r="B240" t="str">
            <v>CWYFYLR-WY</v>
          </cell>
        </row>
        <row r="241">
          <cell r="A241" t="str">
            <v>D7-K3RX-7XQQ</v>
          </cell>
          <cell r="B241" t="str">
            <v>D7-K3RX-7XQQ</v>
          </cell>
        </row>
        <row r="242">
          <cell r="A242" t="str">
            <v>DC-IULCY-001-BLNPK</v>
          </cell>
          <cell r="B242" t="str">
            <v>DC-IULCY-001</v>
          </cell>
        </row>
        <row r="243">
          <cell r="A243" t="str">
            <v>DC-IULCY-001-GRNRD</v>
          </cell>
          <cell r="B243" t="str">
            <v>DC-IULCY-001</v>
          </cell>
        </row>
        <row r="244">
          <cell r="A244" t="str">
            <v>DC-IULCY-001-LBNGD</v>
          </cell>
          <cell r="B244" t="str">
            <v>DC-IULCY-001</v>
          </cell>
        </row>
        <row r="245">
          <cell r="A245" t="str">
            <v>DC-IULCY-001-PKNGR</v>
          </cell>
          <cell r="B245" t="str">
            <v>DC-IULCY-001</v>
          </cell>
        </row>
        <row r="246">
          <cell r="A246" t="str">
            <v>DDK1DFS-XL</v>
          </cell>
          <cell r="B246" t="str">
            <v>DDK1</v>
          </cell>
        </row>
        <row r="247">
          <cell r="A247" t="str">
            <v>DDK1HI-M</v>
          </cell>
          <cell r="B247" t="str">
            <v>DDK1</v>
          </cell>
        </row>
        <row r="248">
          <cell r="A248" t="str">
            <v>DDK1KFS-XL</v>
          </cell>
          <cell r="B248" t="str">
            <v>DDK1</v>
          </cell>
        </row>
        <row r="249">
          <cell r="A249" t="str">
            <v>DDK1LS-L</v>
          </cell>
          <cell r="B249" t="str">
            <v>DDK1</v>
          </cell>
        </row>
        <row r="250">
          <cell r="A250" t="str">
            <v>DDK1LS-M</v>
          </cell>
          <cell r="B250" t="str">
            <v>DDK1</v>
          </cell>
        </row>
        <row r="251">
          <cell r="A251" t="str">
            <v>DDK1LS-XL</v>
          </cell>
          <cell r="B251" t="str">
            <v>DDK1</v>
          </cell>
        </row>
        <row r="252">
          <cell r="A252" t="str">
            <v>DDK2-L</v>
          </cell>
          <cell r="B252" t="str">
            <v>DDK2</v>
          </cell>
        </row>
        <row r="253">
          <cell r="A253" t="str">
            <v>DDK2-M</v>
          </cell>
          <cell r="B253" t="str">
            <v>DDK2</v>
          </cell>
        </row>
        <row r="254">
          <cell r="A254" t="str">
            <v>DDK2-S</v>
          </cell>
          <cell r="B254" t="str">
            <v>DDK2</v>
          </cell>
        </row>
        <row r="255">
          <cell r="A255" t="str">
            <v>DDK2-XL</v>
          </cell>
          <cell r="B255" t="str">
            <v>DDK2</v>
          </cell>
        </row>
        <row r="256">
          <cell r="A256" t="str">
            <v>DDK5FS-M</v>
          </cell>
          <cell r="B256" t="str">
            <v>DDK5</v>
          </cell>
        </row>
        <row r="257">
          <cell r="A257" t="str">
            <v>DDK5FS-XL</v>
          </cell>
          <cell r="B257" t="str">
            <v>DDK5</v>
          </cell>
        </row>
        <row r="258">
          <cell r="A258" t="str">
            <v>DDK5JH-L</v>
          </cell>
          <cell r="B258" t="str">
            <v>DDK5</v>
          </cell>
        </row>
        <row r="259">
          <cell r="A259" t="str">
            <v>DDK5JH-M</v>
          </cell>
          <cell r="B259" t="str">
            <v>DDK5</v>
          </cell>
        </row>
        <row r="260">
          <cell r="A260" t="str">
            <v>DDK5KQ-M</v>
          </cell>
          <cell r="B260" t="str">
            <v>DDK5</v>
          </cell>
        </row>
        <row r="261">
          <cell r="A261" t="str">
            <v>DDK5KQ-XL</v>
          </cell>
          <cell r="B261" t="str">
            <v>DDK5</v>
          </cell>
        </row>
        <row r="262">
          <cell r="A262" t="str">
            <v>DDZBMIS140*140CM</v>
          </cell>
          <cell r="B262" t="str">
            <v>DDZBMIS</v>
          </cell>
        </row>
        <row r="263">
          <cell r="A263" t="str">
            <v>DJSCZHUOBUCSAQHS110*140CM</v>
          </cell>
          <cell r="B263" t="str">
            <v>DJSCZHUOBUCSAQHS</v>
          </cell>
        </row>
        <row r="264">
          <cell r="A264" t="str">
            <v>DJSCZHUOBUCSAQHS140*140CM</v>
          </cell>
          <cell r="B264" t="str">
            <v>DJSCZHUOBUCSAQHS</v>
          </cell>
        </row>
        <row r="265">
          <cell r="A265" t="str">
            <v>DJSCZHUOBUCSAQHS140*180CM</v>
          </cell>
          <cell r="B265" t="str">
            <v>DJSCZHUOBUCSAQHS</v>
          </cell>
        </row>
        <row r="266">
          <cell r="A266" t="str">
            <v>DJSCZHUOBUCSAQHS140*200CM</v>
          </cell>
          <cell r="B266" t="str">
            <v>DJSCZHUOBUCSAQHS</v>
          </cell>
        </row>
        <row r="267">
          <cell r="A267" t="str">
            <v>DJSCZHUOBUCSAQHS140*220CM</v>
          </cell>
          <cell r="B267" t="str">
            <v>DJSCZHUOBUCSAQHS</v>
          </cell>
        </row>
        <row r="268">
          <cell r="A268" t="str">
            <v>DJSCZHUOBUCSHXHSHS140*140CM</v>
          </cell>
          <cell r="B268" t="str">
            <v>DJSCZHUOBUCSHXHSHS</v>
          </cell>
        </row>
        <row r="269">
          <cell r="A269" t="str">
            <v>DJSCZHUOBULKW0100*150CM</v>
          </cell>
          <cell r="B269" t="str">
            <v>DJSCZHUOBULKW0</v>
          </cell>
        </row>
        <row r="270">
          <cell r="A270" t="str">
            <v>DJSCZHUOBULKW0140*180CM</v>
          </cell>
          <cell r="B270" t="str">
            <v>DJSCZHUOBULKW0</v>
          </cell>
        </row>
        <row r="271">
          <cell r="A271" t="str">
            <v>DJSCZHUOBULKW0DIAMETER120CM</v>
          </cell>
          <cell r="B271" t="str">
            <v>DJSCZHUOBULKW0DIAMETER</v>
          </cell>
        </row>
        <row r="272">
          <cell r="A272" t="str">
            <v>DJSCZHUOBULKW0DIAMETER150CM</v>
          </cell>
          <cell r="B272" t="str">
            <v>DJSCZHUOBULKW0DIAMETER</v>
          </cell>
        </row>
        <row r="273">
          <cell r="A273" t="str">
            <v>DL002-DX</v>
          </cell>
          <cell r="B273" t="str">
            <v>DL002-DX</v>
          </cell>
        </row>
        <row r="274">
          <cell r="A274" t="str">
            <v>DLJJZHUOBU-BGZW0100x140CM</v>
          </cell>
          <cell r="B274" t="str">
            <v>DLJJZHUOBU-BGZW0</v>
          </cell>
        </row>
        <row r="275">
          <cell r="A275" t="str">
            <v>DLJJZHUOBU-BGZW0140x140CM</v>
          </cell>
          <cell r="B275" t="str">
            <v>DLJJZHUOBU-BGZW0</v>
          </cell>
        </row>
        <row r="276">
          <cell r="A276" t="str">
            <v>DLJJZHUOBU-BGZW0140x160CM</v>
          </cell>
          <cell r="B276" t="str">
            <v>DLJJZHUOBU-BGZW0</v>
          </cell>
        </row>
        <row r="277">
          <cell r="A277" t="str">
            <v>DLJJZHUOBU-BGZW0140x180CM</v>
          </cell>
          <cell r="B277" t="str">
            <v>DLJJZHUOBU-BGZW0</v>
          </cell>
        </row>
        <row r="278">
          <cell r="A278" t="str">
            <v>DLJJZHUOBU-BGZW0140x200CM</v>
          </cell>
          <cell r="B278" t="str">
            <v>DLJJZHUOBU-BGZW0</v>
          </cell>
        </row>
        <row r="279">
          <cell r="A279" t="str">
            <v>DLJJZHUOBU-BGZW0140x220CM</v>
          </cell>
          <cell r="B279" t="str">
            <v>DLJJZHUOBU-BGZW0</v>
          </cell>
        </row>
        <row r="280">
          <cell r="A280" t="str">
            <v>DLJJZHUOBU-BGZW0140x250CM</v>
          </cell>
          <cell r="B280" t="str">
            <v>DLJJZHUOBU-BGZW0</v>
          </cell>
        </row>
        <row r="281">
          <cell r="A281" t="str">
            <v>DLJJZHUOBU-BGZW070x70CM</v>
          </cell>
          <cell r="B281" t="str">
            <v>DLJJZHUOBU-BGZW0</v>
          </cell>
        </row>
        <row r="282">
          <cell r="A282" t="str">
            <v>DLJJZHUOBU-BLGZGZ140x280cm</v>
          </cell>
          <cell r="B282" t="str">
            <v>DLJJZHUOBU-BLGZGZ</v>
          </cell>
        </row>
        <row r="283">
          <cell r="A283" t="str">
            <v>DLJJZHUOBU-DSGZGZ100x100CM</v>
          </cell>
          <cell r="B283" t="str">
            <v>DLJJZHUOBU-DSGZGZ</v>
          </cell>
        </row>
        <row r="284">
          <cell r="A284" t="str">
            <v>DLJJZHUOBU-DSGZGZ100x140CM</v>
          </cell>
          <cell r="B284" t="str">
            <v>DLJJZHUOBU-DSGZGZ</v>
          </cell>
        </row>
        <row r="285">
          <cell r="A285" t="str">
            <v>DLJJZHUOBU-DSGZGZ140x140CM</v>
          </cell>
          <cell r="B285" t="str">
            <v>DLJJZHUOBU-DSGZGZ</v>
          </cell>
        </row>
        <row r="286">
          <cell r="A286" t="str">
            <v>DLJJZHUOBU-DSGZGZ140x180CM</v>
          </cell>
          <cell r="B286" t="str">
            <v>DLJJZHUOBU-DSGZGZ</v>
          </cell>
        </row>
        <row r="287">
          <cell r="A287" t="str">
            <v>DLJJZHUOBU-DSGZGZ140x220CM</v>
          </cell>
          <cell r="B287" t="str">
            <v>DLJJZHUOBU-DSGZGZ</v>
          </cell>
        </row>
        <row r="288">
          <cell r="A288" t="str">
            <v>DLJJZHUOBU-DSGZGZ140x250CM</v>
          </cell>
          <cell r="B288" t="str">
            <v>DLJJZHUOBU-DSGZGZ</v>
          </cell>
        </row>
        <row r="289">
          <cell r="A289" t="str">
            <v>DLJJZHUOBU-HGZE0140x160CM</v>
          </cell>
          <cell r="B289" t="str">
            <v>DLJJZHUOBU-HG</v>
          </cell>
        </row>
        <row r="290">
          <cell r="A290" t="str">
            <v>DLJJZHUOBU-HSGZK0140x140CM</v>
          </cell>
          <cell r="B290" t="str">
            <v>DLJJZHUOBU-HSGZK0</v>
          </cell>
        </row>
        <row r="291">
          <cell r="A291" t="str">
            <v>DLJJZHUOBU-YHYH130x180CM</v>
          </cell>
          <cell r="B291" t="str">
            <v>DLJJZHUOBU-YHYH</v>
          </cell>
        </row>
        <row r="292">
          <cell r="A292" t="str">
            <v>DZ-IUYL200-BK</v>
          </cell>
          <cell r="B292" t="str">
            <v>DZ-IUYL200</v>
          </cell>
        </row>
        <row r="293">
          <cell r="A293" t="str">
            <v>DZ-IUYL200-GR</v>
          </cell>
          <cell r="B293" t="str">
            <v>DZ-IUYL200</v>
          </cell>
        </row>
        <row r="294">
          <cell r="A294" t="str">
            <v>DZ-IUYL210-BK</v>
          </cell>
          <cell r="B294" t="str">
            <v>DZ-IUYL210</v>
          </cell>
        </row>
        <row r="295">
          <cell r="A295" t="str">
            <v>DZ-IUYL210-CF</v>
          </cell>
          <cell r="B295" t="str">
            <v>DZ-IUYL210</v>
          </cell>
        </row>
        <row r="296">
          <cell r="A296" t="str">
            <v>DZ-IUYL210-GR</v>
          </cell>
          <cell r="B296" t="str">
            <v>DZ-IUYL210</v>
          </cell>
        </row>
        <row r="297">
          <cell r="A297" t="str">
            <v>DZ-IUYL210-KK</v>
          </cell>
          <cell r="B297" t="str">
            <v>DZ-IUYL210</v>
          </cell>
        </row>
        <row r="298">
          <cell r="A298" t="str">
            <v>DZ-IUYL220-BK</v>
          </cell>
          <cell r="B298" t="str">
            <v>DZ-IUYL220</v>
          </cell>
        </row>
        <row r="299">
          <cell r="A299" t="str">
            <v>DZ-IUYL220-GR</v>
          </cell>
          <cell r="B299" t="str">
            <v>DZ-IUYL220</v>
          </cell>
        </row>
        <row r="300">
          <cell r="A300" t="str">
            <v>ETYIBLUE-L</v>
          </cell>
          <cell r="B300" t="str">
            <v>ETYIBLUE</v>
          </cell>
        </row>
        <row r="301">
          <cell r="A301" t="str">
            <v>ETYIBLUE-M</v>
          </cell>
          <cell r="B301" t="str">
            <v>ETYIBLUE</v>
          </cell>
        </row>
        <row r="302">
          <cell r="A302" t="str">
            <v>ETYIBLUE-M-2</v>
          </cell>
          <cell r="B302" t="str">
            <v>ETYIBLUE</v>
          </cell>
        </row>
        <row r="303">
          <cell r="A303" t="str">
            <v>ETYIBLUE-S</v>
          </cell>
          <cell r="B303" t="str">
            <v>ETYIBLUE</v>
          </cell>
        </row>
        <row r="304">
          <cell r="A304" t="str">
            <v>ETYIBLUE-S-2</v>
          </cell>
          <cell r="B304" t="str">
            <v>ETYIBLUE</v>
          </cell>
        </row>
        <row r="305">
          <cell r="A305" t="str">
            <v>ETYIBLUE-XL</v>
          </cell>
          <cell r="B305" t="str">
            <v>ETYIBLUE</v>
          </cell>
        </row>
        <row r="306">
          <cell r="A306" t="str">
            <v>ETYIMC-L</v>
          </cell>
          <cell r="B306" t="str">
            <v>ETYIMC</v>
          </cell>
        </row>
        <row r="307">
          <cell r="A307" t="str">
            <v>ETYIMC-L-2</v>
          </cell>
          <cell r="B307" t="str">
            <v>ETYIMC</v>
          </cell>
        </row>
        <row r="308">
          <cell r="A308" t="str">
            <v>ETYIMC-L-3</v>
          </cell>
          <cell r="B308" t="str">
            <v>ETYIMC</v>
          </cell>
        </row>
        <row r="309">
          <cell r="A309" t="str">
            <v>ETYIMC-M</v>
          </cell>
          <cell r="B309" t="str">
            <v>ETYIMC</v>
          </cell>
        </row>
        <row r="310">
          <cell r="A310" t="str">
            <v>ETYIMC-M-2</v>
          </cell>
          <cell r="B310" t="str">
            <v>ETYIMC</v>
          </cell>
        </row>
        <row r="311">
          <cell r="A311" t="str">
            <v>ETYIMC-S</v>
          </cell>
          <cell r="B311" t="str">
            <v>ETYIMC</v>
          </cell>
        </row>
        <row r="312">
          <cell r="A312" t="str">
            <v>ETYIMC-XL</v>
          </cell>
          <cell r="B312" t="str">
            <v>ETYIMC</v>
          </cell>
        </row>
        <row r="313">
          <cell r="A313" t="str">
            <v>ETYIM-S-2</v>
          </cell>
          <cell r="B313" t="str">
            <v>ETYIM</v>
          </cell>
        </row>
        <row r="314">
          <cell r="A314" t="str">
            <v>ETYIYELLOW-L</v>
          </cell>
          <cell r="B314" t="str">
            <v>ETYIYELLOW</v>
          </cell>
        </row>
        <row r="315">
          <cell r="A315" t="str">
            <v>ETYIYELLOW-M</v>
          </cell>
          <cell r="B315" t="str">
            <v>ETYIYELLOW</v>
          </cell>
        </row>
        <row r="316">
          <cell r="A316" t="str">
            <v>ETYIYELLOW-S</v>
          </cell>
          <cell r="B316" t="str">
            <v>ETYIYELLOW</v>
          </cell>
        </row>
        <row r="317">
          <cell r="A317" t="str">
            <v>ETYIYELLOW-S-2</v>
          </cell>
          <cell r="B317" t="str">
            <v>ETYIYELLOW</v>
          </cell>
        </row>
        <row r="318">
          <cell r="A318" t="str">
            <v>ETYIYELLOW-XL</v>
          </cell>
          <cell r="B318" t="str">
            <v>ETYIYELLOW</v>
          </cell>
        </row>
        <row r="319">
          <cell r="A319" t="str">
            <v>ETYIYUANDIAN-L</v>
          </cell>
          <cell r="B319" t="str">
            <v>ETYIYUANDIAN</v>
          </cell>
        </row>
        <row r="320">
          <cell r="A320" t="str">
            <v>ETYIYUANDIAN-M</v>
          </cell>
          <cell r="B320" t="str">
            <v>ETYIYUANDIAN</v>
          </cell>
        </row>
        <row r="321">
          <cell r="A321" t="str">
            <v>ETYIYUANDIAN-S</v>
          </cell>
          <cell r="B321" t="str">
            <v>ETYIYUANDIAN</v>
          </cell>
        </row>
        <row r="322">
          <cell r="A322" t="str">
            <v>ETYIYUANDIAN-S-2</v>
          </cell>
          <cell r="B322" t="str">
            <v>ETYIYUANDIAN</v>
          </cell>
        </row>
        <row r="323">
          <cell r="A323" t="str">
            <v>ETYIYUANDIAN-XL</v>
          </cell>
          <cell r="B323" t="str">
            <v>ETYIYUANDIAN</v>
          </cell>
        </row>
        <row r="324">
          <cell r="A324" t="str">
            <v>FMHSGJH67*20CM</v>
          </cell>
          <cell r="B324" t="str">
            <v>FMHSGJH</v>
          </cell>
        </row>
        <row r="325">
          <cell r="A325" t="str">
            <v>FREEQYS</v>
          </cell>
          <cell r="B325" t="str">
            <v>FREEQYS</v>
          </cell>
        </row>
        <row r="326">
          <cell r="A326" t="str">
            <v>FRPPYSCBB064CM*10K</v>
          </cell>
          <cell r="B326" t="str">
            <v>FRPPYSCBK</v>
          </cell>
        </row>
        <row r="327">
          <cell r="A327" t="str">
            <v>FRPPYSCBK064CM*10K</v>
          </cell>
          <cell r="B327" t="str">
            <v>FRPPYSCBK</v>
          </cell>
        </row>
        <row r="328">
          <cell r="A328" t="str">
            <v>FRPPYSCBKF64CM*10K</v>
          </cell>
          <cell r="B328" t="str">
            <v>FRPPYSCBK</v>
          </cell>
        </row>
        <row r="329">
          <cell r="A329" t="str">
            <v>FRPPYSCBP064CM*10K</v>
          </cell>
          <cell r="B329" t="str">
            <v>FRPPYSCBK</v>
          </cell>
        </row>
        <row r="330">
          <cell r="A330" t="str">
            <v>FRPPYSCBR064CM*10K</v>
          </cell>
          <cell r="B330" t="str">
            <v>FRPPYSCBK</v>
          </cell>
        </row>
        <row r="331">
          <cell r="A331" t="str">
            <v>FSFZB001BLRO160CM</v>
          </cell>
          <cell r="B331" t="str">
            <v>FSFZB001</v>
          </cell>
        </row>
        <row r="332">
          <cell r="A332" t="str">
            <v>FSFZB001BLRO180CM</v>
          </cell>
          <cell r="B332" t="str">
            <v>FSFZB001</v>
          </cell>
        </row>
        <row r="333">
          <cell r="A333" t="str">
            <v>FSFZB001BLRO200CM</v>
          </cell>
          <cell r="B333" t="str">
            <v>FSFZB001</v>
          </cell>
        </row>
        <row r="334">
          <cell r="A334" t="str">
            <v>FSFZB001BLRO220CM</v>
          </cell>
          <cell r="B334" t="str">
            <v>FSFZB001</v>
          </cell>
        </row>
        <row r="335">
          <cell r="A335" t="str">
            <v>FSFZB001JHRO160CM</v>
          </cell>
          <cell r="B335" t="str">
            <v>FSFZB001</v>
          </cell>
        </row>
        <row r="336">
          <cell r="A336" t="str">
            <v>FSFZB001JHRO180CM</v>
          </cell>
          <cell r="B336" t="str">
            <v>FSFZB001</v>
          </cell>
        </row>
        <row r="337">
          <cell r="A337" t="str">
            <v>FSFZB001JHRO200CM</v>
          </cell>
          <cell r="B337" t="str">
            <v>FSFZB001</v>
          </cell>
        </row>
        <row r="338">
          <cell r="A338" t="str">
            <v>FSFZB001JHRO220CM</v>
          </cell>
          <cell r="B338" t="str">
            <v>FSFZB001</v>
          </cell>
        </row>
        <row r="339">
          <cell r="A339" t="str">
            <v>FSFZB001W0RO160CM</v>
          </cell>
          <cell r="B339" t="str">
            <v>FSFZB001</v>
          </cell>
        </row>
        <row r="340">
          <cell r="A340" t="str">
            <v>FSFZB001W0RO180CM</v>
          </cell>
          <cell r="B340" t="str">
            <v>FSFZB001</v>
          </cell>
        </row>
        <row r="341">
          <cell r="A341" t="str">
            <v>FSFZB001W0RO200CM</v>
          </cell>
          <cell r="B341" t="str">
            <v>FSFZB001</v>
          </cell>
        </row>
        <row r="342">
          <cell r="A342" t="str">
            <v>FSFZB001W0RO220CM</v>
          </cell>
          <cell r="B342" t="str">
            <v>FSFZB001</v>
          </cell>
        </row>
        <row r="343">
          <cell r="A343" t="str">
            <v>FSFZB006J0RO160CM</v>
          </cell>
          <cell r="B343" t="str">
            <v>FSFZB006</v>
          </cell>
        </row>
        <row r="344">
          <cell r="A344" t="str">
            <v>FSFZB006J0RO180CM</v>
          </cell>
          <cell r="B344" t="str">
            <v>FSFZB006</v>
          </cell>
        </row>
        <row r="345">
          <cell r="A345" t="str">
            <v>FSFZB006J0RO220CM</v>
          </cell>
          <cell r="B345" t="str">
            <v>FSFZB006</v>
          </cell>
        </row>
        <row r="346">
          <cell r="A346" t="str">
            <v>FSFZB006J0RO280CM</v>
          </cell>
          <cell r="B346" t="str">
            <v>FSFZB006</v>
          </cell>
        </row>
        <row r="347">
          <cell r="A347" t="str">
            <v>FSFZB006J0RO320CM</v>
          </cell>
          <cell r="B347" t="str">
            <v>FSFZB006</v>
          </cell>
        </row>
        <row r="348">
          <cell r="A348" t="str">
            <v>FSFZB006QSRO160CM</v>
          </cell>
          <cell r="B348" t="str">
            <v>FSFZB006</v>
          </cell>
        </row>
        <row r="349">
          <cell r="A349" t="str">
            <v>FSFZB006QSRO180CM</v>
          </cell>
          <cell r="B349" t="str">
            <v>FSFZB006</v>
          </cell>
        </row>
        <row r="350">
          <cell r="A350" t="str">
            <v>FSFZB006QSRO200CM</v>
          </cell>
          <cell r="B350" t="str">
            <v>FSFZB006</v>
          </cell>
        </row>
        <row r="351">
          <cell r="A351" t="str">
            <v>FSFZB006QSRO220CM</v>
          </cell>
          <cell r="B351" t="str">
            <v>FSFZB006</v>
          </cell>
        </row>
        <row r="352">
          <cell r="A352" t="str">
            <v>FSFZB007KWRO160CM</v>
          </cell>
          <cell r="B352" t="str">
            <v>FSFZB007</v>
          </cell>
        </row>
        <row r="353">
          <cell r="A353" t="str">
            <v>FSFZB007KWRO180CM</v>
          </cell>
          <cell r="B353" t="str">
            <v>FSFZB007</v>
          </cell>
        </row>
        <row r="354">
          <cell r="A354" t="str">
            <v>FSFZB007KWRO200CM</v>
          </cell>
          <cell r="B354" t="str">
            <v>FSFZB007</v>
          </cell>
        </row>
        <row r="355">
          <cell r="A355" t="str">
            <v>FSFZB007KWRO220CM</v>
          </cell>
          <cell r="B355" t="str">
            <v>FSFZB007</v>
          </cell>
        </row>
        <row r="356">
          <cell r="A356" t="str">
            <v>G001D100R0</v>
          </cell>
          <cell r="B356" t="str">
            <v>G001D100</v>
          </cell>
        </row>
        <row r="357">
          <cell r="A357" t="str">
            <v>G001D100R5</v>
          </cell>
          <cell r="B357" t="str">
            <v>G001D100</v>
          </cell>
        </row>
        <row r="358">
          <cell r="A358" t="str">
            <v>GB-035-B0</v>
          </cell>
          <cell r="B358" t="str">
            <v>GB-035</v>
          </cell>
        </row>
        <row r="359">
          <cell r="A359" t="str">
            <v>GB-035-BE</v>
          </cell>
          <cell r="B359" t="str">
            <v>GB-035</v>
          </cell>
        </row>
        <row r="360">
          <cell r="A360" t="str">
            <v>GB-035-P0</v>
          </cell>
          <cell r="B360" t="str">
            <v>GB-035</v>
          </cell>
        </row>
        <row r="361">
          <cell r="A361" t="str">
            <v>GBMZYSMZ01140*140CM</v>
          </cell>
          <cell r="B361" t="str">
            <v>GBMZYSMZ01140</v>
          </cell>
        </row>
        <row r="362">
          <cell r="A362" t="str">
            <v>GBMZYSMZ01140*180CM</v>
          </cell>
          <cell r="B362" t="str">
            <v>GBMZYSMZ01140</v>
          </cell>
        </row>
        <row r="363">
          <cell r="A363" t="str">
            <v>GBMZYSMZ01140*200CM</v>
          </cell>
          <cell r="B363" t="str">
            <v>GBMZYSMZ01140</v>
          </cell>
        </row>
        <row r="364">
          <cell r="A364" t="str">
            <v>GBMZYSMZ01140*220CM</v>
          </cell>
          <cell r="B364" t="str">
            <v>GBMZYSMZ01140</v>
          </cell>
        </row>
        <row r="365">
          <cell r="A365" t="str">
            <v>GBMZYSSM140*140CM</v>
          </cell>
          <cell r="B365" t="str">
            <v>GBMZYSSM140</v>
          </cell>
        </row>
        <row r="366">
          <cell r="A366" t="str">
            <v>GBMZYSSM140*200CM</v>
          </cell>
          <cell r="B366" t="str">
            <v>GBMZYSSM140</v>
          </cell>
        </row>
        <row r="367">
          <cell r="A367" t="str">
            <v>GM HUAPET-1ROS-M</v>
          </cell>
          <cell r="B367" t="str">
            <v>GM HUAPET-1ROS</v>
          </cell>
        </row>
        <row r="368">
          <cell r="A368" t="str">
            <v>GM RAINBOWA-L</v>
          </cell>
          <cell r="B368" t="str">
            <v>GM RAINBOWA</v>
          </cell>
        </row>
        <row r="369">
          <cell r="A369" t="str">
            <v>GM TBYPRBFOUR-M</v>
          </cell>
          <cell r="B369" t="str">
            <v>GM TBYPRBFOUR-M</v>
          </cell>
        </row>
        <row r="370">
          <cell r="A370" t="str">
            <v>GM TBYY0ROINT</v>
          </cell>
          <cell r="B370" t="str">
            <v>GM TBYY0ROINT</v>
          </cell>
        </row>
        <row r="371">
          <cell r="A371" t="str">
            <v>GMAWFSNANKU-HBWYB5822SJL-38</v>
          </cell>
          <cell r="B371" t="str">
            <v>GMAWFSNANKU-HBWYB5822SJL</v>
          </cell>
        </row>
        <row r="372">
          <cell r="A372" t="str">
            <v>GMB074W5TPJ2</v>
          </cell>
          <cell r="B372" t="str">
            <v>GMB074W5TPJ2</v>
          </cell>
        </row>
        <row r="373">
          <cell r="A373" t="str">
            <v>GMBBSA140*180CM</v>
          </cell>
          <cell r="B373" t="str">
            <v>GMBBSA</v>
          </cell>
        </row>
        <row r="374">
          <cell r="A374" t="str">
            <v>GMBZKQM</v>
          </cell>
          <cell r="B374" t="str">
            <v>GMBZKQM</v>
          </cell>
        </row>
        <row r="375">
          <cell r="A375" t="str">
            <v>GMCWGQYS-XSB0S</v>
          </cell>
          <cell r="B375" t="str">
            <v>GMCWGQYS</v>
          </cell>
        </row>
        <row r="376">
          <cell r="A376" t="str">
            <v>GMCWGQYS-XSR0S</v>
          </cell>
          <cell r="B376" t="str">
            <v>GMCWGQYS</v>
          </cell>
        </row>
        <row r="377">
          <cell r="A377" t="str">
            <v>GMETYIYUANDIAN-L</v>
          </cell>
          <cell r="B377" t="str">
            <v>GMETYIYUANDIAN</v>
          </cell>
        </row>
        <row r="378">
          <cell r="A378" t="str">
            <v>GMETYIYUANDIAN-XL</v>
          </cell>
          <cell r="B378" t="str">
            <v>GMETYIYUANDIAN</v>
          </cell>
        </row>
        <row r="379">
          <cell r="A379" t="str">
            <v>GMH5-F378-ECJO</v>
          </cell>
          <cell r="B379" t="str">
            <v>GMH5-F378</v>
          </cell>
        </row>
        <row r="380">
          <cell r="A380" t="str">
            <v>GMHUAPET-1PPS-M</v>
          </cell>
          <cell r="B380" t="str">
            <v>GMHUAPET-1</v>
          </cell>
        </row>
        <row r="381">
          <cell r="A381" t="str">
            <v>GMHUAPET-1ROS-L</v>
          </cell>
          <cell r="B381" t="str">
            <v>GMHUAPET-1</v>
          </cell>
        </row>
        <row r="382">
          <cell r="A382" t="str">
            <v>GMHUAPET-1ROS-XL</v>
          </cell>
          <cell r="B382" t="str">
            <v>GMHUAPET-1</v>
          </cell>
        </row>
        <row r="383">
          <cell r="A383" t="str">
            <v>GMMID46-069-3XL</v>
          </cell>
          <cell r="B383" t="str">
            <v>GMMID46-069</v>
          </cell>
        </row>
        <row r="384">
          <cell r="A384" t="str">
            <v>GMMID46-069HSLX</v>
          </cell>
          <cell r="B384" t="str">
            <v>GMMID46-069</v>
          </cell>
        </row>
        <row r="385">
          <cell r="A385" t="str">
            <v>GMMID46-069HSM</v>
          </cell>
          <cell r="B385" t="str">
            <v>GMMID46-069</v>
          </cell>
        </row>
        <row r="386">
          <cell r="A386" t="str">
            <v>GMMID46-069HSS</v>
          </cell>
          <cell r="B386" t="str">
            <v>GMMID46-069</v>
          </cell>
        </row>
        <row r="387">
          <cell r="A387" t="str">
            <v>GMMIDUYD036G0M</v>
          </cell>
          <cell r="B387" t="str">
            <v>GMMIDUYD036</v>
          </cell>
        </row>
        <row r="388">
          <cell r="A388" t="str">
            <v>GMMIDUYD037K0L</v>
          </cell>
          <cell r="B388" t="str">
            <v>GMMIDUYD037</v>
          </cell>
        </row>
        <row r="389">
          <cell r="A389" t="str">
            <v>GMMIDUYD037K1M</v>
          </cell>
          <cell r="B389" t="str">
            <v>GMMIDUYD037</v>
          </cell>
        </row>
        <row r="390">
          <cell r="A390" t="str">
            <v>GMMZYSTYMM100*140CM</v>
          </cell>
          <cell r="B390" t="str">
            <v>GMMZYSTYMM</v>
          </cell>
        </row>
        <row r="391">
          <cell r="A391" t="str">
            <v>GMMZYSTYMM140*140CM</v>
          </cell>
          <cell r="B391" t="str">
            <v>GMMZYSTYMM</v>
          </cell>
        </row>
        <row r="392">
          <cell r="A392" t="str">
            <v>GMMZYSTYMM140*180CM</v>
          </cell>
          <cell r="B392" t="str">
            <v>GMMZYSTYMM</v>
          </cell>
        </row>
        <row r="393">
          <cell r="A393" t="str">
            <v>GMMZYSTYMM140*200CM</v>
          </cell>
          <cell r="B393" t="str">
            <v>GMMZYSTYMM</v>
          </cell>
        </row>
        <row r="394">
          <cell r="A394" t="str">
            <v>GMMZYSTYMM140*220CM</v>
          </cell>
          <cell r="B394" t="str">
            <v>GMMZYSTYMM</v>
          </cell>
        </row>
        <row r="395">
          <cell r="A395" t="str">
            <v>GMNEWZXXCFS-M</v>
          </cell>
          <cell r="B395" t="str">
            <v>GMNEWZXXCHO</v>
          </cell>
        </row>
        <row r="396">
          <cell r="A396" t="str">
            <v>GMNEWZXXCFS-S</v>
          </cell>
          <cell r="B396" t="str">
            <v>GMNEWZXXCHO</v>
          </cell>
        </row>
        <row r="397">
          <cell r="A397" t="str">
            <v>GMNEWZXXCHO-L</v>
          </cell>
          <cell r="B397" t="str">
            <v>GMNEWZXXCHO</v>
          </cell>
        </row>
        <row r="398">
          <cell r="A398" t="str">
            <v>GMNEWZXXCHO-M</v>
          </cell>
          <cell r="B398" t="str">
            <v>GMNEWZXXCHO</v>
          </cell>
        </row>
        <row r="399">
          <cell r="A399" t="str">
            <v>GMNEWZXXCZS-L</v>
          </cell>
          <cell r="B399" t="str">
            <v>GMNEWZXXCHO</v>
          </cell>
        </row>
        <row r="400">
          <cell r="A400" t="str">
            <v>GMNEWZXXCZS-M</v>
          </cell>
          <cell r="B400" t="str">
            <v>GMNEWZXXCHO</v>
          </cell>
        </row>
        <row r="401">
          <cell r="A401" t="str">
            <v>GMRAINBOWA-L</v>
          </cell>
          <cell r="B401" t="str">
            <v>GMRAINBOWA</v>
          </cell>
        </row>
        <row r="402">
          <cell r="A402" t="str">
            <v>GMRAINBOWA-M</v>
          </cell>
          <cell r="B402" t="str">
            <v>GMRAINBOWA</v>
          </cell>
        </row>
        <row r="403">
          <cell r="A403" t="str">
            <v>GMRAINBOWA-S</v>
          </cell>
          <cell r="B403" t="str">
            <v>GMRAINBOWA</v>
          </cell>
        </row>
        <row r="404">
          <cell r="A404" t="str">
            <v>GMRAINBOWA-XL</v>
          </cell>
          <cell r="B404" t="str">
            <v>GMRAINBOWA</v>
          </cell>
        </row>
        <row r="405">
          <cell r="A405" t="str">
            <v>GMRAINBOWDP-L</v>
          </cell>
          <cell r="B405" t="str">
            <v>GMRAINBOWDP</v>
          </cell>
        </row>
        <row r="406">
          <cell r="A406" t="str">
            <v>GMRAINBOWDP-M</v>
          </cell>
          <cell r="B406" t="str">
            <v>GMRAINBOWDP</v>
          </cell>
        </row>
        <row r="407">
          <cell r="A407" t="str">
            <v>GMRSDXTXKXX20*11CM</v>
          </cell>
          <cell r="B407" t="str">
            <v>GMRSDXTXKXX</v>
          </cell>
        </row>
        <row r="408">
          <cell r="A408" t="str">
            <v>GMSMHBZ</v>
          </cell>
          <cell r="B408" t="str">
            <v>GMSMHBZ</v>
          </cell>
        </row>
        <row r="409">
          <cell r="A409" t="str">
            <v>GMSNH-CY001-Y0</v>
          </cell>
          <cell r="B409" t="str">
            <v>GMSNH-CY001</v>
          </cell>
        </row>
        <row r="410">
          <cell r="A410" t="str">
            <v>GMSNH-LUHM001-E0</v>
          </cell>
          <cell r="B410" t="str">
            <v>GMSNH-LUHM001</v>
          </cell>
        </row>
        <row r="411">
          <cell r="A411" t="str">
            <v>GMSNH-LUHM001-G0</v>
          </cell>
          <cell r="B411" t="str">
            <v>GMSNH-LUHM001</v>
          </cell>
        </row>
        <row r="412">
          <cell r="A412" t="str">
            <v>GMSNH-LUHM001-K0</v>
          </cell>
          <cell r="B412" t="str">
            <v>GMSNH-LUHM001</v>
          </cell>
        </row>
        <row r="413">
          <cell r="A413" t="str">
            <v>GMSNH-LUHM001-W0</v>
          </cell>
          <cell r="B413" t="str">
            <v>GMSNH-LUHM001</v>
          </cell>
        </row>
        <row r="414">
          <cell r="A414" t="str">
            <v>GMSNT-CY001-DX</v>
          </cell>
          <cell r="B414" t="str">
            <v>GMSNT-CY001</v>
          </cell>
        </row>
        <row r="415">
          <cell r="A415" t="str">
            <v>GMSNTG-CLROS-L</v>
          </cell>
          <cell r="B415" t="str">
            <v>GMSNTG-CLROS</v>
          </cell>
        </row>
        <row r="416">
          <cell r="A416" t="str">
            <v>GMSNTG-CLROS-M</v>
          </cell>
          <cell r="B416" t="str">
            <v>GMSNTG-CLROS</v>
          </cell>
        </row>
        <row r="417">
          <cell r="A417" t="str">
            <v>GMSNTG-CLROS-S</v>
          </cell>
          <cell r="B417" t="str">
            <v>GMSNTG-CLROS</v>
          </cell>
        </row>
        <row r="418">
          <cell r="A418" t="str">
            <v>GMSNTG-CLROS-XS</v>
          </cell>
          <cell r="B418" t="str">
            <v>GMSNTG-CLROS</v>
          </cell>
        </row>
        <row r="419">
          <cell r="A419" t="str">
            <v>GMSNT-LUHM001-BS</v>
          </cell>
          <cell r="B419" t="str">
            <v>GMSNT-LUHM001</v>
          </cell>
        </row>
        <row r="420">
          <cell r="A420" t="str">
            <v>GMSNT-LUHM001-GQ</v>
          </cell>
          <cell r="B420" t="str">
            <v>GMSNT-LUHM001</v>
          </cell>
        </row>
        <row r="421">
          <cell r="A421" t="str">
            <v>GMSNT-LUHM001-HW</v>
          </cell>
          <cell r="B421" t="str">
            <v>GMSNT-LUHM001</v>
          </cell>
        </row>
        <row r="422">
          <cell r="A422" t="str">
            <v>GMSNT-LUHM001-KT</v>
          </cell>
          <cell r="B422" t="str">
            <v>GMSNT-LUHM001</v>
          </cell>
        </row>
        <row r="423">
          <cell r="A423" t="str">
            <v>GMSNT-LUHM001-WX</v>
          </cell>
          <cell r="B423" t="str">
            <v>GMSNT-LUHM001</v>
          </cell>
        </row>
        <row r="424">
          <cell r="A424" t="str">
            <v>GMSWEATPETJS14</v>
          </cell>
          <cell r="B424" t="str">
            <v>GMSWEATPET</v>
          </cell>
        </row>
        <row r="425">
          <cell r="A425" t="str">
            <v>GMSWEATPETJS16</v>
          </cell>
          <cell r="B425" t="str">
            <v>GMSWEATPET</v>
          </cell>
        </row>
        <row r="426">
          <cell r="A426" t="str">
            <v>GMSWEATPETJS20</v>
          </cell>
          <cell r="B426" t="str">
            <v>GMSWEATPET</v>
          </cell>
        </row>
        <row r="427">
          <cell r="A427" t="str">
            <v>GMSWEATPETJS24</v>
          </cell>
          <cell r="B427" t="str">
            <v>GMSWEATPET</v>
          </cell>
        </row>
        <row r="428">
          <cell r="A428" t="str">
            <v>GMSWEATPETJS28</v>
          </cell>
          <cell r="B428" t="str">
            <v>GMSWEATPET</v>
          </cell>
        </row>
        <row r="429">
          <cell r="A429" t="str">
            <v>GMSWEATPETLAN12</v>
          </cell>
          <cell r="B429" t="str">
            <v>GMSWEATPET</v>
          </cell>
        </row>
        <row r="430">
          <cell r="A430" t="str">
            <v>GMSWEATPETLAN14</v>
          </cell>
          <cell r="B430" t="str">
            <v>GMSWEATPET</v>
          </cell>
        </row>
        <row r="431">
          <cell r="A431" t="str">
            <v>GMSWEATPETLAN16</v>
          </cell>
          <cell r="B431" t="str">
            <v>GMSWEATPET</v>
          </cell>
        </row>
        <row r="432">
          <cell r="A432" t="str">
            <v>GMSWEATPETLAN20</v>
          </cell>
          <cell r="B432" t="str">
            <v>GMSWEATPET</v>
          </cell>
        </row>
        <row r="433">
          <cell r="A433" t="str">
            <v>GMSWEATPETLAN24</v>
          </cell>
          <cell r="B433" t="str">
            <v>GMSWEATPET</v>
          </cell>
        </row>
        <row r="434">
          <cell r="A434" t="str">
            <v>GMSWEATPETLAN28</v>
          </cell>
          <cell r="B434" t="str">
            <v>GMSWEATPET</v>
          </cell>
        </row>
        <row r="435">
          <cell r="A435" t="str">
            <v>GMSWEATPETRO14</v>
          </cell>
          <cell r="B435" t="str">
            <v>GMSWEATPET</v>
          </cell>
        </row>
        <row r="436">
          <cell r="A436" t="str">
            <v>GMSWEATPETRO16</v>
          </cell>
          <cell r="B436" t="str">
            <v>GMSWEATPET</v>
          </cell>
        </row>
        <row r="437">
          <cell r="A437" t="str">
            <v>GMSWEATPETRO20</v>
          </cell>
          <cell r="B437" t="str">
            <v>GMSWEATPET</v>
          </cell>
        </row>
        <row r="438">
          <cell r="A438" t="str">
            <v>GMSWEATPETRO24</v>
          </cell>
          <cell r="B438" t="str">
            <v>GMSWEATPET</v>
          </cell>
        </row>
        <row r="439">
          <cell r="A439" t="str">
            <v>GMSWEATPETRO28</v>
          </cell>
          <cell r="B439" t="str">
            <v>GMSWEATPET</v>
          </cell>
        </row>
        <row r="440">
          <cell r="A440" t="str">
            <v>GMSXHLYITAO1-LH-001BO40x60CM</v>
          </cell>
          <cell r="B440" t="str">
            <v>GMSXHLYITAO1</v>
          </cell>
        </row>
        <row r="441">
          <cell r="A441" t="str">
            <v>GMSXHLYITAO1-LH-001WI40x60CM</v>
          </cell>
          <cell r="B441" t="str">
            <v>GMSXHLYITAO1</v>
          </cell>
        </row>
        <row r="442">
          <cell r="A442" t="str">
            <v>GMSXHLYITAO4-LH-001DHS40x60CM</v>
          </cell>
          <cell r="B442" t="str">
            <v>GMSXHLYITAO4</v>
          </cell>
        </row>
        <row r="443">
          <cell r="A443" t="str">
            <v>GMTBYGREEN</v>
          </cell>
          <cell r="B443" t="str">
            <v>GMTBY</v>
          </cell>
        </row>
        <row r="444">
          <cell r="A444" t="str">
            <v>GMTBYPJBLACK</v>
          </cell>
          <cell r="B444" t="str">
            <v>GMTBY</v>
          </cell>
        </row>
        <row r="445">
          <cell r="A445" t="str">
            <v>GMTBYPJBOGO</v>
          </cell>
          <cell r="B445" t="str">
            <v>GMTBY</v>
          </cell>
        </row>
        <row r="446">
          <cell r="A446" t="str">
            <v>GMTBYPRBFOUR-M</v>
          </cell>
          <cell r="B446" t="str">
            <v>GMTBY</v>
          </cell>
        </row>
        <row r="447">
          <cell r="A447" t="str">
            <v>GMTBYPRBONE-M</v>
          </cell>
          <cell r="B447" t="str">
            <v>GMTBY</v>
          </cell>
        </row>
        <row r="448">
          <cell r="A448" t="str">
            <v>GMTBYPRBTHREE-M</v>
          </cell>
          <cell r="B448" t="str">
            <v>GMTBY</v>
          </cell>
        </row>
        <row r="449">
          <cell r="A449" t="str">
            <v>GMTBYPRBTWO-M</v>
          </cell>
          <cell r="B449" t="str">
            <v>GMTBY</v>
          </cell>
        </row>
        <row r="450">
          <cell r="A450" t="str">
            <v>GMTBYSTARBLUE</v>
          </cell>
          <cell r="B450" t="str">
            <v>GMTBY</v>
          </cell>
        </row>
        <row r="451">
          <cell r="A451" t="str">
            <v>GMTBYSTARRED</v>
          </cell>
          <cell r="B451" t="str">
            <v>GMTBY</v>
          </cell>
        </row>
        <row r="452">
          <cell r="A452" t="str">
            <v>GMTBYWHITE</v>
          </cell>
          <cell r="B452" t="str">
            <v>GMTBY</v>
          </cell>
        </row>
        <row r="453">
          <cell r="A453" t="str">
            <v>GMTBYY0POINT</v>
          </cell>
          <cell r="B453" t="str">
            <v>GMTBY</v>
          </cell>
        </row>
        <row r="454">
          <cell r="A454" t="str">
            <v>GMTBYY0ROINT</v>
          </cell>
          <cell r="B454" t="str">
            <v>GMTBY</v>
          </cell>
        </row>
        <row r="455">
          <cell r="A455" t="str">
            <v>GMTTCX36853</v>
          </cell>
          <cell r="B455" t="str">
            <v>GMTTCX36853</v>
          </cell>
        </row>
        <row r="456">
          <cell r="A456" t="str">
            <v>GMTZ-IUYL240-DOT-S</v>
          </cell>
          <cell r="B456" t="str">
            <v>GMTZ</v>
          </cell>
        </row>
        <row r="457">
          <cell r="A457" t="str">
            <v>GMYHJRBDZS-XL</v>
          </cell>
          <cell r="B457" t="str">
            <v>YHJRB</v>
          </cell>
        </row>
        <row r="458">
          <cell r="A458" t="str">
            <v>GMYI-IUYLTBH-Y0</v>
          </cell>
          <cell r="B458" t="str">
            <v>GMYI-IUYLTBY</v>
          </cell>
        </row>
        <row r="459">
          <cell r="A459" t="str">
            <v>GMYI-IUYLTBY-N5</v>
          </cell>
          <cell r="B459" t="str">
            <v>GMYI-IUYLTBY</v>
          </cell>
        </row>
        <row r="460">
          <cell r="A460" t="str">
            <v>GMYY1100G0L</v>
          </cell>
          <cell r="B460" t="str">
            <v>GMYY1100</v>
          </cell>
        </row>
        <row r="461">
          <cell r="A461" t="str">
            <v>GMYY1100PR</v>
          </cell>
          <cell r="B461" t="str">
            <v>GMYY1100</v>
          </cell>
        </row>
        <row r="462">
          <cell r="A462" t="str">
            <v>GMYY1100W0L</v>
          </cell>
          <cell r="B462" t="str">
            <v>GMYY1100</v>
          </cell>
        </row>
        <row r="463">
          <cell r="A463" t="str">
            <v>GMYY1100W0M</v>
          </cell>
          <cell r="B463" t="str">
            <v>GMYY1100</v>
          </cell>
        </row>
        <row r="464">
          <cell r="A464" t="str">
            <v>GMZAKKA0040B035*50CM</v>
          </cell>
          <cell r="B464" t="str">
            <v>GMZAKKA0040</v>
          </cell>
        </row>
        <row r="465">
          <cell r="A465" t="str">
            <v>GMZAKKA0589B035*50CM</v>
          </cell>
          <cell r="B465" t="str">
            <v>GMZAKKA0589</v>
          </cell>
        </row>
        <row r="466">
          <cell r="A466" t="str">
            <v>GMZAKKA0631R030*65CM</v>
          </cell>
          <cell r="B466" t="str">
            <v>GMZAKKA0631</v>
          </cell>
        </row>
        <row r="467">
          <cell r="A467" t="str">
            <v>GMZAKKA0633B035*50CM</v>
          </cell>
          <cell r="B467" t="str">
            <v>GMZAKKA0633</v>
          </cell>
        </row>
        <row r="468">
          <cell r="A468" t="str">
            <v>GMZCGTZ-IUCY001-AE</v>
          </cell>
          <cell r="B468" t="str">
            <v>GMZCGTZ-IUCY00</v>
          </cell>
        </row>
        <row r="469">
          <cell r="A469" t="str">
            <v>GMZDD-FLQ07-MC-28</v>
          </cell>
          <cell r="B469" t="str">
            <v>GMZDD-FLQ07</v>
          </cell>
        </row>
        <row r="470">
          <cell r="A470" t="str">
            <v>GMZDD-FLQ08-BO-28</v>
          </cell>
          <cell r="B470" t="str">
            <v>GMZDD-FLQ08</v>
          </cell>
        </row>
        <row r="471">
          <cell r="A471" t="str">
            <v>GMZDD-FLQ08-GR-28</v>
          </cell>
          <cell r="B471" t="str">
            <v>GMZDD-FLQ08</v>
          </cell>
        </row>
        <row r="472">
          <cell r="A472" t="str">
            <v>GMZDD-FLQ08-PO-28</v>
          </cell>
          <cell r="B472" t="str">
            <v>GMZDD-FLQ08</v>
          </cell>
        </row>
        <row r="473">
          <cell r="A473" t="str">
            <v>GMZDD-FLQ08-RO-28</v>
          </cell>
          <cell r="B473" t="str">
            <v>GMZDD-FLQ08</v>
          </cell>
        </row>
        <row r="474">
          <cell r="A474" t="str">
            <v>GMZXXABO-NS</v>
          </cell>
          <cell r="B474" t="str">
            <v>GMZXXA</v>
          </cell>
        </row>
        <row r="475">
          <cell r="A475" t="str">
            <v>GMZXXAFS-NM</v>
          </cell>
          <cell r="B475" t="str">
            <v>GMZXXA</v>
          </cell>
        </row>
        <row r="476">
          <cell r="A476" t="str">
            <v>GMZXXALV-L</v>
          </cell>
          <cell r="B476" t="str">
            <v>GMZXXA</v>
          </cell>
        </row>
        <row r="477">
          <cell r="A477" t="str">
            <v>GMZXXAZS-NM</v>
          </cell>
          <cell r="B477" t="str">
            <v>GMZXXA</v>
          </cell>
        </row>
        <row r="478">
          <cell r="A478" t="str">
            <v>GMZXXAZS-XL</v>
          </cell>
          <cell r="B478" t="str">
            <v>GMZXXA</v>
          </cell>
        </row>
        <row r="479">
          <cell r="A479" t="str">
            <v>GMZYL-06-BG-40</v>
          </cell>
          <cell r="B479" t="str">
            <v>GMZYL-06</v>
          </cell>
        </row>
        <row r="480">
          <cell r="A480" t="str">
            <v>GMZYL-06-BY-40</v>
          </cell>
          <cell r="B480" t="str">
            <v>GMZYL-06</v>
          </cell>
        </row>
        <row r="481">
          <cell r="A481" t="str">
            <v>GMZYL-06-WZ-40</v>
          </cell>
          <cell r="B481" t="str">
            <v>GMZYL-06</v>
          </cell>
        </row>
        <row r="482">
          <cell r="A482" t="str">
            <v>GMZYL-FLQ06-BF-40</v>
          </cell>
          <cell r="B482" t="str">
            <v>GMZYL-FLQ06</v>
          </cell>
        </row>
        <row r="483">
          <cell r="A483" t="str">
            <v>GMZYL-FLQ06-BG-40</v>
          </cell>
          <cell r="B483" t="str">
            <v>GMZYL-FLQ06</v>
          </cell>
        </row>
        <row r="484">
          <cell r="A484" t="str">
            <v>GMZYL-FLQ06-HG-40</v>
          </cell>
          <cell r="B484" t="str">
            <v>GMZYL-FLQ06</v>
          </cell>
        </row>
        <row r="485">
          <cell r="A485" t="str">
            <v>GMZYL-FLQ06-TZ-40</v>
          </cell>
          <cell r="B485" t="str">
            <v>GMZYL-FLQ06</v>
          </cell>
        </row>
        <row r="486">
          <cell r="A486" t="str">
            <v>GMZYL-FLQ2013-DX-36</v>
          </cell>
          <cell r="B486" t="str">
            <v>GMZYL-FLQ2013</v>
          </cell>
        </row>
        <row r="487">
          <cell r="A487" t="str">
            <v>GMZYL-FLQ2013-RO-36</v>
          </cell>
          <cell r="B487" t="str">
            <v>GMZYL-FLQ2013</v>
          </cell>
        </row>
        <row r="488">
          <cell r="A488" t="str">
            <v>GMZYL-FLQ2013-YO-36</v>
          </cell>
          <cell r="B488" t="str">
            <v>GMZYL-FLQ2013</v>
          </cell>
        </row>
        <row r="489">
          <cell r="A489" t="str">
            <v>GMZYL-FLQ59-BF-32</v>
          </cell>
          <cell r="B489" t="str">
            <v>GMZYL-FLQ59</v>
          </cell>
        </row>
        <row r="490">
          <cell r="A490" t="str">
            <v>GMZYL-FLQ59-BY-32</v>
          </cell>
          <cell r="B490" t="str">
            <v>GMZYL-FLQ59</v>
          </cell>
        </row>
        <row r="491">
          <cell r="A491" t="str">
            <v>GMZYL-FLQ59-TW-32</v>
          </cell>
          <cell r="B491" t="str">
            <v>GMZYL-FLQ59</v>
          </cell>
        </row>
        <row r="492">
          <cell r="A492" t="str">
            <v>GMZYL-FLQ59-TZ-32</v>
          </cell>
          <cell r="B492" t="str">
            <v>GMZYL-FLQ59</v>
          </cell>
        </row>
        <row r="493">
          <cell r="A493" t="str">
            <v>GMZYL-FLQ59-YD-32</v>
          </cell>
          <cell r="B493" t="str">
            <v>GMZYL-FLQ59</v>
          </cell>
        </row>
        <row r="494">
          <cell r="A494" t="str">
            <v>GS-IUYL270</v>
          </cell>
          <cell r="B494" t="str">
            <v>GS-IUYL280</v>
          </cell>
        </row>
        <row r="495">
          <cell r="A495" t="str">
            <v>GS-IUYL280-1</v>
          </cell>
          <cell r="B495" t="str">
            <v>GS-IUYL280</v>
          </cell>
        </row>
        <row r="496">
          <cell r="A496" t="str">
            <v>GS-IUYL280-2</v>
          </cell>
          <cell r="B496" t="str">
            <v>GS-IUYL280</v>
          </cell>
        </row>
        <row r="497">
          <cell r="A497" t="str">
            <v>GS-IUYL280-3</v>
          </cell>
          <cell r="B497" t="str">
            <v>GS-IUYL280</v>
          </cell>
        </row>
        <row r="498">
          <cell r="A498" t="str">
            <v>GZPET-1BOS-XL</v>
          </cell>
          <cell r="B498" t="str">
            <v>GZPET-1</v>
          </cell>
        </row>
        <row r="499">
          <cell r="A499" t="str">
            <v>GZPET-1RED-L</v>
          </cell>
          <cell r="B499" t="str">
            <v>GZPET-1</v>
          </cell>
        </row>
        <row r="500">
          <cell r="A500" t="str">
            <v>GZQ2RED-L</v>
          </cell>
          <cell r="B500" t="str">
            <v>GZQ2RED</v>
          </cell>
        </row>
        <row r="501">
          <cell r="A501" t="str">
            <v>GZQ2RED-M</v>
          </cell>
          <cell r="B501" t="str">
            <v>GZQ2RED</v>
          </cell>
        </row>
        <row r="502">
          <cell r="A502" t="str">
            <v>GZQ2RED-NXL</v>
          </cell>
          <cell r="B502" t="str">
            <v>GZQ2RED</v>
          </cell>
        </row>
        <row r="503">
          <cell r="A503" t="str">
            <v>GZQ2RED-S</v>
          </cell>
          <cell r="B503" t="str">
            <v>GZQ2RED</v>
          </cell>
        </row>
        <row r="504">
          <cell r="A504" t="str">
            <v>H5-F378-ECJO</v>
          </cell>
          <cell r="B504" t="str">
            <v>H5-F378</v>
          </cell>
        </row>
        <row r="505">
          <cell r="A505" t="str">
            <v>HATQHMZ</v>
          </cell>
          <cell r="B505" t="str">
            <v>HATQHMZ</v>
          </cell>
        </row>
        <row r="506">
          <cell r="A506" t="str">
            <v>HDQHS-S</v>
          </cell>
          <cell r="B506" t="str">
            <v>HDQHS</v>
          </cell>
        </row>
        <row r="507">
          <cell r="A507" t="str">
            <v>HDYI-L</v>
          </cell>
          <cell r="B507" t="str">
            <v>HDYI</v>
          </cell>
        </row>
        <row r="508">
          <cell r="A508" t="str">
            <v>HDYI-M</v>
          </cell>
          <cell r="B508" t="str">
            <v>HDYI</v>
          </cell>
        </row>
        <row r="509">
          <cell r="A509" t="str">
            <v>HDYI-XXL</v>
          </cell>
          <cell r="B509" t="str">
            <v>HDYI</v>
          </cell>
        </row>
        <row r="510">
          <cell r="A510" t="str">
            <v>HMVARM-00TLL</v>
          </cell>
          <cell r="B510" t="str">
            <v>HMVARM-00T</v>
          </cell>
        </row>
        <row r="511">
          <cell r="A511" t="str">
            <v>HNJ4DWCJLX45*45CM</v>
          </cell>
          <cell r="B511" t="str">
            <v>HNJ4DW</v>
          </cell>
        </row>
        <row r="512">
          <cell r="A512" t="str">
            <v>HNJ4DWDAXX45*45CM</v>
          </cell>
          <cell r="B512" t="str">
            <v>HNJ4DW</v>
          </cell>
        </row>
        <row r="513">
          <cell r="A513" t="str">
            <v>HNJ4DWOWL45*45CM</v>
          </cell>
          <cell r="B513" t="str">
            <v>HNJ4DW</v>
          </cell>
        </row>
        <row r="514">
          <cell r="A514" t="str">
            <v>HNJ4DWOWLN45*45CM</v>
          </cell>
          <cell r="B514" t="str">
            <v>HNJ4DWOWLN</v>
          </cell>
        </row>
        <row r="515">
          <cell r="A515" t="str">
            <v>HNJ4DWXG145*45CM</v>
          </cell>
          <cell r="B515" t="str">
            <v>HNJ4DW</v>
          </cell>
        </row>
        <row r="516">
          <cell r="A516" t="str">
            <v>HNJAX2SK045*45CM</v>
          </cell>
          <cell r="B516" t="str">
            <v>HNJAX2S</v>
          </cell>
        </row>
        <row r="517">
          <cell r="A517" t="str">
            <v>HNJAX2SW045*45CM</v>
          </cell>
          <cell r="B517" t="str">
            <v>HNJAX2S</v>
          </cell>
        </row>
        <row r="518">
          <cell r="A518" t="str">
            <v>HNJDZAMS45*45CM</v>
          </cell>
          <cell r="B518" t="str">
            <v>HNJDZAMS</v>
          </cell>
        </row>
        <row r="519">
          <cell r="A519" t="str">
            <v>HNJDZBSB45*45CM</v>
          </cell>
          <cell r="B519" t="str">
            <v>HNJDZBSB</v>
          </cell>
        </row>
        <row r="520">
          <cell r="A520" t="str">
            <v>HNJDZLUD45*45CM</v>
          </cell>
          <cell r="B520" t="str">
            <v>HNJDZLUD</v>
          </cell>
        </row>
        <row r="521">
          <cell r="A521" t="str">
            <v>HNJDZLUM45*45CM</v>
          </cell>
          <cell r="B521" t="str">
            <v>HNJDZLUM</v>
          </cell>
        </row>
        <row r="522">
          <cell r="A522" t="str">
            <v>HNJDZMSK45*45CM</v>
          </cell>
          <cell r="B522" t="str">
            <v>HNJDZMSK</v>
          </cell>
        </row>
        <row r="523">
          <cell r="A523" t="str">
            <v>HNJDZYSB45*45CM</v>
          </cell>
          <cell r="B523" t="str">
            <v>HNJDZYSB</v>
          </cell>
        </row>
        <row r="524">
          <cell r="A524" t="str">
            <v>HNJJBDWBZXS45*45CM</v>
          </cell>
          <cell r="B524" t="str">
            <v>HNJJBDW</v>
          </cell>
        </row>
        <row r="525">
          <cell r="A525" t="str">
            <v>HNJJBDWCJLX45*45CM</v>
          </cell>
          <cell r="B525" t="str">
            <v>HNJJBDW</v>
          </cell>
        </row>
        <row r="526">
          <cell r="A526" t="str">
            <v>HNJJBDWHXXS45*45CM</v>
          </cell>
          <cell r="B526" t="str">
            <v>HNJJBDW</v>
          </cell>
        </row>
        <row r="527">
          <cell r="A527" t="str">
            <v>HNJJBDWKLXS45*45CM</v>
          </cell>
          <cell r="B527" t="str">
            <v>HNJJBDW</v>
          </cell>
        </row>
        <row r="528">
          <cell r="A528" t="str">
            <v>HNJJBDWMAXS45*45CM</v>
          </cell>
          <cell r="B528" t="str">
            <v>HNJJBDW</v>
          </cell>
        </row>
        <row r="529">
          <cell r="A529" t="str">
            <v>HNJJBDWYAXS45*45CM</v>
          </cell>
          <cell r="B529" t="str">
            <v>HNJJBDW</v>
          </cell>
        </row>
        <row r="530">
          <cell r="A530" t="str">
            <v>HNJJBDWYDHX45*45CM</v>
          </cell>
          <cell r="B530" t="str">
            <v>HNJJBDW</v>
          </cell>
        </row>
        <row r="531">
          <cell r="A531" t="str">
            <v>HNJJBZSDJSDH45*45CM</v>
          </cell>
          <cell r="B531" t="str">
            <v>HNJJBZSDJSD</v>
          </cell>
        </row>
        <row r="532">
          <cell r="A532" t="str">
            <v>HNJJBZSDJSDS45*45CM</v>
          </cell>
          <cell r="B532" t="str">
            <v>HNJJBZSDJSD</v>
          </cell>
        </row>
        <row r="533">
          <cell r="A533" t="str">
            <v>HNJJKLQCKL45*45CM</v>
          </cell>
          <cell r="B533" t="str">
            <v>HNJJKLQCK</v>
          </cell>
        </row>
        <row r="534">
          <cell r="A534" t="str">
            <v>HNJSDSWBM45*45CM</v>
          </cell>
          <cell r="B534" t="str">
            <v>HNJJBDW</v>
          </cell>
        </row>
        <row r="535">
          <cell r="A535" t="str">
            <v>HNJSDSWSZ45*45CM</v>
          </cell>
          <cell r="B535" t="str">
            <v>HNJJBDW</v>
          </cell>
        </row>
        <row r="536">
          <cell r="A536" t="str">
            <v>HNJZDCGSDS245*45CM</v>
          </cell>
          <cell r="B536" t="str">
            <v>HNJZDCGSDS</v>
          </cell>
        </row>
        <row r="537">
          <cell r="A537" t="str">
            <v>HNJZDCGSDS345*45CM</v>
          </cell>
          <cell r="B537" t="str">
            <v>HNJZDCGSDS</v>
          </cell>
        </row>
        <row r="538">
          <cell r="A538" t="str">
            <v>HUAPET-1JS-2XL</v>
          </cell>
          <cell r="B538" t="str">
            <v>HUAPET-1B</v>
          </cell>
        </row>
        <row r="539">
          <cell r="A539" t="str">
            <v>HUAPET-1JS-3XL</v>
          </cell>
          <cell r="B539" t="str">
            <v>HUAPET-1B</v>
          </cell>
        </row>
        <row r="540">
          <cell r="A540" t="str">
            <v>HUAPET-1JS-4XL</v>
          </cell>
          <cell r="B540" t="str">
            <v>HUAPET-1B</v>
          </cell>
        </row>
        <row r="541">
          <cell r="A541" t="str">
            <v>HUAPET-1JS-5XL</v>
          </cell>
          <cell r="B541" t="str">
            <v>HUAPET-1B</v>
          </cell>
        </row>
        <row r="542">
          <cell r="A542" t="str">
            <v>HUAPET-1JS-L</v>
          </cell>
          <cell r="B542" t="str">
            <v>HUAPET-1B</v>
          </cell>
        </row>
        <row r="543">
          <cell r="A543" t="str">
            <v>HUAPET-1JS-M</v>
          </cell>
          <cell r="B543" t="str">
            <v>HUAPET-1B</v>
          </cell>
        </row>
        <row r="544">
          <cell r="A544" t="str">
            <v>HUAPET-1JS-S</v>
          </cell>
          <cell r="B544" t="str">
            <v>HUAPET-1B</v>
          </cell>
        </row>
        <row r="545">
          <cell r="A545" t="str">
            <v>HUAPET-1JS-XL</v>
          </cell>
          <cell r="B545" t="str">
            <v>HUAPET-1B</v>
          </cell>
        </row>
        <row r="546">
          <cell r="A546" t="str">
            <v>HUAPET-1LVS-3XL</v>
          </cell>
          <cell r="B546" t="str">
            <v>HUAPET-1B</v>
          </cell>
        </row>
        <row r="547">
          <cell r="A547" t="str">
            <v>HUAPET-1LVS-4XL</v>
          </cell>
          <cell r="B547" t="str">
            <v>HUAPET-1B</v>
          </cell>
        </row>
        <row r="548">
          <cell r="A548" t="str">
            <v>HUAPET-1LVS-5XL</v>
          </cell>
          <cell r="B548" t="str">
            <v>HUAPET-1B</v>
          </cell>
        </row>
        <row r="549">
          <cell r="A549" t="str">
            <v>HUAPET-1LVS-L</v>
          </cell>
          <cell r="B549" t="str">
            <v>HUAPET-1B</v>
          </cell>
        </row>
        <row r="550">
          <cell r="A550" t="str">
            <v>HUAPET-1LVS-M</v>
          </cell>
          <cell r="B550" t="str">
            <v>HUAPET-1B</v>
          </cell>
        </row>
        <row r="551">
          <cell r="A551" t="str">
            <v>HUAPET-1LVS-S</v>
          </cell>
          <cell r="B551" t="str">
            <v>HUAPET-1B</v>
          </cell>
        </row>
        <row r="552">
          <cell r="A552" t="str">
            <v>HUAPET-1LVS-XL</v>
          </cell>
          <cell r="B552" t="str">
            <v>HUAPET-1B</v>
          </cell>
        </row>
        <row r="553">
          <cell r="A553" t="str">
            <v>HUAPET-1PKS-2XL</v>
          </cell>
          <cell r="B553" t="str">
            <v>HUAPET-1B</v>
          </cell>
        </row>
        <row r="554">
          <cell r="A554" t="str">
            <v>HUAPET-1PKS-3XL</v>
          </cell>
          <cell r="B554" t="str">
            <v>HUAPET-1B</v>
          </cell>
        </row>
        <row r="555">
          <cell r="A555" t="str">
            <v>HUAPET-1PKS-4XL</v>
          </cell>
          <cell r="B555" t="str">
            <v>HUAPET-1B</v>
          </cell>
        </row>
        <row r="556">
          <cell r="A556" t="str">
            <v>HUAPET-1PKS-5XL</v>
          </cell>
          <cell r="B556" t="str">
            <v>HUAPET-1B</v>
          </cell>
        </row>
        <row r="557">
          <cell r="A557" t="str">
            <v>HUAPET-1PKS-L</v>
          </cell>
          <cell r="B557" t="str">
            <v>HUAPET-1B</v>
          </cell>
        </row>
        <row r="558">
          <cell r="A558" t="str">
            <v>HUAPET-1PKS-M</v>
          </cell>
          <cell r="B558" t="str">
            <v>HUAPET-1B</v>
          </cell>
        </row>
        <row r="559">
          <cell r="A559" t="str">
            <v>HUAPET-1PKS-S</v>
          </cell>
          <cell r="B559" t="str">
            <v>HUAPET-1B</v>
          </cell>
        </row>
        <row r="560">
          <cell r="A560" t="str">
            <v>HUAPET-1PKS-XL</v>
          </cell>
          <cell r="B560" t="str">
            <v>HUAPET-1B</v>
          </cell>
        </row>
        <row r="561">
          <cell r="A561" t="str">
            <v>HUAPET-1PPS-2XL</v>
          </cell>
          <cell r="B561" t="str">
            <v>HUAPET-1B</v>
          </cell>
        </row>
        <row r="562">
          <cell r="A562" t="str">
            <v>HUAPET-1PPS-4XL</v>
          </cell>
          <cell r="B562" t="str">
            <v>HUAPET-1B</v>
          </cell>
        </row>
        <row r="563">
          <cell r="A563" t="str">
            <v>HUAPET-1PPS-5XL</v>
          </cell>
          <cell r="B563" t="str">
            <v>HUAPET-1B</v>
          </cell>
        </row>
        <row r="564">
          <cell r="A564" t="str">
            <v>HUAPET-1PPS-L</v>
          </cell>
          <cell r="B564" t="str">
            <v>HUAPET-1B</v>
          </cell>
        </row>
        <row r="565">
          <cell r="A565" t="str">
            <v>HUAPET-1PPS-M</v>
          </cell>
          <cell r="B565" t="str">
            <v>HUAPET-1B</v>
          </cell>
        </row>
        <row r="566">
          <cell r="A566" t="str">
            <v>HUAPET-1PPS-S</v>
          </cell>
          <cell r="B566" t="str">
            <v>HUAPET-1B</v>
          </cell>
        </row>
        <row r="567">
          <cell r="A567" t="str">
            <v>HUAPET-1PPS-XL</v>
          </cell>
          <cell r="B567" t="str">
            <v>HUAPET-1B</v>
          </cell>
        </row>
        <row r="568">
          <cell r="A568" t="str">
            <v>HUAPET-1PS-3XL</v>
          </cell>
          <cell r="B568" t="str">
            <v>HUAPET-1B</v>
          </cell>
        </row>
        <row r="569">
          <cell r="A569" t="str">
            <v>HUAPET-1ROS-2XL</v>
          </cell>
          <cell r="B569" t="str">
            <v>HUAPET-1B</v>
          </cell>
        </row>
        <row r="570">
          <cell r="A570" t="str">
            <v>HUAPET-1ROS-3XL</v>
          </cell>
          <cell r="B570" t="str">
            <v>HUAPET-1B</v>
          </cell>
        </row>
        <row r="571">
          <cell r="A571" t="str">
            <v>HUAPET-1ROS-4XL</v>
          </cell>
          <cell r="B571" t="str">
            <v>HUAPET-1B</v>
          </cell>
        </row>
        <row r="572">
          <cell r="A572" t="str">
            <v>HUAPET-1ROS-5XL</v>
          </cell>
          <cell r="B572" t="str">
            <v>HUAPET-1B</v>
          </cell>
        </row>
        <row r="573">
          <cell r="A573" t="str">
            <v>HUAPET-1ROS-L</v>
          </cell>
          <cell r="B573" t="str">
            <v>HUAPET-1B</v>
          </cell>
        </row>
        <row r="574">
          <cell r="A574" t="str">
            <v>HUAPET-1ROS-M</v>
          </cell>
          <cell r="B574" t="str">
            <v>HUAPET-1B</v>
          </cell>
        </row>
        <row r="575">
          <cell r="A575" t="str">
            <v>HUAPET-1ROS-S</v>
          </cell>
          <cell r="B575" t="str">
            <v>HUAPET-1B</v>
          </cell>
        </row>
        <row r="576">
          <cell r="A576" t="str">
            <v>HUAPET-1ROS-XL</v>
          </cell>
          <cell r="B576" t="str">
            <v>HUAPET-1B</v>
          </cell>
        </row>
        <row r="577">
          <cell r="A577" t="str">
            <v>HUAPET-1TLVS-2XL</v>
          </cell>
          <cell r="B577" t="str">
            <v>HUAPET-1B</v>
          </cell>
        </row>
        <row r="578">
          <cell r="A578" t="str">
            <v>HUAPETPKS-3XL</v>
          </cell>
          <cell r="B578" t="str">
            <v>HUAPET</v>
          </cell>
        </row>
        <row r="579">
          <cell r="A579" t="str">
            <v>HUAPETPPS-XL</v>
          </cell>
          <cell r="B579" t="str">
            <v>HUAPET</v>
          </cell>
        </row>
        <row r="580">
          <cell r="A580" t="str">
            <v>HZB-QJTZ-IUYL300310</v>
          </cell>
          <cell r="B580" t="str">
            <v>HZB-QJTZ-IUYL300310</v>
          </cell>
        </row>
        <row r="581">
          <cell r="A581" t="str">
            <v>HZ-SILVER</v>
          </cell>
          <cell r="B581" t="str">
            <v>HZ-SILVER</v>
          </cell>
        </row>
        <row r="582">
          <cell r="A582" t="str">
            <v>I8-T4T6-3HUJ</v>
          </cell>
          <cell r="B582" t="str">
            <v>I8-T4T6</v>
          </cell>
        </row>
        <row r="583">
          <cell r="A583" t="str">
            <v>JAURANYMRG-HL</v>
          </cell>
          <cell r="B583" t="str">
            <v>JAURANYMRG</v>
          </cell>
        </row>
        <row r="584">
          <cell r="A584" t="str">
            <v>JAURANYMRG-HM</v>
          </cell>
          <cell r="B584" t="str">
            <v>JAURANYMRG</v>
          </cell>
        </row>
        <row r="585">
          <cell r="A585" t="str">
            <v>JAURANYMRG-HS</v>
          </cell>
          <cell r="B585" t="str">
            <v>JAURANYMRG</v>
          </cell>
        </row>
        <row r="586">
          <cell r="A586" t="str">
            <v>JAURANYMRG-HXL</v>
          </cell>
          <cell r="B586" t="str">
            <v>JAURANYMRG</v>
          </cell>
        </row>
        <row r="587">
          <cell r="A587" t="str">
            <v>JCHOME-AXLEIS100*140CM</v>
          </cell>
          <cell r="B587" t="str">
            <v>JCHOME-AX</v>
          </cell>
        </row>
        <row r="588">
          <cell r="A588" t="str">
            <v>JCHOME-AXLEIS140*140CM</v>
          </cell>
          <cell r="B588" t="str">
            <v>JCHOME-AX</v>
          </cell>
        </row>
        <row r="589">
          <cell r="A589" t="str">
            <v>JCHOME-AXLEIS140*160CM</v>
          </cell>
          <cell r="B589" t="str">
            <v>JCHOME-AX</v>
          </cell>
        </row>
        <row r="590">
          <cell r="A590" t="str">
            <v>JCHOME-AXLEIS140*180CM</v>
          </cell>
          <cell r="B590" t="str">
            <v>JCHOME-AX</v>
          </cell>
        </row>
        <row r="591">
          <cell r="A591" t="str">
            <v>JCHOME-AXLEIS140*200CM</v>
          </cell>
          <cell r="B591" t="str">
            <v>JCHOME-AX</v>
          </cell>
        </row>
        <row r="592">
          <cell r="A592" t="str">
            <v>JCHOME-AXLEIS140*220CM</v>
          </cell>
          <cell r="B592" t="str">
            <v>JCHOME-AX</v>
          </cell>
        </row>
        <row r="593">
          <cell r="A593" t="str">
            <v>JCHOME-AXLEIS140*250CM</v>
          </cell>
          <cell r="B593" t="str">
            <v>JCHOME-AX</v>
          </cell>
        </row>
        <row r="594">
          <cell r="A594" t="str">
            <v>JCHOME-AXLEIS60*60CM</v>
          </cell>
          <cell r="B594" t="str">
            <v>JCHOME-AX</v>
          </cell>
        </row>
        <row r="595">
          <cell r="A595" t="str">
            <v>JCHOME-AXLEIS90*90CM</v>
          </cell>
          <cell r="B595" t="str">
            <v>JCHOME-AX</v>
          </cell>
        </row>
        <row r="596">
          <cell r="A596" t="str">
            <v>JCHOME-AXW100*140CM</v>
          </cell>
          <cell r="B596" t="str">
            <v>JCHOME-AX</v>
          </cell>
        </row>
        <row r="597">
          <cell r="A597" t="str">
            <v>JCHOME-AXW140*140CM</v>
          </cell>
          <cell r="B597" t="str">
            <v>JCHOME-AX</v>
          </cell>
        </row>
        <row r="598">
          <cell r="A598" t="str">
            <v>JCHOME-AXW140*160CM</v>
          </cell>
          <cell r="B598" t="str">
            <v>JCHOME-AX</v>
          </cell>
        </row>
        <row r="599">
          <cell r="A599" t="str">
            <v>JCHOME-AXW140*180CM</v>
          </cell>
          <cell r="B599" t="str">
            <v>JCHOME-AX</v>
          </cell>
        </row>
        <row r="600">
          <cell r="A600" t="str">
            <v>JCHOME-AXW140*200CM</v>
          </cell>
          <cell r="B600" t="str">
            <v>JCHOME-AX</v>
          </cell>
        </row>
        <row r="601">
          <cell r="A601" t="str">
            <v>JCHOME-AXW140*220CM</v>
          </cell>
          <cell r="B601" t="str">
            <v>JCHOME-AX</v>
          </cell>
        </row>
        <row r="602">
          <cell r="A602" t="str">
            <v>JCHOME-AXW140*250CM</v>
          </cell>
          <cell r="B602" t="str">
            <v>JCHOME-AX</v>
          </cell>
        </row>
        <row r="603">
          <cell r="A603" t="str">
            <v>JCHOME-AXW60*60CM</v>
          </cell>
          <cell r="B603" t="str">
            <v>JCHOME-AX</v>
          </cell>
        </row>
        <row r="604">
          <cell r="A604" t="str">
            <v>JCHOME-AXW90*90CM</v>
          </cell>
          <cell r="B604" t="str">
            <v>JCHOME-AX</v>
          </cell>
        </row>
        <row r="605">
          <cell r="A605" t="str">
            <v>JCHOMES140*140CM</v>
          </cell>
          <cell r="B605" t="str">
            <v>JCHOMES</v>
          </cell>
        </row>
        <row r="606">
          <cell r="A606" t="str">
            <v>JCHOMES140*160CM</v>
          </cell>
          <cell r="B606" t="str">
            <v>JCHOMES</v>
          </cell>
        </row>
        <row r="607">
          <cell r="A607" t="str">
            <v>JCHOMES60*60CM</v>
          </cell>
          <cell r="B607" t="str">
            <v>JCHOMES</v>
          </cell>
        </row>
        <row r="608">
          <cell r="A608" t="str">
            <v>JCHOMETBOS140*140CM</v>
          </cell>
          <cell r="B608" t="str">
            <v>JCHOMETBOS</v>
          </cell>
        </row>
        <row r="609">
          <cell r="A609" t="str">
            <v>JCHOMETBOS140*220CM</v>
          </cell>
          <cell r="B609" t="str">
            <v>JCHOMETBOS</v>
          </cell>
        </row>
        <row r="610">
          <cell r="A610" t="str">
            <v>JCHOMETHI100*140CM</v>
          </cell>
          <cell r="B610" t="str">
            <v>JCHOMETHI</v>
          </cell>
        </row>
        <row r="611">
          <cell r="A611" t="str">
            <v>JCHOMETHI140*200CM</v>
          </cell>
          <cell r="B611" t="str">
            <v>JCHOMETHI</v>
          </cell>
        </row>
        <row r="612">
          <cell r="A612" t="str">
            <v>JCHOMETHI140*220CM</v>
          </cell>
          <cell r="B612" t="str">
            <v>JCHOMETHI</v>
          </cell>
        </row>
        <row r="613">
          <cell r="A613" t="str">
            <v>JCSTPHLS140*140CM</v>
          </cell>
          <cell r="B613" t="str">
            <v>JCSTPHLS</v>
          </cell>
        </row>
        <row r="614">
          <cell r="A614" t="str">
            <v>JDDKLNBOS-L</v>
          </cell>
          <cell r="B614" t="str">
            <v>JDDKLN</v>
          </cell>
        </row>
        <row r="615">
          <cell r="A615" t="str">
            <v>JDDKLNBOS-M</v>
          </cell>
          <cell r="B615" t="str">
            <v>JDDKLN</v>
          </cell>
        </row>
        <row r="616">
          <cell r="A616" t="str">
            <v>JDDKLNBOS-S</v>
          </cell>
          <cell r="B616" t="str">
            <v>JDDKLN</v>
          </cell>
        </row>
        <row r="617">
          <cell r="A617" t="str">
            <v>JDDKLNBOS-XL</v>
          </cell>
          <cell r="B617" t="str">
            <v>JDDKLN</v>
          </cell>
        </row>
        <row r="618">
          <cell r="A618" t="str">
            <v>JDDKLNBOS-XXL</v>
          </cell>
          <cell r="B618" t="str">
            <v>JDDKLN</v>
          </cell>
        </row>
        <row r="619">
          <cell r="A619" t="str">
            <v>JDDKLNFS-L</v>
          </cell>
          <cell r="B619" t="str">
            <v>JDDKLN</v>
          </cell>
        </row>
        <row r="620">
          <cell r="A620" t="str">
            <v>JDDKLNFS-M</v>
          </cell>
          <cell r="B620" t="str">
            <v>JDDKLN</v>
          </cell>
        </row>
        <row r="621">
          <cell r="A621" t="str">
            <v>JDDKLNFS-S</v>
          </cell>
          <cell r="B621" t="str">
            <v>JDDKLN</v>
          </cell>
        </row>
        <row r="622">
          <cell r="A622" t="str">
            <v>JDDKLNFS-XL</v>
          </cell>
          <cell r="B622" t="str">
            <v>JDDKLN</v>
          </cell>
        </row>
        <row r="623">
          <cell r="A623" t="str">
            <v>JDDKLNFS-XXL</v>
          </cell>
          <cell r="B623" t="str">
            <v>JDDKLN</v>
          </cell>
        </row>
        <row r="624">
          <cell r="A624" t="str">
            <v>JDDKLNKQS-L</v>
          </cell>
          <cell r="B624" t="str">
            <v>JDDKLN</v>
          </cell>
        </row>
        <row r="625">
          <cell r="A625" t="str">
            <v>JDDKLNKQS-M</v>
          </cell>
          <cell r="B625" t="str">
            <v>JDDKLN</v>
          </cell>
        </row>
        <row r="626">
          <cell r="A626" t="str">
            <v>JDDKLNKQS-S</v>
          </cell>
          <cell r="B626" t="str">
            <v>JDDKLN</v>
          </cell>
        </row>
        <row r="627">
          <cell r="A627" t="str">
            <v>JDDKLNKQS-XL</v>
          </cell>
          <cell r="B627" t="str">
            <v>JDDKLN</v>
          </cell>
        </row>
        <row r="628">
          <cell r="A628" t="str">
            <v>JDDKLNKQS-XXL</v>
          </cell>
          <cell r="B628" t="str">
            <v>JDDKLN</v>
          </cell>
        </row>
        <row r="629">
          <cell r="A629" t="str">
            <v>JDYUYI</v>
          </cell>
          <cell r="B629" t="str">
            <v>JDYUYI</v>
          </cell>
        </row>
        <row r="630">
          <cell r="A630" t="str">
            <v>JRD44FUS</v>
          </cell>
          <cell r="B630" t="str">
            <v>JRD44FUS</v>
          </cell>
        </row>
        <row r="631">
          <cell r="A631" t="str">
            <v>JU-KMXB-RXGB</v>
          </cell>
          <cell r="B631" t="str">
            <v>JU-KMXB</v>
          </cell>
        </row>
        <row r="632">
          <cell r="A632" t="str">
            <v>JZWL-YUNDK-K24LB1599K0-M</v>
          </cell>
          <cell r="B632" t="str">
            <v>JZWL-YUNDK-K24LB1599</v>
          </cell>
        </row>
        <row r="633">
          <cell r="A633" t="str">
            <v>KALIPTKFS-L</v>
          </cell>
          <cell r="B633" t="str">
            <v>KALIPTKFS</v>
          </cell>
        </row>
        <row r="634">
          <cell r="A634" t="str">
            <v>KALIPTXS-L</v>
          </cell>
          <cell r="B634" t="str">
            <v>KALIPTXS</v>
          </cell>
        </row>
        <row r="635">
          <cell r="A635" t="str">
            <v>KLN-1720HUIS-L</v>
          </cell>
          <cell r="B635" t="str">
            <v>KLN-1720HUIS</v>
          </cell>
        </row>
        <row r="636">
          <cell r="A636" t="str">
            <v>KLN-1720HUIS-M</v>
          </cell>
          <cell r="B636" t="str">
            <v>KLN-1720HUIS</v>
          </cell>
        </row>
        <row r="637">
          <cell r="A637" t="str">
            <v>KY-3EVG-5P8J</v>
          </cell>
          <cell r="B637" t="str">
            <v>KY-3EVG-5P8J</v>
          </cell>
        </row>
        <row r="638">
          <cell r="A638" t="str">
            <v>KZ-IUYLKTX-E0-L</v>
          </cell>
          <cell r="B638" t="str">
            <v>KZ-IUYLKTX</v>
          </cell>
        </row>
        <row r="639">
          <cell r="A639" t="str">
            <v>KZ-IUYLKTX-K0-L</v>
          </cell>
          <cell r="B639" t="str">
            <v>KZ-IUYLKTX</v>
          </cell>
        </row>
        <row r="640">
          <cell r="A640" t="str">
            <v>KZ-IUYLKTX-W0-L</v>
          </cell>
          <cell r="B640" t="str">
            <v>KZ-IUYLKTX</v>
          </cell>
        </row>
        <row r="641">
          <cell r="A641" t="str">
            <v>KZ-IUYLKTX-W0-M</v>
          </cell>
          <cell r="B641" t="str">
            <v>KZ-IUYLKTX</v>
          </cell>
        </row>
        <row r="642">
          <cell r="A642" t="str">
            <v>KZ-IUYLKTX-Y0-M</v>
          </cell>
          <cell r="B642" t="str">
            <v>KZ-IUYLKTX</v>
          </cell>
        </row>
        <row r="643">
          <cell r="A643" t="str">
            <v>LGQ-IUYL100-BL</v>
          </cell>
          <cell r="B643" t="str">
            <v>LGQ-IUYL100</v>
          </cell>
        </row>
        <row r="644">
          <cell r="A644" t="str">
            <v>LGQ-IUYL100-GN</v>
          </cell>
          <cell r="B644" t="str">
            <v>LGQ-IUYL100</v>
          </cell>
        </row>
        <row r="645">
          <cell r="A645" t="str">
            <v>LGQ-IUYL100-PK</v>
          </cell>
          <cell r="B645" t="str">
            <v>LGQ-IUYL100</v>
          </cell>
        </row>
        <row r="646">
          <cell r="A646" t="str">
            <v>LGQ-IUYL100-RD</v>
          </cell>
          <cell r="B646" t="str">
            <v>LGQ-IUYL100</v>
          </cell>
        </row>
        <row r="647">
          <cell r="A647" t="str">
            <v>LGQ-IUYL100-WT</v>
          </cell>
          <cell r="B647" t="str">
            <v>LGQ-IUYL100</v>
          </cell>
        </row>
        <row r="648">
          <cell r="A648" t="str">
            <v>LGQ-IUYL100-YL</v>
          </cell>
          <cell r="B648" t="str">
            <v>LGQ-IUYL100</v>
          </cell>
        </row>
        <row r="649">
          <cell r="A649" t="str">
            <v>LMZJYUJIAK-17028-E0-L</v>
          </cell>
          <cell r="B649" t="str">
            <v>LMZJYUJIAK-17028</v>
          </cell>
        </row>
        <row r="650">
          <cell r="A650" t="str">
            <v>LMZJYUJIAK-17028-E0-XS</v>
          </cell>
          <cell r="B650" t="str">
            <v>LMZJYUJIAK-17028</v>
          </cell>
        </row>
        <row r="651">
          <cell r="A651" t="str">
            <v>LMZJYUJIAK-17028-K0-L</v>
          </cell>
          <cell r="B651" t="str">
            <v>LMZJYUJIAK-17028</v>
          </cell>
        </row>
        <row r="652">
          <cell r="A652" t="str">
            <v>LMZJYUJIAK-86011-P0-XL</v>
          </cell>
          <cell r="B652" t="str">
            <v>LMZJYUJIAK-86011</v>
          </cell>
        </row>
        <row r="653">
          <cell r="A653" t="str">
            <v>LQXFLS105*105CM</v>
          </cell>
          <cell r="B653" t="str">
            <v>LQXFLS</v>
          </cell>
        </row>
        <row r="654">
          <cell r="A654" t="str">
            <v>LQXFLS130*130CM</v>
          </cell>
          <cell r="B654" t="str">
            <v>LQXFLS</v>
          </cell>
        </row>
        <row r="655">
          <cell r="A655" t="str">
            <v>LQXFLS135*135CM</v>
          </cell>
          <cell r="B655" t="str">
            <v>LQXFLS</v>
          </cell>
        </row>
        <row r="656">
          <cell r="A656" t="str">
            <v>LQXFLS85*85CM</v>
          </cell>
          <cell r="B656" t="str">
            <v>LQXFLS</v>
          </cell>
        </row>
        <row r="657">
          <cell r="A657" t="str">
            <v>LQXFLS92*92CM</v>
          </cell>
          <cell r="B657" t="str">
            <v>LQXFLS</v>
          </cell>
        </row>
        <row r="658">
          <cell r="A658" t="str">
            <v>LQXFLSRO130CM</v>
          </cell>
          <cell r="B658" t="str">
            <v>LQXFLS</v>
          </cell>
        </row>
        <row r="659">
          <cell r="A659" t="str">
            <v>LQXFMBS85*85CM</v>
          </cell>
          <cell r="B659" t="str">
            <v>LQXFMBS</v>
          </cell>
        </row>
        <row r="660">
          <cell r="A660" t="str">
            <v>LQXFMS1H100*140CM</v>
          </cell>
          <cell r="B660" t="str">
            <v>LQXFMS1H</v>
          </cell>
        </row>
        <row r="661">
          <cell r="A661" t="str">
            <v>LQXFMS1H100*160CM</v>
          </cell>
          <cell r="B661" t="str">
            <v>LQXFMS1H</v>
          </cell>
        </row>
        <row r="662">
          <cell r="A662" t="str">
            <v>LQXFMS1H140*200CM</v>
          </cell>
          <cell r="B662" t="str">
            <v>LQXFMS1H</v>
          </cell>
        </row>
        <row r="663">
          <cell r="A663" t="str">
            <v>LQXFMS1H80*140</v>
          </cell>
          <cell r="B663" t="str">
            <v>LQXFMS1H</v>
          </cell>
        </row>
        <row r="664">
          <cell r="A664" t="str">
            <v>LQXFMS1H90*90CM</v>
          </cell>
          <cell r="B664" t="str">
            <v>LQXFMS1H</v>
          </cell>
        </row>
        <row r="665">
          <cell r="A665" t="str">
            <v>LQXFMSCX85*85CM</v>
          </cell>
          <cell r="B665" t="str">
            <v>LQXFMSCX</v>
          </cell>
        </row>
        <row r="666">
          <cell r="A666" t="str">
            <v>LQXFTY132*132CM</v>
          </cell>
          <cell r="B666" t="str">
            <v>LQXFTY</v>
          </cell>
        </row>
        <row r="667">
          <cell r="A667" t="str">
            <v>LQXFTY135*175CM</v>
          </cell>
          <cell r="B667" t="str">
            <v>LQXFTY</v>
          </cell>
        </row>
        <row r="668">
          <cell r="A668" t="str">
            <v>LUXGW-PBOWL-1</v>
          </cell>
          <cell r="B668" t="str">
            <v>LUXGW-PBOWL</v>
          </cell>
        </row>
        <row r="669">
          <cell r="A669" t="str">
            <v>LUXGW-PBOWL-2</v>
          </cell>
          <cell r="B669" t="str">
            <v>LUXGW-PBOWL</v>
          </cell>
        </row>
        <row r="670">
          <cell r="A670" t="str">
            <v>LUXGW-PBOWL-3</v>
          </cell>
          <cell r="B670" t="str">
            <v>LUXGW-PBOWL</v>
          </cell>
        </row>
        <row r="671">
          <cell r="A671" t="str">
            <v>M3-5JVK-FJF5</v>
          </cell>
          <cell r="B671" t="str">
            <v>M3-5JVK-FJF5</v>
          </cell>
        </row>
        <row r="672">
          <cell r="A672" t="str">
            <v>MANGAMRG-FREESIZE-mermaid</v>
          </cell>
          <cell r="B672" t="str">
            <v>MANGAMRG-FREESIZE-mermaid</v>
          </cell>
        </row>
        <row r="673">
          <cell r="A673" t="str">
            <v>mfs3black</v>
          </cell>
          <cell r="B673" t="str">
            <v>mfs3</v>
          </cell>
        </row>
        <row r="674">
          <cell r="A674" t="str">
            <v>mfs3blue</v>
          </cell>
          <cell r="B674" t="str">
            <v>mfs3</v>
          </cell>
        </row>
        <row r="675">
          <cell r="A675" t="str">
            <v>mfs3clear</v>
          </cell>
          <cell r="B675" t="str">
            <v>mfs3</v>
          </cell>
        </row>
        <row r="676">
          <cell r="A676" t="str">
            <v>mfs3pink</v>
          </cell>
          <cell r="B676" t="str">
            <v>mfs3</v>
          </cell>
        </row>
        <row r="677">
          <cell r="A677" t="str">
            <v>MID46-069-2XL</v>
          </cell>
          <cell r="B677" t="str">
            <v>MID46-069</v>
          </cell>
        </row>
        <row r="678">
          <cell r="A678" t="str">
            <v>MID46-069-3XL</v>
          </cell>
          <cell r="B678" t="str">
            <v>MID46-069</v>
          </cell>
        </row>
        <row r="679">
          <cell r="A679" t="str">
            <v>MID46-069HSLX</v>
          </cell>
          <cell r="B679" t="str">
            <v>MID46-069</v>
          </cell>
        </row>
        <row r="680">
          <cell r="A680" t="str">
            <v>MID46-069HSM</v>
          </cell>
          <cell r="B680" t="str">
            <v>MID46-069</v>
          </cell>
        </row>
        <row r="681">
          <cell r="A681" t="str">
            <v>MID46-069HSS</v>
          </cell>
          <cell r="B681" t="str">
            <v>MID46-069</v>
          </cell>
        </row>
        <row r="682">
          <cell r="A682" t="str">
            <v>MID46-069-XL</v>
          </cell>
          <cell r="B682" t="str">
            <v>MID46-069</v>
          </cell>
        </row>
        <row r="683">
          <cell r="A683" t="str">
            <v>MIDTREEA-M</v>
          </cell>
          <cell r="B683" t="str">
            <v>MIDTREEA</v>
          </cell>
        </row>
        <row r="684">
          <cell r="A684" t="str">
            <v>MIDTREE-L</v>
          </cell>
          <cell r="B684" t="str">
            <v>MIDTREE</v>
          </cell>
        </row>
        <row r="685">
          <cell r="A685" t="str">
            <v>MIDTREE-M</v>
          </cell>
          <cell r="B685" t="str">
            <v>MIDTREE</v>
          </cell>
        </row>
        <row r="686">
          <cell r="A686" t="str">
            <v>MIDULOKOE0L</v>
          </cell>
          <cell r="B686" t="str">
            <v>MIDULOKO</v>
          </cell>
        </row>
        <row r="687">
          <cell r="A687" t="str">
            <v>MIDULOKOE0M</v>
          </cell>
          <cell r="B687" t="str">
            <v>MIDULOKO</v>
          </cell>
        </row>
        <row r="688">
          <cell r="A688" t="str">
            <v>MIDULOKOE0S</v>
          </cell>
          <cell r="B688" t="str">
            <v>MIDULOKO</v>
          </cell>
        </row>
        <row r="689">
          <cell r="A689" t="str">
            <v>MIDULOKOE0XL</v>
          </cell>
          <cell r="B689" t="str">
            <v>MIDULOKO</v>
          </cell>
        </row>
        <row r="690">
          <cell r="A690" t="str">
            <v>MIDUOYBF-BG0M</v>
          </cell>
          <cell r="B690" t="str">
            <v>MIDUOYBF</v>
          </cell>
        </row>
        <row r="691">
          <cell r="A691" t="str">
            <v>MIDUOYBF-BJSM</v>
          </cell>
          <cell r="B691" t="str">
            <v>MIDUOYBF</v>
          </cell>
        </row>
        <row r="692">
          <cell r="A692" t="str">
            <v>MIDUOYBF-BMHL</v>
          </cell>
          <cell r="B692" t="str">
            <v>MIDUOYBF</v>
          </cell>
        </row>
        <row r="693">
          <cell r="A693" t="str">
            <v>MIDUQF46W0L</v>
          </cell>
          <cell r="B693" t="str">
            <v>MIDUQF46W0L</v>
          </cell>
        </row>
        <row r="694">
          <cell r="A694" t="str">
            <v>MIDUQF46W0M</v>
          </cell>
          <cell r="B694" t="str">
            <v>MIDUQF46W0M</v>
          </cell>
        </row>
        <row r="695">
          <cell r="A695" t="str">
            <v>MIDUQF46W0SX</v>
          </cell>
          <cell r="B695" t="str">
            <v>MIDUQF46</v>
          </cell>
        </row>
        <row r="696">
          <cell r="A696" t="str">
            <v>MIDUSYBRTZL</v>
          </cell>
          <cell r="B696" t="str">
            <v>MIDUSYBRT</v>
          </cell>
        </row>
        <row r="697">
          <cell r="A697" t="str">
            <v>MIDUSYBRTZM</v>
          </cell>
          <cell r="B697" t="str">
            <v>MIDUSYBRT</v>
          </cell>
        </row>
        <row r="698">
          <cell r="A698" t="str">
            <v>MIDUSYBRTZS</v>
          </cell>
          <cell r="B698" t="str">
            <v>MIDUSYBRT</v>
          </cell>
        </row>
        <row r="699">
          <cell r="A699" t="str">
            <v>MIDUSYBRTZXL</v>
          </cell>
          <cell r="B699" t="str">
            <v>MIDUSYBRT</v>
          </cell>
        </row>
        <row r="700">
          <cell r="A700" t="str">
            <v>MIDUY046-018KZL</v>
          </cell>
          <cell r="B700" t="str">
            <v>MIDUY046</v>
          </cell>
        </row>
        <row r="701">
          <cell r="A701" t="str">
            <v>MIDUY046-018KZM</v>
          </cell>
          <cell r="B701" t="str">
            <v>MIDUY046</v>
          </cell>
        </row>
        <row r="702">
          <cell r="A702" t="str">
            <v>MIDUY046-018KZS</v>
          </cell>
          <cell r="B702" t="str">
            <v>MIDUY046</v>
          </cell>
        </row>
        <row r="703">
          <cell r="A703" t="str">
            <v>MIDUY046KZL</v>
          </cell>
          <cell r="B703" t="str">
            <v>MIDUY046</v>
          </cell>
        </row>
        <row r="704">
          <cell r="A704" t="str">
            <v>MIDUYBLK0L</v>
          </cell>
          <cell r="B704" t="str">
            <v>MIDUYBLK0L</v>
          </cell>
        </row>
        <row r="705">
          <cell r="A705" t="str">
            <v>MIDUYBLK0L.MISSING</v>
          </cell>
          <cell r="B705" t="str">
            <v>MIDUYBLK0L.MISSING</v>
          </cell>
        </row>
        <row r="706">
          <cell r="A706" t="str">
            <v>MIDUYBLK0M</v>
          </cell>
          <cell r="B706" t="str">
            <v>MIDUYBLK0M</v>
          </cell>
        </row>
        <row r="707">
          <cell r="A707" t="str">
            <v>MIDUYBLK0S</v>
          </cell>
          <cell r="B707" t="str">
            <v>MIDUYBLK0S</v>
          </cell>
        </row>
        <row r="708">
          <cell r="A708" t="str">
            <v>MIDUYCEKZL</v>
          </cell>
          <cell r="B708" t="str">
            <v>MIDUYCE</v>
          </cell>
        </row>
        <row r="709">
          <cell r="A709" t="str">
            <v>MIDUYCEKZM</v>
          </cell>
          <cell r="B709" t="str">
            <v>MIDUYCE</v>
          </cell>
        </row>
        <row r="710">
          <cell r="A710" t="str">
            <v>MIDUYCGQHSL</v>
          </cell>
          <cell r="B710" t="str">
            <v>MIDUYCGQH</v>
          </cell>
        </row>
        <row r="711">
          <cell r="A711" t="str">
            <v>MIDUYCI004KZJM</v>
          </cell>
          <cell r="B711" t="str">
            <v>MIDUYCI004</v>
          </cell>
        </row>
        <row r="712">
          <cell r="A712" t="str">
            <v>MIDUYD036G0L</v>
          </cell>
          <cell r="B712" t="str">
            <v>MIDUYD036</v>
          </cell>
        </row>
        <row r="713">
          <cell r="A713" t="str">
            <v>MIDUYD036G0M</v>
          </cell>
          <cell r="B713" t="str">
            <v>MIDUYD036</v>
          </cell>
        </row>
        <row r="714">
          <cell r="A714" t="str">
            <v>MIDUYD036G0SX</v>
          </cell>
          <cell r="B714" t="str">
            <v>MIDUYD036</v>
          </cell>
        </row>
        <row r="715">
          <cell r="A715" t="str">
            <v>MIDUYD037BZYS</v>
          </cell>
          <cell r="B715" t="str">
            <v>MIDUYD037</v>
          </cell>
        </row>
        <row r="716">
          <cell r="A716" t="str">
            <v>MIDUYD037K0L</v>
          </cell>
          <cell r="B716" t="str">
            <v>MIDUYD037</v>
          </cell>
        </row>
        <row r="717">
          <cell r="A717" t="str">
            <v>MIDUYD037K0MX</v>
          </cell>
          <cell r="B717" t="str">
            <v>MIDUYD037</v>
          </cell>
        </row>
        <row r="718">
          <cell r="A718" t="str">
            <v>MIDUYD037K0S</v>
          </cell>
          <cell r="B718" t="str">
            <v>MIDUYD037</v>
          </cell>
        </row>
        <row r="719">
          <cell r="A719" t="str">
            <v>MIDUYD037K0XL</v>
          </cell>
          <cell r="B719" t="str">
            <v>MIDUYD037</v>
          </cell>
        </row>
        <row r="720">
          <cell r="A720" t="str">
            <v>MIDUYD037K1M</v>
          </cell>
          <cell r="B720" t="str">
            <v>MIDUYD037</v>
          </cell>
        </row>
        <row r="721">
          <cell r="A721" t="str">
            <v>MIDUYD038K0M</v>
          </cell>
          <cell r="B721" t="str">
            <v>MIDUYD038</v>
          </cell>
        </row>
        <row r="722">
          <cell r="A722" t="str">
            <v>MIDUYD046W0L</v>
          </cell>
          <cell r="B722" t="str">
            <v>MIDUYD046</v>
          </cell>
        </row>
        <row r="723">
          <cell r="A723" t="str">
            <v>MIDUYD046W0MX</v>
          </cell>
          <cell r="B723" t="str">
            <v>MIDUYD046</v>
          </cell>
        </row>
        <row r="724">
          <cell r="A724" t="str">
            <v>MIDUYD046W0S</v>
          </cell>
          <cell r="B724" t="str">
            <v>MIDUYD046</v>
          </cell>
        </row>
        <row r="725">
          <cell r="A725" t="str">
            <v>MIDUYD070W0L</v>
          </cell>
          <cell r="B725" t="str">
            <v>MIDUYD070</v>
          </cell>
        </row>
        <row r="726">
          <cell r="A726" t="str">
            <v>MIDUYD070W0M</v>
          </cell>
          <cell r="B726" t="str">
            <v>MIDUYD070</v>
          </cell>
        </row>
        <row r="727">
          <cell r="A727" t="str">
            <v>MIDUYD070W0S</v>
          </cell>
          <cell r="B727" t="str">
            <v>MIDUYD070</v>
          </cell>
        </row>
        <row r="728">
          <cell r="A728" t="str">
            <v>MIDUYD070W0XL</v>
          </cell>
          <cell r="B728" t="str">
            <v>MIDUYD070</v>
          </cell>
        </row>
        <row r="729">
          <cell r="A729" t="str">
            <v>MIDUYD46-059KZL</v>
          </cell>
          <cell r="B729" t="str">
            <v>MIDUYD46-059</v>
          </cell>
        </row>
        <row r="730">
          <cell r="A730" t="str">
            <v>MIDUYD46-059KZM</v>
          </cell>
          <cell r="B730" t="str">
            <v>MIDUYD46-059</v>
          </cell>
        </row>
        <row r="731">
          <cell r="A731" t="str">
            <v>MIDUYD46-059KZS</v>
          </cell>
          <cell r="B731" t="str">
            <v>MIDUYD46-059</v>
          </cell>
        </row>
        <row r="732">
          <cell r="A732" t="str">
            <v>MIDUYD46-063KZS</v>
          </cell>
          <cell r="B732" t="str">
            <v>MIDUYD46-063</v>
          </cell>
        </row>
        <row r="733">
          <cell r="A733" t="str">
            <v>MIDUYD46-HDK0L</v>
          </cell>
          <cell r="B733" t="str">
            <v>MIDUYD46-HDK</v>
          </cell>
        </row>
        <row r="734">
          <cell r="A734" t="str">
            <v>MIDUYD46-HDK0MX</v>
          </cell>
          <cell r="B734" t="str">
            <v>MIDUYD46-HDK</v>
          </cell>
        </row>
        <row r="735">
          <cell r="A735" t="str">
            <v>MIDUYD46-HDK0S</v>
          </cell>
          <cell r="B735" t="str">
            <v>MIDUYD46-HDK</v>
          </cell>
        </row>
        <row r="736">
          <cell r="A736" t="str">
            <v>MJ-IUYL230-BL-L</v>
          </cell>
          <cell r="B736" t="str">
            <v>MJ-IUYL230</v>
          </cell>
        </row>
        <row r="737">
          <cell r="A737" t="str">
            <v>MJ-IUYL230-BL-S</v>
          </cell>
          <cell r="B737" t="str">
            <v>MJ-IUYL230</v>
          </cell>
        </row>
        <row r="738">
          <cell r="A738" t="str">
            <v>MJ-IUYL230-CF-L</v>
          </cell>
          <cell r="B738" t="str">
            <v>MJ-IUYL230</v>
          </cell>
        </row>
        <row r="739">
          <cell r="A739" t="str">
            <v>MJ-IUYL230-CF-S</v>
          </cell>
          <cell r="B739" t="str">
            <v>MJ-IUYL230</v>
          </cell>
        </row>
        <row r="740">
          <cell r="A740" t="str">
            <v>MJ-IUYL230-PK-L</v>
          </cell>
          <cell r="B740" t="str">
            <v>MJ-IUYL230</v>
          </cell>
        </row>
        <row r="741">
          <cell r="A741" t="str">
            <v>MJ-IUYL230-PK-S</v>
          </cell>
          <cell r="B741" t="str">
            <v>MJ-IUYL230</v>
          </cell>
        </row>
        <row r="742">
          <cell r="A742" t="str">
            <v>MLABO100*140CM</v>
          </cell>
          <cell r="B742" t="str">
            <v>MLABO</v>
          </cell>
        </row>
        <row r="743">
          <cell r="A743" t="str">
            <v>MLABOH100*140CM</v>
          </cell>
          <cell r="B743" t="str">
            <v>MLABO</v>
          </cell>
        </row>
        <row r="744">
          <cell r="A744" t="str">
            <v>MLABOH140*180CM</v>
          </cell>
          <cell r="B744" t="str">
            <v>MLABO</v>
          </cell>
        </row>
        <row r="745">
          <cell r="A745" t="str">
            <v>MTFSNANKU-YY3630JLS-34</v>
          </cell>
          <cell r="B745" t="str">
            <v>MTFSNANKU-YY3630</v>
          </cell>
        </row>
        <row r="746">
          <cell r="A746" t="str">
            <v>MTFSNANKU-YY3630JLS-38</v>
          </cell>
          <cell r="B746" t="str">
            <v>MTFSNANKU-YY3630</v>
          </cell>
        </row>
        <row r="747">
          <cell r="A747" t="str">
            <v>MTX-IULHY-M1759-DB-27</v>
          </cell>
          <cell r="B747" t="str">
            <v>MTX-IULHY-M1759</v>
          </cell>
        </row>
        <row r="748">
          <cell r="A748" t="str">
            <v>MTX-IULHY-M1759-DB-28</v>
          </cell>
          <cell r="B748" t="str">
            <v>MTX-IULHY-M1759</v>
          </cell>
        </row>
        <row r="749">
          <cell r="A749" t="str">
            <v>MTX-IULHY-M1759-DB-29</v>
          </cell>
          <cell r="B749" t="str">
            <v>MTX-IULHY-M1759</v>
          </cell>
        </row>
        <row r="750">
          <cell r="A750" t="str">
            <v>MTX-IULHY-M1759-GR-27</v>
          </cell>
          <cell r="B750" t="str">
            <v>MTX-IULHY-M1759</v>
          </cell>
        </row>
        <row r="751">
          <cell r="A751" t="str">
            <v>MTX-IULHY-M1759-GR-28</v>
          </cell>
          <cell r="B751" t="str">
            <v>MTX-IULHY-M1759</v>
          </cell>
        </row>
        <row r="752">
          <cell r="A752" t="str">
            <v>MTX-IULHY-M1759-GR-29</v>
          </cell>
          <cell r="B752" t="str">
            <v>MTX-IULHY-M1759</v>
          </cell>
        </row>
        <row r="753">
          <cell r="A753" t="str">
            <v>MTX-IULHY-W1758-GN-25</v>
          </cell>
          <cell r="B753" t="str">
            <v>MTX-IULHY-W1758</v>
          </cell>
        </row>
        <row r="754">
          <cell r="A754" t="str">
            <v>MTX-IULHY-W1758-GN-26</v>
          </cell>
          <cell r="B754" t="str">
            <v>MTX-IULHY-W1758</v>
          </cell>
        </row>
        <row r="755">
          <cell r="A755" t="str">
            <v>MTX-IULHY-W1758-GN-27</v>
          </cell>
          <cell r="B755" t="str">
            <v>MTX-IULHY-W1758</v>
          </cell>
        </row>
        <row r="756">
          <cell r="A756" t="str">
            <v>MTX-IULHY-W1758-OR-25</v>
          </cell>
          <cell r="B756" t="str">
            <v>MTX-IULHY-W1758</v>
          </cell>
        </row>
        <row r="757">
          <cell r="A757" t="str">
            <v>MTX-IULHY-W1758-OR-26</v>
          </cell>
          <cell r="B757" t="str">
            <v>MTX-IULHY-W1758</v>
          </cell>
        </row>
        <row r="758">
          <cell r="A758" t="str">
            <v>MTX-IULHY-W1758-OR-27</v>
          </cell>
          <cell r="B758" t="str">
            <v>MTX-IULHY-W1758</v>
          </cell>
        </row>
        <row r="759">
          <cell r="A759" t="str">
            <v>MTX-IULHY-W1758-PK-25</v>
          </cell>
          <cell r="B759" t="str">
            <v>MTX-IULHY-W1758</v>
          </cell>
        </row>
        <row r="760">
          <cell r="A760" t="str">
            <v>MTX-IULHY-W1758-PK-26</v>
          </cell>
          <cell r="B760" t="str">
            <v>MTX-IULHY-W1758</v>
          </cell>
        </row>
        <row r="761">
          <cell r="A761" t="str">
            <v>MTX-IULHY-W1758-PK-27</v>
          </cell>
          <cell r="B761" t="str">
            <v>MTX-IULHY-W1758</v>
          </cell>
        </row>
        <row r="762">
          <cell r="A762" t="str">
            <v>MTX-IULHY-W1759-GN-25</v>
          </cell>
          <cell r="B762" t="str">
            <v>MTX-IULHY-W1759</v>
          </cell>
        </row>
        <row r="763">
          <cell r="A763" t="str">
            <v>MTX-IULHY-W1759-GN-26</v>
          </cell>
          <cell r="B763" t="str">
            <v>MTX-IULHY-W1759</v>
          </cell>
        </row>
        <row r="764">
          <cell r="A764" t="str">
            <v>MTX-IULHY-W1759-GN-27</v>
          </cell>
          <cell r="B764" t="str">
            <v>MTX-IULHY-W1759</v>
          </cell>
        </row>
        <row r="765">
          <cell r="A765" t="str">
            <v>MTX-IULHY-W1759-OR-25</v>
          </cell>
          <cell r="B765" t="str">
            <v>MTX-IULHY-W1759</v>
          </cell>
        </row>
        <row r="766">
          <cell r="A766" t="str">
            <v>MTX-IULHY-W1759-OR-26</v>
          </cell>
          <cell r="B766" t="str">
            <v>MTX-IULHY-W1759</v>
          </cell>
        </row>
        <row r="767">
          <cell r="A767" t="str">
            <v>MTX-IULHY-W1759-OR-27</v>
          </cell>
          <cell r="B767" t="str">
            <v>MTX-IULHY-W1759</v>
          </cell>
        </row>
        <row r="768">
          <cell r="A768" t="str">
            <v>MTX-IULHY-W1759-PK-25</v>
          </cell>
          <cell r="B768" t="str">
            <v>MTX-IULHY-W1759</v>
          </cell>
        </row>
        <row r="769">
          <cell r="A769" t="str">
            <v>MTX-IULHY-W1759-PK-26</v>
          </cell>
          <cell r="B769" t="str">
            <v>MTX-IULHY-W1759</v>
          </cell>
        </row>
        <row r="770">
          <cell r="A770" t="str">
            <v>MTX-IULHY-W1759-PK-27</v>
          </cell>
          <cell r="B770" t="str">
            <v>MTX-IULHY-W1759</v>
          </cell>
        </row>
        <row r="771">
          <cell r="A771" t="str">
            <v>MTX-IULHY-W1798-GN-25</v>
          </cell>
          <cell r="B771" t="str">
            <v>MTX-IULHY-W1798</v>
          </cell>
        </row>
        <row r="772">
          <cell r="A772" t="str">
            <v>MTX-IULHY-W1798-GN-26</v>
          </cell>
          <cell r="B772" t="str">
            <v>MTX-IULHY-W1798</v>
          </cell>
        </row>
        <row r="773">
          <cell r="A773" t="str">
            <v>MTX-IULHY-W1798-GN-27</v>
          </cell>
          <cell r="B773" t="str">
            <v>MTX-IULHY-W1798</v>
          </cell>
        </row>
        <row r="774">
          <cell r="A774" t="str">
            <v>MTX-IULHY-W1798-OR-25</v>
          </cell>
          <cell r="B774" t="str">
            <v>MTX-IULHY-W1798</v>
          </cell>
        </row>
        <row r="775">
          <cell r="A775" t="str">
            <v>MTX-IULHY-W1798-OR-26</v>
          </cell>
          <cell r="B775" t="str">
            <v>MTX-IULHY-W1798</v>
          </cell>
        </row>
        <row r="776">
          <cell r="A776" t="str">
            <v>MTX-IULHY-W1798-OR-27</v>
          </cell>
          <cell r="B776" t="str">
            <v>MTX-IULHY-W1798</v>
          </cell>
        </row>
        <row r="777">
          <cell r="A777" t="str">
            <v>MTX-IULHY-W1798-PK-25</v>
          </cell>
          <cell r="B777" t="str">
            <v>MTX-IULHY-W1798</v>
          </cell>
        </row>
        <row r="778">
          <cell r="A778" t="str">
            <v>MTX-IULHY-W1798-PK-26</v>
          </cell>
          <cell r="B778" t="str">
            <v>MTX-IULHY-W1798</v>
          </cell>
        </row>
        <row r="779">
          <cell r="A779" t="str">
            <v>MTX-IULHY-W1798-PK-27</v>
          </cell>
          <cell r="B779" t="str">
            <v>MTX-IULHY-W1798</v>
          </cell>
        </row>
        <row r="780">
          <cell r="A780" t="str">
            <v>MTX-IULHY-W1798-RD-25</v>
          </cell>
          <cell r="B780" t="str">
            <v>MTX-IULHY-W1798</v>
          </cell>
        </row>
        <row r="781">
          <cell r="A781" t="str">
            <v>MTX-IULHY-W1798-RD-26</v>
          </cell>
          <cell r="B781" t="str">
            <v>MTX-IULHY-W1798</v>
          </cell>
        </row>
        <row r="782">
          <cell r="A782" t="str">
            <v>MTX-IULHY-W1798-RD-27</v>
          </cell>
          <cell r="B782" t="str">
            <v>MTX-IULHY-W1798</v>
          </cell>
        </row>
        <row r="783">
          <cell r="A783" t="str">
            <v>MTX-IULHY-W188-GN-35/37</v>
          </cell>
          <cell r="B783" t="str">
            <v>MTX-IULHY-W188</v>
          </cell>
        </row>
        <row r="784">
          <cell r="A784" t="str">
            <v>MTX-IULHY-W188-GN-38/39</v>
          </cell>
          <cell r="B784" t="str">
            <v>MTX-IULHY-W188</v>
          </cell>
        </row>
        <row r="785">
          <cell r="A785" t="str">
            <v>MTX-IULHY-W188-PK-35/37</v>
          </cell>
          <cell r="B785" t="str">
            <v>MTX-IULHY-W188</v>
          </cell>
        </row>
        <row r="786">
          <cell r="A786" t="str">
            <v>MTX-IULHY-W188-PK-38/39</v>
          </cell>
          <cell r="B786" t="str">
            <v>MTX-IULHY-W188</v>
          </cell>
        </row>
        <row r="787">
          <cell r="A787" t="str">
            <v>MTX-IULHY-W188-PP-35/37</v>
          </cell>
          <cell r="B787" t="str">
            <v>MTX-IULHY-W188</v>
          </cell>
        </row>
        <row r="788">
          <cell r="A788" t="str">
            <v>MTX-IULHY-W188-PP-38/39</v>
          </cell>
          <cell r="B788" t="str">
            <v>MTX-IULHY-W188</v>
          </cell>
        </row>
        <row r="789">
          <cell r="A789" t="str">
            <v>MYFSYTMRG-XL</v>
          </cell>
          <cell r="B789" t="str">
            <v>MYFSYTMRG</v>
          </cell>
        </row>
        <row r="790">
          <cell r="A790" t="str">
            <v>MYUYBLUE-XL</v>
          </cell>
          <cell r="B790" t="str">
            <v>MYUYBLUE</v>
          </cell>
        </row>
        <row r="791">
          <cell r="A791" t="str">
            <v>MYUYBLUE-XXL</v>
          </cell>
          <cell r="B791" t="str">
            <v>MYUYBLUE</v>
          </cell>
        </row>
        <row r="792">
          <cell r="A792" t="str">
            <v>MYUYHUAS-M</v>
          </cell>
          <cell r="B792" t="str">
            <v>MYUYHUAS</v>
          </cell>
        </row>
        <row r="793">
          <cell r="A793" t="str">
            <v>MYUYPINK-M</v>
          </cell>
          <cell r="B793" t="str">
            <v>MYUYPINK</v>
          </cell>
        </row>
        <row r="794">
          <cell r="A794" t="str">
            <v>MYUYPINK-XL</v>
          </cell>
          <cell r="B794" t="str">
            <v>MYUYPINK</v>
          </cell>
        </row>
        <row r="795">
          <cell r="A795" t="str">
            <v>MZXKDZKF</v>
          </cell>
          <cell r="B795" t="str">
            <v>MZXKDZKF</v>
          </cell>
        </row>
        <row r="796">
          <cell r="A796" t="str">
            <v>MZYSLHY140*140CM</v>
          </cell>
          <cell r="B796" t="str">
            <v>MZYSLHY</v>
          </cell>
        </row>
        <row r="797">
          <cell r="A797" t="str">
            <v>MZYSLHY140*180CM</v>
          </cell>
          <cell r="B797" t="str">
            <v>MZYSLHY</v>
          </cell>
        </row>
        <row r="798">
          <cell r="A798" t="str">
            <v>MZYSLHY140*200CM</v>
          </cell>
          <cell r="B798" t="str">
            <v>MZYSLHY</v>
          </cell>
        </row>
        <row r="799">
          <cell r="A799" t="str">
            <v>MZYSLHY140*220CM</v>
          </cell>
          <cell r="B799" t="str">
            <v>MZYSLHY</v>
          </cell>
        </row>
        <row r="800">
          <cell r="A800" t="str">
            <v>MZYSLHY60*60CM</v>
          </cell>
          <cell r="B800" t="str">
            <v>MZYSLHY</v>
          </cell>
        </row>
        <row r="801">
          <cell r="A801" t="str">
            <v>MZYSLHY90*90CM</v>
          </cell>
          <cell r="B801" t="str">
            <v>MZYSLHY</v>
          </cell>
        </row>
        <row r="802">
          <cell r="A802" t="str">
            <v>MZYSMMSX140*140CM</v>
          </cell>
          <cell r="B802" t="str">
            <v>MZYSM</v>
          </cell>
        </row>
        <row r="803">
          <cell r="A803" t="str">
            <v>MZYSMMSX140*180CM</v>
          </cell>
          <cell r="B803" t="str">
            <v>MZYSM</v>
          </cell>
        </row>
        <row r="804">
          <cell r="A804" t="str">
            <v>MZYSMMSX140*200CM</v>
          </cell>
          <cell r="B804" t="str">
            <v>MZYSM</v>
          </cell>
        </row>
        <row r="805">
          <cell r="A805" t="str">
            <v>MZYSMTYMT140*140cm</v>
          </cell>
          <cell r="B805" t="str">
            <v>MZYSM</v>
          </cell>
        </row>
        <row r="806">
          <cell r="A806" t="str">
            <v>MZYSMTYMT140*180cm</v>
          </cell>
          <cell r="B806" t="str">
            <v>MZYSM</v>
          </cell>
        </row>
        <row r="807">
          <cell r="A807" t="str">
            <v>MZYSMTYMT140*200cm</v>
          </cell>
          <cell r="B807" t="str">
            <v>MZYSM</v>
          </cell>
        </row>
        <row r="808">
          <cell r="A808" t="str">
            <v>MZYSMTYMT140*220CM</v>
          </cell>
          <cell r="B808" t="str">
            <v>MZYSM</v>
          </cell>
        </row>
        <row r="809">
          <cell r="A809" t="str">
            <v>MZYSMTYMT90*90cm</v>
          </cell>
          <cell r="B809" t="str">
            <v>MZYSM</v>
          </cell>
        </row>
        <row r="810">
          <cell r="A810" t="str">
            <v>MZYSMZ01140*140cm</v>
          </cell>
          <cell r="B810" t="str">
            <v>MZYSM</v>
          </cell>
        </row>
        <row r="811">
          <cell r="A811" t="str">
            <v>MZYSMZ01140*210cm</v>
          </cell>
          <cell r="B811" t="str">
            <v>MZYSM</v>
          </cell>
        </row>
        <row r="812">
          <cell r="A812" t="str">
            <v>MZYSMZ0170*140cm</v>
          </cell>
          <cell r="B812" t="str">
            <v>MZYSM</v>
          </cell>
        </row>
        <row r="813">
          <cell r="A813" t="str">
            <v>MZYSMZF100*140CM</v>
          </cell>
          <cell r="B813" t="str">
            <v>MZYSM</v>
          </cell>
        </row>
        <row r="814">
          <cell r="A814" t="str">
            <v>MZYSMZF140*180CM</v>
          </cell>
          <cell r="B814" t="str">
            <v>MZYSM</v>
          </cell>
        </row>
        <row r="815">
          <cell r="A815" t="str">
            <v>MZYSMZF140*200CM</v>
          </cell>
          <cell r="B815" t="str">
            <v>MZYSM</v>
          </cell>
        </row>
        <row r="816">
          <cell r="A816" t="str">
            <v>MZYSMZF140*220CM</v>
          </cell>
          <cell r="B816" t="str">
            <v>MZYSM</v>
          </cell>
        </row>
        <row r="817">
          <cell r="A817" t="str">
            <v>MZYSMZF60*60CM</v>
          </cell>
          <cell r="B817" t="str">
            <v>MZYSM</v>
          </cell>
        </row>
        <row r="818">
          <cell r="A818" t="str">
            <v>MZYSMZF90*90CM</v>
          </cell>
          <cell r="B818" t="str">
            <v>MZYSM</v>
          </cell>
        </row>
        <row r="819">
          <cell r="A819" t="str">
            <v>MZYSTYMM100*140CM</v>
          </cell>
          <cell r="B819" t="str">
            <v>MZYSTYMM</v>
          </cell>
        </row>
        <row r="820">
          <cell r="A820" t="str">
            <v>MZYSTYMM140*140CM</v>
          </cell>
          <cell r="B820" t="str">
            <v>MZYSTYMM</v>
          </cell>
        </row>
        <row r="821">
          <cell r="A821" t="str">
            <v>MZYSTYMM140*180CM</v>
          </cell>
          <cell r="B821" t="str">
            <v>MZYSTYMM</v>
          </cell>
        </row>
        <row r="822">
          <cell r="A822" t="str">
            <v>MZYSTYMM140*200CM</v>
          </cell>
          <cell r="B822" t="str">
            <v>MZYSTYMM</v>
          </cell>
        </row>
        <row r="823">
          <cell r="A823" t="str">
            <v>MZYSTYMM140*220CM</v>
          </cell>
          <cell r="B823" t="str">
            <v>MZYSTYMM</v>
          </cell>
        </row>
        <row r="824">
          <cell r="A824" t="str">
            <v>MZYSTYMM60*60CM</v>
          </cell>
          <cell r="B824" t="str">
            <v>MZYSTYMM</v>
          </cell>
        </row>
        <row r="825">
          <cell r="A825" t="str">
            <v>MZYSTYMM90*90CM</v>
          </cell>
          <cell r="B825" t="str">
            <v>MZYSTYMM</v>
          </cell>
        </row>
        <row r="826">
          <cell r="A826" t="str">
            <v>MZYSWZ8590*90CM</v>
          </cell>
          <cell r="B826" t="str">
            <v>MZYSWZ85</v>
          </cell>
        </row>
        <row r="827">
          <cell r="A827" t="str">
            <v>MZYSZHUOBUDTLEIS100*140CM</v>
          </cell>
          <cell r="B827" t="str">
            <v>MZYSZHUOBUD</v>
          </cell>
        </row>
        <row r="828">
          <cell r="A828" t="str">
            <v>MZYSZHUOBUDTLEIS140*140CM</v>
          </cell>
          <cell r="B828" t="str">
            <v>MZYSZHUOBUD</v>
          </cell>
        </row>
        <row r="829">
          <cell r="A829" t="str">
            <v>MZYSZHUOBUDTLEIS140*180CM</v>
          </cell>
          <cell r="B829" t="str">
            <v>MZYSZHUOBUD</v>
          </cell>
        </row>
        <row r="830">
          <cell r="A830" t="str">
            <v>MZYSZHUOBUDTLEIS140*200CM</v>
          </cell>
          <cell r="B830" t="str">
            <v>MZYSZHUOBUD</v>
          </cell>
        </row>
        <row r="831">
          <cell r="A831" t="str">
            <v>MZYSZHUOBUDTLEIS140*220CM</v>
          </cell>
          <cell r="B831" t="str">
            <v>MZYSZHUOBUD</v>
          </cell>
        </row>
        <row r="832">
          <cell r="A832" t="str">
            <v>MZYSZHUOBUDTLEIS140*250CM</v>
          </cell>
          <cell r="B832" t="str">
            <v>MZYSZHUOBUD</v>
          </cell>
        </row>
        <row r="833">
          <cell r="A833" t="str">
            <v>MZYSZHUOBUDTLEIS60*60CM</v>
          </cell>
          <cell r="B833" t="str">
            <v>MZYSZHUOBUD</v>
          </cell>
        </row>
        <row r="834">
          <cell r="A834" t="str">
            <v>MZYSZHUOBUDTLEIS90*90CM</v>
          </cell>
          <cell r="B834" t="str">
            <v>MZYSZHUOBUD</v>
          </cell>
        </row>
        <row r="835">
          <cell r="A835" t="str">
            <v>MZYSZHUOBUDTMAP100*140CM</v>
          </cell>
          <cell r="B835" t="str">
            <v>MZYSZHUOBUD</v>
          </cell>
        </row>
        <row r="836">
          <cell r="A836" t="str">
            <v>MZYSZHUOBUDTMAP140*140CM</v>
          </cell>
          <cell r="B836" t="str">
            <v>MZYSZHUOBUD</v>
          </cell>
        </row>
        <row r="837">
          <cell r="A837" t="str">
            <v>MZYSZHUOBUDTMAP140*180CM</v>
          </cell>
          <cell r="B837" t="str">
            <v>MZYSZHUOBUD</v>
          </cell>
        </row>
        <row r="838">
          <cell r="A838" t="str">
            <v>MZYSZHUOBUDTMAP140*200CM</v>
          </cell>
          <cell r="B838" t="str">
            <v>MZYSZHUOBUD</v>
          </cell>
        </row>
        <row r="839">
          <cell r="A839" t="str">
            <v>MZYSZHUOBUDTMAP140*220CM</v>
          </cell>
          <cell r="B839" t="str">
            <v>MZYSZHUOBUD</v>
          </cell>
        </row>
        <row r="840">
          <cell r="A840" t="str">
            <v>MZYSZHUOBUDTMAP140*250CM</v>
          </cell>
          <cell r="B840" t="str">
            <v>MZYSZHUOBUD</v>
          </cell>
        </row>
        <row r="841">
          <cell r="A841" t="str">
            <v>MZYSZHUOBUDTMAP60*60CM</v>
          </cell>
          <cell r="B841" t="str">
            <v>MZYSZHUOBUD</v>
          </cell>
        </row>
        <row r="842">
          <cell r="A842" t="str">
            <v>MZYSZHUOBUDTMAP90*90CM</v>
          </cell>
          <cell r="B842" t="str">
            <v>MZYSZHUOBUD</v>
          </cell>
        </row>
        <row r="843">
          <cell r="A843" t="str">
            <v>MZYSZHUOBUQXPURE140*180CM</v>
          </cell>
          <cell r="B843" t="str">
            <v>MZYSZHUOBUD</v>
          </cell>
        </row>
        <row r="844">
          <cell r="A844" t="str">
            <v>MZYSZHUOBUQXPURE140*220CM</v>
          </cell>
          <cell r="B844" t="str">
            <v>MZYSZHUOBUD</v>
          </cell>
        </row>
        <row r="845">
          <cell r="A845" t="str">
            <v>NB003D100HF</v>
          </cell>
          <cell r="B845" t="str">
            <v>NB003</v>
          </cell>
        </row>
        <row r="846">
          <cell r="A846" t="str">
            <v>NEWCBLUE-L</v>
          </cell>
          <cell r="B846" t="str">
            <v>NEWC</v>
          </cell>
        </row>
        <row r="847">
          <cell r="A847" t="str">
            <v>NEWCBLUE-M</v>
          </cell>
          <cell r="B847" t="str">
            <v>NEWC</v>
          </cell>
        </row>
        <row r="848">
          <cell r="A848" t="str">
            <v>NEWCBLUE-S</v>
          </cell>
          <cell r="B848" t="str">
            <v>NEWCBLUE</v>
          </cell>
        </row>
        <row r="849">
          <cell r="A849" t="str">
            <v>NEWCBLUE-XL</v>
          </cell>
          <cell r="B849" t="str">
            <v>NEWCBLUE</v>
          </cell>
        </row>
        <row r="850">
          <cell r="A850" t="str">
            <v>NEWZXXCFS-L</v>
          </cell>
          <cell r="B850" t="str">
            <v>NEWCBLUE</v>
          </cell>
        </row>
        <row r="851">
          <cell r="A851" t="str">
            <v>NEWZXXCFS-M</v>
          </cell>
          <cell r="B851" t="str">
            <v>NEWZXXC</v>
          </cell>
        </row>
        <row r="852">
          <cell r="A852" t="str">
            <v>NEWZXXCFS-S</v>
          </cell>
          <cell r="B852" t="str">
            <v>NEWZXXC</v>
          </cell>
        </row>
        <row r="853">
          <cell r="A853" t="str">
            <v>NEWZXXCFS-XL</v>
          </cell>
          <cell r="B853" t="str">
            <v>NEWZXXC</v>
          </cell>
        </row>
        <row r="854">
          <cell r="A854" t="str">
            <v>NEWZXXCHO-L</v>
          </cell>
          <cell r="B854" t="str">
            <v>NEWZXXC</v>
          </cell>
        </row>
        <row r="855">
          <cell r="A855" t="str">
            <v>NEWZXXCHO-M</v>
          </cell>
          <cell r="B855" t="str">
            <v>NEWZXXC</v>
          </cell>
        </row>
        <row r="856">
          <cell r="A856" t="str">
            <v>NEWZXXCHO-S</v>
          </cell>
          <cell r="B856" t="str">
            <v>NEWZXXC</v>
          </cell>
        </row>
        <row r="857">
          <cell r="A857" t="str">
            <v>NEWZXXCHO-XL</v>
          </cell>
          <cell r="B857" t="str">
            <v>NEWZXXC</v>
          </cell>
        </row>
        <row r="858">
          <cell r="A858" t="str">
            <v>NEWZXXCLV-L</v>
          </cell>
          <cell r="B858" t="str">
            <v>NEWZXXC</v>
          </cell>
        </row>
        <row r="859">
          <cell r="A859" t="str">
            <v>NEWZXXCLV-M</v>
          </cell>
          <cell r="B859" t="str">
            <v>NEWZXXC</v>
          </cell>
        </row>
        <row r="860">
          <cell r="A860" t="str">
            <v>NEWZXXCLV-S</v>
          </cell>
          <cell r="B860" t="str">
            <v>NEWZXXC</v>
          </cell>
        </row>
        <row r="861">
          <cell r="A861" t="str">
            <v>NEWZXXCLV-XL</v>
          </cell>
          <cell r="B861" t="str">
            <v>NEWZXXC</v>
          </cell>
        </row>
        <row r="862">
          <cell r="A862" t="str">
            <v>NEWZXXCZS-L</v>
          </cell>
          <cell r="B862" t="str">
            <v>NEWZXXC</v>
          </cell>
        </row>
        <row r="863">
          <cell r="A863" t="str">
            <v>NEWZXXCZS-M</v>
          </cell>
          <cell r="B863" t="str">
            <v>NEWZXXC</v>
          </cell>
        </row>
        <row r="864">
          <cell r="A864" t="str">
            <v>NEWZXXCZS-S</v>
          </cell>
          <cell r="B864" t="str">
            <v>NEWZXXC</v>
          </cell>
        </row>
        <row r="865">
          <cell r="A865" t="str">
            <v>NEWZXXCZS-XL</v>
          </cell>
          <cell r="B865" t="str">
            <v>NEWZXXC</v>
          </cell>
        </row>
        <row r="866">
          <cell r="A866" t="str">
            <v>NG002XCD100</v>
          </cell>
          <cell r="B866" t="str">
            <v>NG002XCD</v>
          </cell>
        </row>
        <row r="867">
          <cell r="A867" t="str">
            <v>NS-QVCB-H5MC</v>
          </cell>
          <cell r="B867" t="str">
            <v>NS-QVCB-H5MC</v>
          </cell>
        </row>
        <row r="868">
          <cell r="A868" t="str">
            <v>P6XB6X-00MHL</v>
          </cell>
          <cell r="B868" t="str">
            <v>P6XB6X</v>
          </cell>
        </row>
        <row r="869">
          <cell r="A869" t="str">
            <v>P6XB6X-01G0L</v>
          </cell>
          <cell r="B869" t="str">
            <v>P6XB6X</v>
          </cell>
        </row>
        <row r="870">
          <cell r="A870" t="str">
            <v>P6XB6X-03K0</v>
          </cell>
          <cell r="B870" t="str">
            <v>P6XB6X</v>
          </cell>
        </row>
        <row r="871">
          <cell r="A871" t="str">
            <v>P6XB6X-03Y0L</v>
          </cell>
          <cell r="B871" t="str">
            <v>P6XB6X</v>
          </cell>
        </row>
        <row r="872">
          <cell r="A872" t="str">
            <v>PCZGOUGHWH140*140CM</v>
          </cell>
          <cell r="B872" t="str">
            <v>PCZGOUGHWH</v>
          </cell>
        </row>
        <row r="873">
          <cell r="A873" t="str">
            <v>PETY0XL</v>
          </cell>
          <cell r="B873" t="str">
            <v>PETY0</v>
          </cell>
        </row>
        <row r="874">
          <cell r="A874" t="str">
            <v>PETY0XXL</v>
          </cell>
          <cell r="B874" t="str">
            <v>PETY0</v>
          </cell>
        </row>
        <row r="875">
          <cell r="A875" t="str">
            <v>PUJIANGBAIMAMRG-COFFEE</v>
          </cell>
          <cell r="B875" t="str">
            <v>PUJIANGBAIMAMRG</v>
          </cell>
        </row>
        <row r="876">
          <cell r="A876" t="str">
            <v>PUJIANGBAIMAMRG-COFFEE-XXXL</v>
          </cell>
          <cell r="B876" t="str">
            <v>PUJIANGBAIMAMRG</v>
          </cell>
        </row>
        <row r="877">
          <cell r="A877" t="str">
            <v>PUJIANGBAIMAMRG-White polka dot</v>
          </cell>
          <cell r="B877" t="str">
            <v>PUJIANGBAIMAMRG</v>
          </cell>
        </row>
        <row r="878">
          <cell r="A878" t="str">
            <v>PUJJBAIDIXL-XL</v>
          </cell>
          <cell r="B878" t="str">
            <v>PUJJBAIDIXL</v>
          </cell>
        </row>
        <row r="879">
          <cell r="A879" t="str">
            <v>PUQBQBOS-S</v>
          </cell>
          <cell r="B879" t="str">
            <v>PUQBQBOS</v>
          </cell>
        </row>
        <row r="880">
          <cell r="A880" t="str">
            <v>PUQBQBOS-XL</v>
          </cell>
          <cell r="B880" t="str">
            <v>PUQBQBOS</v>
          </cell>
        </row>
        <row r="881">
          <cell r="A881" t="str">
            <v>PUQBQJS-M</v>
          </cell>
          <cell r="B881" t="str">
            <v>PUQBQJS</v>
          </cell>
        </row>
        <row r="882">
          <cell r="A882" t="str">
            <v>PUQBQJS-XL</v>
          </cell>
          <cell r="B882" t="str">
            <v>PUQBQJS</v>
          </cell>
        </row>
        <row r="883">
          <cell r="A883" t="str">
            <v>QB-DQP6-WSCP</v>
          </cell>
          <cell r="B883" t="str">
            <v>QB-DQP6-WSCP</v>
          </cell>
        </row>
        <row r="884">
          <cell r="A884" t="str">
            <v>QYWLNANKU-13k15COFFEE-29</v>
          </cell>
          <cell r="B884" t="str">
            <v>QYWLNANKU-13k15</v>
          </cell>
        </row>
        <row r="885">
          <cell r="A885" t="str">
            <v>QYWLNANKU-13k15COFFEE-30</v>
          </cell>
          <cell r="B885" t="str">
            <v>QYWLNANKU-13k15</v>
          </cell>
        </row>
        <row r="886">
          <cell r="A886" t="str">
            <v>QYWLNANKU-13k15COFFEE-32</v>
          </cell>
          <cell r="B886" t="str">
            <v>QYWLNANKU-13k15</v>
          </cell>
        </row>
        <row r="887">
          <cell r="A887" t="str">
            <v>QYWLNANKU-13k15COFFEE-34</v>
          </cell>
          <cell r="B887" t="str">
            <v>QYWLNANKU-13k15</v>
          </cell>
        </row>
        <row r="888">
          <cell r="A888" t="str">
            <v>QYWLNANKU-13k15COFFEE-36</v>
          </cell>
          <cell r="B888" t="str">
            <v>QYWLNANKU-13k15</v>
          </cell>
        </row>
        <row r="889">
          <cell r="A889" t="str">
            <v>QYWLNANKU-13k15COFFEE-38</v>
          </cell>
          <cell r="B889" t="str">
            <v>QYWLNANKU-13k15</v>
          </cell>
        </row>
        <row r="890">
          <cell r="A890" t="str">
            <v>QYWLNANKU-13k15COFFEE-40</v>
          </cell>
          <cell r="B890" t="str">
            <v>QYWLNANKU-13k15</v>
          </cell>
        </row>
        <row r="891">
          <cell r="A891" t="str">
            <v>QYWLNANKU-13k15JLS-29</v>
          </cell>
          <cell r="B891" t="str">
            <v>QYWLNANKU-13k15</v>
          </cell>
        </row>
        <row r="892">
          <cell r="A892" t="str">
            <v>QYWLNANKU-13k15JLS-30</v>
          </cell>
          <cell r="B892" t="str">
            <v>QYWLNANKU-13k15</v>
          </cell>
        </row>
        <row r="893">
          <cell r="A893" t="str">
            <v>QYWLNANKU-13k15JLS-32</v>
          </cell>
          <cell r="B893" t="str">
            <v>QYWLNANKU-13k15</v>
          </cell>
        </row>
        <row r="894">
          <cell r="A894" t="str">
            <v>QYWLNANKU-13k15JLS-34</v>
          </cell>
          <cell r="B894" t="str">
            <v>QYWLNANKU-13k15</v>
          </cell>
        </row>
        <row r="895">
          <cell r="A895" t="str">
            <v>QYWLNANKU-13k15JLS-36</v>
          </cell>
          <cell r="B895" t="str">
            <v>QYWLNANKU-13k15</v>
          </cell>
        </row>
        <row r="896">
          <cell r="A896" t="str">
            <v>QYWLNANKU-13k15JLS-38</v>
          </cell>
          <cell r="B896" t="str">
            <v>QYWLNANKU-13k15</v>
          </cell>
        </row>
        <row r="897">
          <cell r="A897" t="str">
            <v>QYWLNANKU-13k15JLS-40</v>
          </cell>
          <cell r="B897" t="str">
            <v>QYWLNANKU-13k15</v>
          </cell>
        </row>
        <row r="898">
          <cell r="A898" t="str">
            <v>QYWLNANKU-13k15MBS-29</v>
          </cell>
          <cell r="B898" t="str">
            <v>QYWLNANKU-13k15</v>
          </cell>
        </row>
        <row r="899">
          <cell r="A899" t="str">
            <v>QYWLNANKU-13k15MBS-30</v>
          </cell>
          <cell r="B899" t="str">
            <v>QYWLNANKU-13k15</v>
          </cell>
        </row>
        <row r="900">
          <cell r="A900" t="str">
            <v>QYWLNANKU-13k15MBS-32</v>
          </cell>
          <cell r="B900" t="str">
            <v>QYWLNANKU-13k15</v>
          </cell>
        </row>
        <row r="901">
          <cell r="A901" t="str">
            <v>QYWLNANKU-13k15MBS-34</v>
          </cell>
          <cell r="B901" t="str">
            <v>QYWLNANKU-13k15</v>
          </cell>
        </row>
        <row r="902">
          <cell r="A902" t="str">
            <v>QYWLNANKU-13k15MBS-36</v>
          </cell>
          <cell r="B902" t="str">
            <v>QYWLNANKU-13k15</v>
          </cell>
        </row>
        <row r="903">
          <cell r="A903" t="str">
            <v>QYWLNANKU-13k15MBS-38</v>
          </cell>
          <cell r="B903" t="str">
            <v>QYWLNANKU-13k15</v>
          </cell>
        </row>
        <row r="904">
          <cell r="A904" t="str">
            <v>QYWLNANKU-13k15MBS-40</v>
          </cell>
          <cell r="B904" t="str">
            <v>QYWLNANKU-13k15</v>
          </cell>
        </row>
        <row r="905">
          <cell r="A905" t="str">
            <v>QYWLNANKU-13k15QL-29</v>
          </cell>
          <cell r="B905" t="str">
            <v>QYWLNANKU-13k15</v>
          </cell>
        </row>
        <row r="906">
          <cell r="A906" t="str">
            <v>QYWLNANKU-13k15QL-30</v>
          </cell>
          <cell r="B906" t="str">
            <v>QYWLNANKU-13k15</v>
          </cell>
        </row>
        <row r="907">
          <cell r="A907" t="str">
            <v>QYWLNANKU-13k15QL-32</v>
          </cell>
          <cell r="B907" t="str">
            <v>QYWLNANKU-13k15</v>
          </cell>
        </row>
        <row r="908">
          <cell r="A908" t="str">
            <v>QYWLNANKU-13k15QL-34</v>
          </cell>
          <cell r="B908" t="str">
            <v>QYWLNANKU-13k15</v>
          </cell>
        </row>
        <row r="909">
          <cell r="A909" t="str">
            <v>QYWLNANKU-13k15QL-36</v>
          </cell>
          <cell r="B909" t="str">
            <v>QYWLNANKU-13k15</v>
          </cell>
        </row>
        <row r="910">
          <cell r="A910" t="str">
            <v>QYWLNANKU-13k15QL-38</v>
          </cell>
          <cell r="B910" t="str">
            <v>QYWLNANKU-13k15</v>
          </cell>
        </row>
        <row r="911">
          <cell r="A911" t="str">
            <v>QYWLNANKU-13k15QL-40</v>
          </cell>
          <cell r="B911" t="str">
            <v>QYWLNANKU-13k15</v>
          </cell>
        </row>
        <row r="912">
          <cell r="A912" t="str">
            <v>R6-P04F-QRWI</v>
          </cell>
          <cell r="B912" t="str">
            <v>R6-P04F-QRWI</v>
          </cell>
        </row>
        <row r="913">
          <cell r="A913" t="str">
            <v>RAINBOWA-L</v>
          </cell>
          <cell r="B913" t="str">
            <v>RAINBOWA</v>
          </cell>
        </row>
        <row r="914">
          <cell r="A914" t="str">
            <v>RAINBOWA-M</v>
          </cell>
          <cell r="B914" t="str">
            <v>RAINBOWA</v>
          </cell>
        </row>
        <row r="915">
          <cell r="A915" t="str">
            <v>RAINBOWA-S</v>
          </cell>
          <cell r="B915" t="str">
            <v>RAINBOWA</v>
          </cell>
        </row>
        <row r="916">
          <cell r="A916" t="str">
            <v>RAINBOWA-XL</v>
          </cell>
          <cell r="B916" t="str">
            <v>RAINBOWA</v>
          </cell>
        </row>
        <row r="917">
          <cell r="A917" t="str">
            <v>RAINBOWDP-L</v>
          </cell>
          <cell r="B917" t="str">
            <v>RAINBOWDP</v>
          </cell>
        </row>
        <row r="918">
          <cell r="A918" t="str">
            <v>RAINBOWDP-M</v>
          </cell>
          <cell r="B918" t="str">
            <v>RAINBOWDP</v>
          </cell>
        </row>
        <row r="919">
          <cell r="A919" t="str">
            <v>RAINBOWDP-S</v>
          </cell>
          <cell r="B919" t="str">
            <v>RAINBOWDP</v>
          </cell>
        </row>
        <row r="920">
          <cell r="A920" t="str">
            <v>RAINBOWDP-XL</v>
          </cell>
          <cell r="B920" t="str">
            <v>RAINBOWDP</v>
          </cell>
        </row>
        <row r="921">
          <cell r="A921" t="str">
            <v>RSDXT777KQS</v>
          </cell>
          <cell r="B921" t="str">
            <v>RSDXT77</v>
          </cell>
        </row>
        <row r="922">
          <cell r="A922" t="str">
            <v>RSDXTXKXX12*10CM</v>
          </cell>
          <cell r="B922" t="str">
            <v>RSDXTXK</v>
          </cell>
        </row>
        <row r="923">
          <cell r="A923" t="str">
            <v>RSDXTXKXX20*11CM</v>
          </cell>
          <cell r="B923" t="str">
            <v>RSDXTXK</v>
          </cell>
        </row>
        <row r="924">
          <cell r="A924" t="str">
            <v>RSDXTXKXX20*11CM-1</v>
          </cell>
          <cell r="B924" t="str">
            <v>RSDXTXKXX</v>
          </cell>
        </row>
        <row r="925">
          <cell r="A925" t="str">
            <v>RSDXTXKXX20*11CM-2</v>
          </cell>
          <cell r="B925" t="str">
            <v>RSDXTXKXX</v>
          </cell>
        </row>
        <row r="926">
          <cell r="A926" t="str">
            <v>RSDXTXKXZ12*10CM</v>
          </cell>
          <cell r="B926" t="str">
            <v>RSDXTXK</v>
          </cell>
        </row>
        <row r="927">
          <cell r="A927" t="str">
            <v>RSDXTXKZS12*10CM</v>
          </cell>
          <cell r="B927" t="str">
            <v>RSDXTXK</v>
          </cell>
        </row>
        <row r="928">
          <cell r="A928" t="str">
            <v>RSDZSJH27*16CM</v>
          </cell>
          <cell r="B928" t="str">
            <v>RSDZSJH</v>
          </cell>
        </row>
        <row r="929">
          <cell r="A929" t="str">
            <v>RV-540G-G6I9</v>
          </cell>
          <cell r="B929" t="str">
            <v>RV-540G-G6I9</v>
          </cell>
        </row>
        <row r="930">
          <cell r="A930" t="str">
            <v>SB-100-G0</v>
          </cell>
          <cell r="B930" t="str">
            <v>SB-100</v>
          </cell>
        </row>
        <row r="931">
          <cell r="A931" t="str">
            <v>SB-100-K0</v>
          </cell>
          <cell r="B931" t="str">
            <v>SB-100</v>
          </cell>
        </row>
        <row r="932">
          <cell r="A932" t="str">
            <v>SB-100-R0</v>
          </cell>
          <cell r="B932" t="str">
            <v>SB-100</v>
          </cell>
        </row>
        <row r="933">
          <cell r="A933" t="str">
            <v>SB-101-B0</v>
          </cell>
          <cell r="B933" t="str">
            <v>SB-101</v>
          </cell>
        </row>
        <row r="934">
          <cell r="A934" t="str">
            <v>SEXIBKQS-2XL</v>
          </cell>
          <cell r="B934" t="str">
            <v>SEXIBKQS</v>
          </cell>
        </row>
        <row r="935">
          <cell r="A935" t="str">
            <v>SEXIBKQS-L</v>
          </cell>
          <cell r="B935" t="str">
            <v>SEXIBKQS</v>
          </cell>
        </row>
        <row r="936">
          <cell r="A936" t="str">
            <v>SEXIBKQS-XL</v>
          </cell>
          <cell r="B936" t="str">
            <v>SEXIBKQS</v>
          </cell>
        </row>
        <row r="937">
          <cell r="A937" t="str">
            <v>SEXIFHIS-XL</v>
          </cell>
          <cell r="B937" t="str">
            <v>SEXIBKQS</v>
          </cell>
        </row>
        <row r="938">
          <cell r="A938" t="str">
            <v>SEXIGKQS-XL</v>
          </cell>
          <cell r="B938" t="str">
            <v>SEXIBKQS</v>
          </cell>
        </row>
        <row r="939">
          <cell r="A939" t="str">
            <v>SG-050-K0</v>
          </cell>
          <cell r="B939" t="str">
            <v>SG-050</v>
          </cell>
        </row>
        <row r="940">
          <cell r="A940" t="str">
            <v>SG-100-K0</v>
          </cell>
          <cell r="B940" t="str">
            <v>SG-100</v>
          </cell>
        </row>
        <row r="941">
          <cell r="A941" t="str">
            <v>SGZ-LULHY-001</v>
          </cell>
          <cell r="B941" t="str">
            <v>SGZ-LULHY</v>
          </cell>
        </row>
        <row r="942">
          <cell r="A942" t="str">
            <v>SHIKUANSOMRG-light grey-M</v>
          </cell>
          <cell r="B942" t="str">
            <v>SHIKUANSOMRG</v>
          </cell>
        </row>
        <row r="943">
          <cell r="A943" t="str">
            <v>SJJJZHUOBUKTWB0100x140cm</v>
          </cell>
          <cell r="B943" t="str">
            <v>SJJJZHUOBUKTWB0</v>
          </cell>
        </row>
        <row r="944">
          <cell r="A944" t="str">
            <v>SJJJZHUOBUKTWB0140x140cm</v>
          </cell>
          <cell r="B944" t="str">
            <v>SJJJZHUOBUKTWB0</v>
          </cell>
        </row>
        <row r="945">
          <cell r="A945" t="str">
            <v>SJJJZHUOBUKTWB0140x160cm</v>
          </cell>
          <cell r="B945" t="str">
            <v>SJJJZHUOBUKTWB0</v>
          </cell>
        </row>
        <row r="946">
          <cell r="A946" t="str">
            <v>SJJJZHUOBUKTWB0140x180cm</v>
          </cell>
          <cell r="B946" t="str">
            <v>SJJJZHUOBUKTWB0</v>
          </cell>
        </row>
        <row r="947">
          <cell r="A947" t="str">
            <v>SJJJZHUOBUKTWB0140x200cm</v>
          </cell>
          <cell r="B947" t="str">
            <v>SJJJZHUOBUKTWB0</v>
          </cell>
        </row>
        <row r="948">
          <cell r="A948" t="str">
            <v>SJJJZHUOBUKTWB0140x220cm</v>
          </cell>
          <cell r="B948" t="str">
            <v>SJJJZHUOBUKTWB0</v>
          </cell>
        </row>
        <row r="949">
          <cell r="A949" t="str">
            <v>SJJJZHUOBUKTWB090x90cm</v>
          </cell>
          <cell r="B949" t="str">
            <v>SJJJZHUOBUKTWB0</v>
          </cell>
        </row>
        <row r="950">
          <cell r="A950" t="str">
            <v>SJJJZHUOBUXTWB0100x140cm</v>
          </cell>
          <cell r="B950" t="str">
            <v>SJJJZHUOBUKTWB0</v>
          </cell>
        </row>
        <row r="951">
          <cell r="A951" t="str">
            <v>SJJJZHUOBUXTWB0140x140cm</v>
          </cell>
          <cell r="B951" t="str">
            <v>SJJJZHUOBUKTWB0</v>
          </cell>
        </row>
        <row r="952">
          <cell r="A952" t="str">
            <v>SJJJZHUOBUXTWB0140x160cm</v>
          </cell>
          <cell r="B952" t="str">
            <v>SJJJZHUOBUKTWB0</v>
          </cell>
        </row>
        <row r="953">
          <cell r="A953" t="str">
            <v>SJJJZHUOBUXTWB0140x180cm</v>
          </cell>
          <cell r="B953" t="str">
            <v>SJJJZHUOBUKTWB0</v>
          </cell>
        </row>
        <row r="954">
          <cell r="A954" t="str">
            <v>SJJJZHUOBUXTWB0140x200cm</v>
          </cell>
          <cell r="B954" t="str">
            <v>SJJJZHUOBUKTWB0</v>
          </cell>
        </row>
        <row r="955">
          <cell r="A955" t="str">
            <v>SJJJZHUOBUXTWB0140x220cm</v>
          </cell>
          <cell r="B955" t="str">
            <v>SJJJZHUOBUKTWB0</v>
          </cell>
        </row>
        <row r="956">
          <cell r="A956" t="str">
            <v>SJJJZHUOBUXTWB090x90cm</v>
          </cell>
          <cell r="B956" t="str">
            <v>SJJJZHUOBUKTWB0</v>
          </cell>
        </row>
        <row r="957">
          <cell r="A957" t="str">
            <v>SLCYX-SSKB0147*147CM</v>
          </cell>
          <cell r="B957" t="str">
            <v>SJJJZHUOBUKTWB0</v>
          </cell>
        </row>
        <row r="958">
          <cell r="A958" t="str">
            <v>SND-IUYL00B-W0</v>
          </cell>
          <cell r="B958" t="str">
            <v>SND-IUYL</v>
          </cell>
        </row>
        <row r="959">
          <cell r="A959" t="str">
            <v>SND-IUYL111-BE</v>
          </cell>
          <cell r="B959" t="str">
            <v>SND-IUYL</v>
          </cell>
        </row>
        <row r="960">
          <cell r="A960" t="str">
            <v>SND-IUYL222-BE</v>
          </cell>
          <cell r="B960" t="str">
            <v>SND-IUYL</v>
          </cell>
        </row>
        <row r="961">
          <cell r="A961" t="str">
            <v>SND-IUYLZAK-BE</v>
          </cell>
          <cell r="B961" t="str">
            <v>SND-IUYL</v>
          </cell>
        </row>
        <row r="962">
          <cell r="A962" t="str">
            <v>SNOWKY-09BOS-L</v>
          </cell>
          <cell r="B962" t="str">
            <v>SNOWKY-09</v>
          </cell>
        </row>
        <row r="963">
          <cell r="A963" t="str">
            <v>SNOWKY-09FS-XL</v>
          </cell>
          <cell r="B963" t="str">
            <v>SNOWKY-09</v>
          </cell>
        </row>
        <row r="964">
          <cell r="A964" t="str">
            <v>SNTG-CLBOS-L</v>
          </cell>
          <cell r="B964" t="str">
            <v>SNTG-CL</v>
          </cell>
        </row>
        <row r="965">
          <cell r="A965" t="str">
            <v>SNTG-CLBOS-M</v>
          </cell>
          <cell r="B965" t="str">
            <v>SNTG-CL</v>
          </cell>
        </row>
        <row r="966">
          <cell r="A966" t="str">
            <v>SNTG-CLBOS-S</v>
          </cell>
          <cell r="B966" t="str">
            <v>SNTG-CL</v>
          </cell>
        </row>
        <row r="967">
          <cell r="A967" t="str">
            <v>SNTG-CLBOS-XL</v>
          </cell>
          <cell r="B967" t="str">
            <v>SNTG-CL</v>
          </cell>
        </row>
        <row r="968">
          <cell r="A968" t="str">
            <v>SNTG-CLBOS-XS</v>
          </cell>
          <cell r="B968" t="str">
            <v>SNTG-CL</v>
          </cell>
        </row>
        <row r="969">
          <cell r="A969" t="str">
            <v>SNTG-CLROS-L</v>
          </cell>
          <cell r="B969" t="str">
            <v>SNTG-CL</v>
          </cell>
        </row>
        <row r="970">
          <cell r="A970" t="str">
            <v>SNTG-CLROS-M</v>
          </cell>
          <cell r="B970" t="str">
            <v>SNTG-CL</v>
          </cell>
        </row>
        <row r="971">
          <cell r="A971" t="str">
            <v>SNTG-CLROS-S</v>
          </cell>
          <cell r="B971" t="str">
            <v>SNTG-CL</v>
          </cell>
        </row>
        <row r="972">
          <cell r="A972" t="str">
            <v>SNTG-CLROS-XL</v>
          </cell>
          <cell r="B972" t="str">
            <v>SNTG-CL</v>
          </cell>
        </row>
        <row r="973">
          <cell r="A973" t="str">
            <v>SNTG-CLROS-XS</v>
          </cell>
          <cell r="B973" t="str">
            <v>SNTG-CL</v>
          </cell>
        </row>
        <row r="974">
          <cell r="A974" t="str">
            <v>SQ-XLEJ-496F</v>
          </cell>
          <cell r="B974" t="str">
            <v>SQ-XLEJ-496</v>
          </cell>
        </row>
        <row r="975">
          <cell r="A975" t="str">
            <v>SSJGREYJHSJH140*180CM</v>
          </cell>
          <cell r="B975" t="str">
            <v>SSJGREYJHSJH</v>
          </cell>
        </row>
        <row r="976">
          <cell r="A976" t="str">
            <v>SSJGREYJHSJH140*200CM</v>
          </cell>
          <cell r="B976" t="str">
            <v>SSJGREYJHSJH</v>
          </cell>
        </row>
        <row r="977">
          <cell r="A977" t="str">
            <v>SSJGREYJHSJH140*220CM</v>
          </cell>
          <cell r="B977" t="str">
            <v>SSJGREYJHSJH</v>
          </cell>
        </row>
        <row r="978">
          <cell r="A978" t="str">
            <v>SSJGREYSJHSJH100*140CM</v>
          </cell>
          <cell r="B978" t="str">
            <v>SSJGREYSJHSJH</v>
          </cell>
        </row>
        <row r="979">
          <cell r="A979" t="str">
            <v>SSJGREYSJHSJH140*140CM</v>
          </cell>
          <cell r="B979" t="str">
            <v>SSJGREYSJHSJH</v>
          </cell>
        </row>
        <row r="980">
          <cell r="A980" t="str">
            <v>STD-IULCY-001-BLNGR</v>
          </cell>
          <cell r="B980" t="str">
            <v>STD-IULCY</v>
          </cell>
        </row>
        <row r="981">
          <cell r="A981" t="str">
            <v>STD-IULCY-001-LBNBL</v>
          </cell>
          <cell r="B981" t="str">
            <v>STD-IULCY</v>
          </cell>
        </row>
        <row r="982">
          <cell r="A982" t="str">
            <v>STD-IULCY-001-LBNGR</v>
          </cell>
          <cell r="B982" t="str">
            <v>STD-IULCY</v>
          </cell>
        </row>
        <row r="983">
          <cell r="A983" t="str">
            <v>STD-IULCY-001-LGNGN</v>
          </cell>
          <cell r="B983" t="str">
            <v>STD-IULCY</v>
          </cell>
        </row>
        <row r="984">
          <cell r="A984" t="str">
            <v>SWEATPETJS10</v>
          </cell>
          <cell r="B984" t="str">
            <v>SWEATPET</v>
          </cell>
        </row>
        <row r="985">
          <cell r="A985" t="str">
            <v>SWEATPETJS12</v>
          </cell>
          <cell r="B985" t="str">
            <v>SWEATPET</v>
          </cell>
        </row>
        <row r="986">
          <cell r="A986" t="str">
            <v>SWEATPETJS14</v>
          </cell>
          <cell r="B986" t="str">
            <v>SWEATPET</v>
          </cell>
        </row>
        <row r="987">
          <cell r="A987" t="str">
            <v>SWEATPETJS16</v>
          </cell>
          <cell r="B987" t="str">
            <v>SWEATPET</v>
          </cell>
        </row>
        <row r="988">
          <cell r="A988" t="str">
            <v>SWEATPETJS20</v>
          </cell>
          <cell r="B988" t="str">
            <v>SWEATPET</v>
          </cell>
        </row>
        <row r="989">
          <cell r="A989" t="str">
            <v>SWEATPETJS24</v>
          </cell>
          <cell r="B989" t="str">
            <v>SWEATPET</v>
          </cell>
        </row>
        <row r="990">
          <cell r="A990" t="str">
            <v>SWEATPETJS28</v>
          </cell>
          <cell r="B990" t="str">
            <v>SWEATPET</v>
          </cell>
        </row>
        <row r="991">
          <cell r="A991" t="str">
            <v>SWEATPETJS8</v>
          </cell>
          <cell r="B991" t="str">
            <v>SWEATPET</v>
          </cell>
        </row>
        <row r="992">
          <cell r="A992" t="str">
            <v>SWEATPETLAN10</v>
          </cell>
          <cell r="B992" t="str">
            <v>SWEATPET</v>
          </cell>
        </row>
        <row r="993">
          <cell r="A993" t="str">
            <v>SWEATPETLAN12</v>
          </cell>
          <cell r="B993" t="str">
            <v>SWEATPET</v>
          </cell>
        </row>
        <row r="994">
          <cell r="A994" t="str">
            <v>SWEATPETLAN14</v>
          </cell>
          <cell r="B994" t="str">
            <v>SWEATPET</v>
          </cell>
        </row>
        <row r="995">
          <cell r="A995" t="str">
            <v>SWEATPETLAN16</v>
          </cell>
          <cell r="B995" t="str">
            <v>SWEATPET</v>
          </cell>
        </row>
        <row r="996">
          <cell r="A996" t="str">
            <v>SWEATPETLAN20</v>
          </cell>
          <cell r="B996" t="str">
            <v>SWEATPET</v>
          </cell>
        </row>
        <row r="997">
          <cell r="A997" t="str">
            <v>SWEATPETLAN24</v>
          </cell>
          <cell r="B997" t="str">
            <v>SWEATPET</v>
          </cell>
        </row>
        <row r="998">
          <cell r="A998" t="str">
            <v>SWEATPETLAN28</v>
          </cell>
          <cell r="B998" t="str">
            <v>SWEATPET</v>
          </cell>
        </row>
        <row r="999">
          <cell r="A999" t="str">
            <v>SWEATPETLAN8</v>
          </cell>
          <cell r="B999" t="str">
            <v>SWEATPET</v>
          </cell>
        </row>
        <row r="1000">
          <cell r="A1000" t="str">
            <v>SWEATPETRO10</v>
          </cell>
          <cell r="B1000" t="str">
            <v>SWEATPET</v>
          </cell>
        </row>
        <row r="1001">
          <cell r="A1001" t="str">
            <v>SWEATPETRO12</v>
          </cell>
          <cell r="B1001" t="str">
            <v>SWEATPET</v>
          </cell>
        </row>
        <row r="1002">
          <cell r="A1002" t="str">
            <v>SWEATPETRO14</v>
          </cell>
          <cell r="B1002" t="str">
            <v>SWEATPET</v>
          </cell>
        </row>
        <row r="1003">
          <cell r="A1003" t="str">
            <v>SWEATPETRO16</v>
          </cell>
          <cell r="B1003" t="str">
            <v>SWEATPET</v>
          </cell>
        </row>
        <row r="1004">
          <cell r="A1004" t="str">
            <v>SWEATPETRO20</v>
          </cell>
          <cell r="B1004" t="str">
            <v>SWEATPET</v>
          </cell>
        </row>
        <row r="1005">
          <cell r="A1005" t="str">
            <v>SWEATPETRO24</v>
          </cell>
          <cell r="B1005" t="str">
            <v>SWEATPET</v>
          </cell>
        </row>
        <row r="1006">
          <cell r="A1006" t="str">
            <v>SWEATPETRO28</v>
          </cell>
          <cell r="B1006" t="str">
            <v>SWEATPET</v>
          </cell>
        </row>
        <row r="1007">
          <cell r="A1007" t="str">
            <v>SWEATPETRO8</v>
          </cell>
          <cell r="B1007" t="str">
            <v>SWEATPET</v>
          </cell>
        </row>
        <row r="1008">
          <cell r="A1008" t="str">
            <v>SXHLYITAO1-LH-001BO40x60CM</v>
          </cell>
          <cell r="B1008" t="str">
            <v>SXHLYITAO1-LH-001</v>
          </cell>
        </row>
        <row r="1009">
          <cell r="A1009" t="str">
            <v>SXHLYITAO1-LH-001GO40x60CM</v>
          </cell>
          <cell r="B1009" t="str">
            <v>SXHLYITAO1-LH-001</v>
          </cell>
        </row>
        <row r="1010">
          <cell r="A1010" t="str">
            <v>SXHLYITAO1-LH-001MHS40x60CM</v>
          </cell>
          <cell r="B1010" t="str">
            <v>SXHLYITAO1-LH-001</v>
          </cell>
        </row>
        <row r="1011">
          <cell r="A1011" t="str">
            <v>SXHLYITAO1-LH-001WI40x60CM</v>
          </cell>
          <cell r="B1011" t="str">
            <v>SXHLYITAO1-LH-001</v>
          </cell>
        </row>
        <row r="1012">
          <cell r="A1012" t="str">
            <v>SXHLYITAO2-LH-001SKFS40x60CM</v>
          </cell>
          <cell r="B1012" t="str">
            <v>SXHLYITAO1-LH-001</v>
          </cell>
        </row>
        <row r="1013">
          <cell r="A1013" t="str">
            <v>SXHLYITAO2-LH-001SKFS40x60CM-1</v>
          </cell>
          <cell r="B1013" t="str">
            <v>SXHLYITAO2-LH-001</v>
          </cell>
        </row>
        <row r="1014">
          <cell r="A1014" t="str">
            <v>SXHLYITAO2-LH-001SKFS40x60CM-2</v>
          </cell>
          <cell r="B1014" t="str">
            <v>SXHLYITAO2-LH-001</v>
          </cell>
        </row>
        <row r="1015">
          <cell r="A1015" t="str">
            <v>SXHLYITAO3-LH-001QLS40x60CM</v>
          </cell>
          <cell r="B1015" t="str">
            <v>SXHLYITAO1-LH-001</v>
          </cell>
        </row>
        <row r="1016">
          <cell r="A1016" t="str">
            <v>SXHLYITAO4-LH-001DHS40x60CM</v>
          </cell>
          <cell r="B1016" t="str">
            <v>SXHLYITAO1-LH-001</v>
          </cell>
        </row>
        <row r="1017">
          <cell r="A1017" t="str">
            <v>SXHLYITAO4-LH-001SZS40x60CM</v>
          </cell>
          <cell r="B1017" t="str">
            <v>SXHLYITAO1-LH-001</v>
          </cell>
        </row>
        <row r="1018">
          <cell r="A1018" t="str">
            <v>SXHLYITAO5-LH-001QKS40x60CM</v>
          </cell>
          <cell r="B1018" t="str">
            <v>SXHLYITAO1-LH-001</v>
          </cell>
        </row>
        <row r="1019">
          <cell r="A1019" t="str">
            <v>SXHLYITAO5-LH-001YHS40x60CM</v>
          </cell>
          <cell r="B1019" t="str">
            <v>SXHLYITAO1-LH-001</v>
          </cell>
        </row>
        <row r="1020">
          <cell r="A1020" t="str">
            <v>SZ-IUYL002</v>
          </cell>
          <cell r="B1020" t="str">
            <v>SZ-IUYL002</v>
          </cell>
        </row>
        <row r="1021">
          <cell r="A1021" t="str">
            <v>SZXSCHUANGLQQB0100x200CM</v>
          </cell>
          <cell r="B1021" t="str">
            <v>SZXSCHUANGLQQB0100x200CM</v>
          </cell>
        </row>
        <row r="1022">
          <cell r="A1022" t="str">
            <v>TBYGREEN</v>
          </cell>
          <cell r="B1022" t="str">
            <v>TBYPRBMRG</v>
          </cell>
        </row>
        <row r="1023">
          <cell r="A1023" t="str">
            <v>TBYPJBLACK</v>
          </cell>
          <cell r="B1023" t="str">
            <v>TBYPRBMRG</v>
          </cell>
        </row>
        <row r="1024">
          <cell r="A1024" t="str">
            <v>TBYPJBOGO</v>
          </cell>
          <cell r="B1024" t="str">
            <v>TBYPRBMRG</v>
          </cell>
        </row>
        <row r="1025">
          <cell r="A1025" t="str">
            <v>TBYPRBFOUR-M</v>
          </cell>
          <cell r="B1025" t="str">
            <v>TBYPRBMRG</v>
          </cell>
        </row>
        <row r="1026">
          <cell r="A1026" t="str">
            <v>TBYPRBONE-M</v>
          </cell>
          <cell r="B1026" t="str">
            <v>TBYPRBMRG</v>
          </cell>
        </row>
        <row r="1027">
          <cell r="A1027" t="str">
            <v>TBYPRB-PJ</v>
          </cell>
          <cell r="B1027" t="str">
            <v>TBYPRB</v>
          </cell>
        </row>
        <row r="1028">
          <cell r="A1028" t="str">
            <v>TBYPRB-RED</v>
          </cell>
          <cell r="B1028" t="str">
            <v>TBYPRB</v>
          </cell>
        </row>
        <row r="1029">
          <cell r="A1029" t="str">
            <v>TBYPRBTHREE-M</v>
          </cell>
          <cell r="B1029" t="str">
            <v>TBYPRBMRG</v>
          </cell>
        </row>
        <row r="1030">
          <cell r="A1030" t="str">
            <v>TBYPRBTWO-M</v>
          </cell>
          <cell r="B1030" t="str">
            <v>TBYPRBMRG</v>
          </cell>
        </row>
        <row r="1031">
          <cell r="A1031" t="str">
            <v>TBYSTARBLUE</v>
          </cell>
          <cell r="B1031" t="str">
            <v>TBYPRBMRG</v>
          </cell>
        </row>
        <row r="1032">
          <cell r="A1032" t="str">
            <v>TBYSTARRED</v>
          </cell>
          <cell r="B1032" t="str">
            <v>TBYPRBMRG</v>
          </cell>
        </row>
        <row r="1033">
          <cell r="A1033" t="str">
            <v>TBYWHITE</v>
          </cell>
          <cell r="B1033" t="str">
            <v>TBYPRBMRG</v>
          </cell>
        </row>
        <row r="1034">
          <cell r="A1034" t="str">
            <v>TBYY0POINT</v>
          </cell>
          <cell r="B1034" t="str">
            <v>TBYPRBMRG</v>
          </cell>
        </row>
        <row r="1035">
          <cell r="A1035" t="str">
            <v>TBYY0ROINT</v>
          </cell>
          <cell r="B1035" t="str">
            <v>TBYPRBMRG</v>
          </cell>
        </row>
        <row r="1036">
          <cell r="A1036" t="str">
            <v>TM-IULCY-300-AG</v>
          </cell>
          <cell r="B1036" t="str">
            <v>TM-IULCY-300</v>
          </cell>
        </row>
        <row r="1037">
          <cell r="A1037" t="str">
            <v>TM-IULCY-300-LB</v>
          </cell>
          <cell r="B1037" t="str">
            <v>TM-IULCY-300</v>
          </cell>
        </row>
        <row r="1038">
          <cell r="A1038" t="str">
            <v>TM-IULCY-300-LG</v>
          </cell>
          <cell r="B1038" t="str">
            <v>TM-IULCY-300</v>
          </cell>
        </row>
        <row r="1039">
          <cell r="A1039" t="str">
            <v>TTDNKJ-01SLM</v>
          </cell>
          <cell r="B1039" t="str">
            <v>TTDNKJ</v>
          </cell>
        </row>
        <row r="1040">
          <cell r="A1040" t="str">
            <v>TTDNKJ-02W0M</v>
          </cell>
          <cell r="B1040" t="str">
            <v>TTDNKJ</v>
          </cell>
        </row>
        <row r="1041">
          <cell r="A1041" t="str">
            <v>TTDNKJ-03R2M</v>
          </cell>
          <cell r="B1041" t="str">
            <v>TTDNKJ</v>
          </cell>
        </row>
        <row r="1042">
          <cell r="A1042" t="str">
            <v>TTDNKJ-04P0M</v>
          </cell>
          <cell r="B1042" t="str">
            <v>TTDNKJ</v>
          </cell>
        </row>
        <row r="1043">
          <cell r="A1043" t="str">
            <v>TTDNKJ-07SLL</v>
          </cell>
          <cell r="B1043" t="str">
            <v>TTDNKJ</v>
          </cell>
        </row>
        <row r="1044">
          <cell r="A1044" t="str">
            <v>TTDNKJ-08W0L</v>
          </cell>
          <cell r="B1044" t="str">
            <v>TTDNKJ</v>
          </cell>
        </row>
        <row r="1045">
          <cell r="A1045" t="str">
            <v>TTDNKJ-09R2L</v>
          </cell>
          <cell r="B1045" t="str">
            <v>TTDNKJ</v>
          </cell>
        </row>
        <row r="1046">
          <cell r="A1046" t="str">
            <v>TTDNKJ-10P0L</v>
          </cell>
          <cell r="B1046" t="str">
            <v>TTDNKJ</v>
          </cell>
        </row>
        <row r="1047">
          <cell r="A1047" t="str">
            <v>TTDNKJ-13SLXL</v>
          </cell>
          <cell r="B1047" t="str">
            <v>TTDNKJ</v>
          </cell>
        </row>
        <row r="1048">
          <cell r="A1048" t="str">
            <v>TTDNKJ-14W0XL</v>
          </cell>
          <cell r="B1048" t="str">
            <v>TTDNKJ</v>
          </cell>
        </row>
        <row r="1049">
          <cell r="A1049" t="str">
            <v>TTDNKJ-15R2XL</v>
          </cell>
          <cell r="B1049" t="str">
            <v>TTDNKJ</v>
          </cell>
        </row>
        <row r="1050">
          <cell r="A1050" t="str">
            <v>TTDNKJ-16P0XL</v>
          </cell>
          <cell r="B1050" t="str">
            <v>TTDNKJ</v>
          </cell>
        </row>
        <row r="1051">
          <cell r="A1051" t="str">
            <v>TXYY02-1MHXL</v>
          </cell>
          <cell r="B1051" t="str">
            <v>TXYY02-1</v>
          </cell>
        </row>
        <row r="1052">
          <cell r="A1052" t="str">
            <v>TXYY-1B0JM</v>
          </cell>
          <cell r="B1052" t="str">
            <v>TXYY-1</v>
          </cell>
        </row>
        <row r="1053">
          <cell r="A1053" t="str">
            <v>TXYY-1R0JM</v>
          </cell>
          <cell r="B1053" t="str">
            <v>TXYY-1</v>
          </cell>
        </row>
        <row r="1054">
          <cell r="A1054" t="str">
            <v>TXYYG0JM</v>
          </cell>
          <cell r="B1054" t="str">
            <v>TXYYG0</v>
          </cell>
        </row>
        <row r="1055">
          <cell r="A1055" t="str">
            <v>TXYYK0JM</v>
          </cell>
          <cell r="B1055" t="str">
            <v>TXYYK0</v>
          </cell>
        </row>
        <row r="1056">
          <cell r="A1056" t="str">
            <v>TXYYP0JM</v>
          </cell>
          <cell r="B1056" t="str">
            <v>TXYYP0</v>
          </cell>
        </row>
        <row r="1057">
          <cell r="A1057" t="str">
            <v>TXYYW0JM</v>
          </cell>
          <cell r="B1057" t="str">
            <v>TXYYW0</v>
          </cell>
        </row>
        <row r="1058">
          <cell r="A1058" t="str">
            <v>TXYYY0JM</v>
          </cell>
          <cell r="B1058" t="str">
            <v>TXYYY0</v>
          </cell>
        </row>
        <row r="1059">
          <cell r="A1059" t="str">
            <v>TXZBBOS110*160CM</v>
          </cell>
          <cell r="B1059" t="str">
            <v>TXZBBOS</v>
          </cell>
        </row>
        <row r="1060">
          <cell r="A1060" t="str">
            <v>TXZBBOS130*130CM</v>
          </cell>
          <cell r="B1060" t="str">
            <v>TXZBBOS</v>
          </cell>
        </row>
        <row r="1061">
          <cell r="A1061" t="str">
            <v>TXZBBOS130*180CM</v>
          </cell>
          <cell r="B1061" t="str">
            <v>TXZBBOS</v>
          </cell>
        </row>
        <row r="1062">
          <cell r="A1062" t="str">
            <v>TXZBBOS80*80CM</v>
          </cell>
          <cell r="B1062" t="str">
            <v>TXZBBOS</v>
          </cell>
        </row>
        <row r="1063">
          <cell r="A1063" t="str">
            <v>TZ-IUYL240-BONE-L</v>
          </cell>
          <cell r="B1063" t="str">
            <v>TZ-IUYL240</v>
          </cell>
        </row>
        <row r="1064">
          <cell r="A1064" t="str">
            <v>TZ-IUYL240-BONE-M</v>
          </cell>
          <cell r="B1064" t="str">
            <v>TZ-IUYL240</v>
          </cell>
        </row>
        <row r="1065">
          <cell r="A1065" t="str">
            <v>TZ-IUYL240-BONE-S</v>
          </cell>
          <cell r="B1065" t="str">
            <v>TZ-IUYL240</v>
          </cell>
        </row>
        <row r="1066">
          <cell r="A1066" t="str">
            <v>TZ-IUYL240-DOT-L</v>
          </cell>
          <cell r="B1066" t="str">
            <v>TZ-IUYL240</v>
          </cell>
        </row>
        <row r="1067">
          <cell r="A1067" t="str">
            <v>TZ-IUYL240-DOT-M</v>
          </cell>
          <cell r="B1067" t="str">
            <v>TZ-IUYL240</v>
          </cell>
        </row>
        <row r="1068">
          <cell r="A1068" t="str">
            <v>TZ-IUYL240-DOT-S</v>
          </cell>
          <cell r="B1068" t="str">
            <v>TZ-IUYL240</v>
          </cell>
        </row>
        <row r="1069">
          <cell r="A1069" t="str">
            <v>TZ-IUYL240-ELPH-L</v>
          </cell>
          <cell r="B1069" t="str">
            <v>TZ-IUYL240</v>
          </cell>
        </row>
        <row r="1070">
          <cell r="A1070" t="str">
            <v>TZ-IUYL240-ELPH-M</v>
          </cell>
          <cell r="B1070" t="str">
            <v>TZ-IUYL240</v>
          </cell>
        </row>
        <row r="1071">
          <cell r="A1071" t="str">
            <v>TZ-IUYL240-ELPH-S</v>
          </cell>
          <cell r="B1071" t="str">
            <v>TZ-IUYL240</v>
          </cell>
        </row>
        <row r="1072">
          <cell r="A1072" t="str">
            <v>TZ-IUYL240-PAW-L</v>
          </cell>
          <cell r="B1072" t="str">
            <v>TZ-IUYL240</v>
          </cell>
        </row>
        <row r="1073">
          <cell r="A1073" t="str">
            <v>TZ-IUYL240-PAW-M</v>
          </cell>
          <cell r="B1073" t="str">
            <v>TZ-IUYL240</v>
          </cell>
        </row>
        <row r="1074">
          <cell r="A1074" t="str">
            <v>TZ-IUYL240-PAW-S</v>
          </cell>
          <cell r="B1074" t="str">
            <v>TZ-IUYL240</v>
          </cell>
        </row>
        <row r="1075">
          <cell r="A1075" t="str">
            <v>TZ-IUYL240-STAR-L</v>
          </cell>
          <cell r="B1075" t="str">
            <v>TZ-IUYL240</v>
          </cell>
        </row>
        <row r="1076">
          <cell r="A1076" t="str">
            <v>TZ-IUYL240-STAR-M</v>
          </cell>
          <cell r="B1076" t="str">
            <v>TZ-IUYL240</v>
          </cell>
        </row>
        <row r="1077">
          <cell r="A1077" t="str">
            <v>TZ-IUYL240-STAR-S</v>
          </cell>
          <cell r="B1077" t="str">
            <v>TZ-IUYL240</v>
          </cell>
        </row>
        <row r="1078">
          <cell r="A1078" t="str">
            <v>TZ-IUYL240-STRAWBERRY-L</v>
          </cell>
          <cell r="B1078" t="str">
            <v>TZ-IUYL240</v>
          </cell>
        </row>
        <row r="1079">
          <cell r="A1079" t="str">
            <v>TZ-IUYL240-STRAWBERRY-M</v>
          </cell>
          <cell r="B1079" t="str">
            <v>TZ-IUYL240</v>
          </cell>
        </row>
        <row r="1080">
          <cell r="A1080" t="str">
            <v>TZ-IUYL240-STRAWBERRY-S</v>
          </cell>
          <cell r="B1080" t="str">
            <v>TZ-IUYL240</v>
          </cell>
        </row>
        <row r="1081">
          <cell r="A1081" t="str">
            <v>UB-QE6E-7WVE</v>
          </cell>
          <cell r="B1081" t="str">
            <v>UB-QE6E-7WVE</v>
          </cell>
        </row>
        <row r="1082">
          <cell r="A1082" t="str">
            <v>WB-002-B0</v>
          </cell>
          <cell r="B1082" t="str">
            <v>WB-002</v>
          </cell>
        </row>
        <row r="1083">
          <cell r="A1083" t="str">
            <v>WB-002-E0</v>
          </cell>
          <cell r="B1083" t="str">
            <v>WB-002</v>
          </cell>
        </row>
        <row r="1084">
          <cell r="A1084" t="str">
            <v>WB-002-G0</v>
          </cell>
          <cell r="B1084" t="str">
            <v>WB-002</v>
          </cell>
        </row>
        <row r="1085">
          <cell r="A1085" t="str">
            <v>WB-002-R0</v>
          </cell>
          <cell r="B1085" t="str">
            <v>WB-002</v>
          </cell>
        </row>
        <row r="1086">
          <cell r="A1086" t="str">
            <v>WB-LUHM002-B0</v>
          </cell>
          <cell r="B1086" t="str">
            <v>WB-LUHM002</v>
          </cell>
        </row>
        <row r="1087">
          <cell r="A1087" t="str">
            <v>WB-LUHM002-E0</v>
          </cell>
          <cell r="B1087" t="str">
            <v>WB-LUHM002</v>
          </cell>
        </row>
        <row r="1088">
          <cell r="A1088" t="str">
            <v>WB-LUHM002-G0</v>
          </cell>
          <cell r="B1088" t="str">
            <v>WB-LUHM002</v>
          </cell>
        </row>
        <row r="1089">
          <cell r="A1089" t="str">
            <v>WB-LUHM002-R0</v>
          </cell>
          <cell r="B1089" t="str">
            <v>WB-LUHM002</v>
          </cell>
        </row>
        <row r="1090">
          <cell r="A1090" t="str">
            <v>WEMIUCLANS</v>
          </cell>
          <cell r="B1090" t="str">
            <v>WEMIUCLAN</v>
          </cell>
        </row>
        <row r="1091">
          <cell r="A1091" t="str">
            <v>WEMIUHIS</v>
          </cell>
          <cell r="B1091" t="str">
            <v>WEMIUHI</v>
          </cell>
        </row>
        <row r="1092">
          <cell r="A1092" t="str">
            <v>WEMIUSLANS</v>
          </cell>
          <cell r="B1092" t="str">
            <v>WEMIUHSLAN</v>
          </cell>
        </row>
        <row r="1093">
          <cell r="A1093" t="str">
            <v>WJ-CUTA-8NLH</v>
          </cell>
          <cell r="B1093" t="str">
            <v>WJ-CUTA-8NLH</v>
          </cell>
        </row>
        <row r="1094">
          <cell r="A1094" t="str">
            <v>WLZBHL-0033MBRO200CM</v>
          </cell>
          <cell r="B1094" t="str">
            <v>WLZBHL-0033MB</v>
          </cell>
        </row>
        <row r="1095">
          <cell r="A1095" t="str">
            <v>WUIIIN-01QLL</v>
          </cell>
          <cell r="B1095" t="str">
            <v>WUIIIN-01Q</v>
          </cell>
        </row>
        <row r="1096">
          <cell r="A1096" t="str">
            <v>X001D65BXH</v>
          </cell>
          <cell r="B1096" t="str">
            <v>X001</v>
          </cell>
        </row>
        <row r="1097">
          <cell r="A1097" t="str">
            <v>X001DAKZLB</v>
          </cell>
          <cell r="B1097" t="str">
            <v>X001</v>
          </cell>
        </row>
        <row r="1098">
          <cell r="A1098" t="str">
            <v>X001LPKBIZ</v>
          </cell>
          <cell r="B1098" t="str">
            <v>X001</v>
          </cell>
        </row>
        <row r="1099">
          <cell r="A1099" t="str">
            <v>X001LQ5O13</v>
          </cell>
          <cell r="B1099" t="str">
            <v>X001</v>
          </cell>
        </row>
        <row r="1100">
          <cell r="A1100" t="str">
            <v>X001LQ5T4Z</v>
          </cell>
          <cell r="B1100" t="str">
            <v>X001</v>
          </cell>
        </row>
        <row r="1101">
          <cell r="A1101" t="str">
            <v>X001LQ5VPR</v>
          </cell>
          <cell r="B1101" t="str">
            <v>X001</v>
          </cell>
        </row>
        <row r="1102">
          <cell r="A1102" t="str">
            <v>X001LQ5VQ1</v>
          </cell>
          <cell r="B1102" t="str">
            <v>X001</v>
          </cell>
        </row>
        <row r="1103">
          <cell r="A1103" t="str">
            <v>X001LQ6NI1</v>
          </cell>
          <cell r="B1103" t="str">
            <v>X001</v>
          </cell>
        </row>
        <row r="1104">
          <cell r="A1104" t="str">
            <v>XD-QXG5-P78H</v>
          </cell>
          <cell r="B1104" t="str">
            <v>XD-QXG5</v>
          </cell>
        </row>
        <row r="1105">
          <cell r="A1105" t="str">
            <v>XM-5POH-W2RY</v>
          </cell>
          <cell r="B1105" t="str">
            <v>XM-5POH</v>
          </cell>
        </row>
        <row r="1106">
          <cell r="A1106" t="str">
            <v>XQ-IUYL260-BK-M</v>
          </cell>
          <cell r="B1106" t="str">
            <v>XQ-IUYL260</v>
          </cell>
        </row>
        <row r="1107">
          <cell r="A1107" t="str">
            <v>XQ-IUYL260-BK-S</v>
          </cell>
          <cell r="B1107" t="str">
            <v>XQ-IUYL260</v>
          </cell>
        </row>
        <row r="1108">
          <cell r="A1108" t="str">
            <v>XQ-IUYL260-BL1-M</v>
          </cell>
          <cell r="B1108" t="str">
            <v>XQ-IUYL260</v>
          </cell>
        </row>
        <row r="1109">
          <cell r="A1109" t="str">
            <v>XQ-IUYL260-BL1-S</v>
          </cell>
          <cell r="B1109" t="str">
            <v>XQ-IUYL260</v>
          </cell>
        </row>
        <row r="1110">
          <cell r="A1110" t="str">
            <v>XQ-IUYL260-BL2-M</v>
          </cell>
          <cell r="B1110" t="str">
            <v>XQ-IUYL260</v>
          </cell>
        </row>
        <row r="1111">
          <cell r="A1111" t="str">
            <v>XQ-IUYL260-BL2-S</v>
          </cell>
          <cell r="B1111" t="str">
            <v>XQ-IUYL260</v>
          </cell>
        </row>
        <row r="1112">
          <cell r="A1112" t="str">
            <v>XQ-IUYL260-GN-M</v>
          </cell>
          <cell r="B1112" t="str">
            <v>XQ-IUYL260</v>
          </cell>
        </row>
        <row r="1113">
          <cell r="A1113" t="str">
            <v>XQ-IUYL260-GN-S</v>
          </cell>
          <cell r="B1113" t="str">
            <v>XQ-IUYL260</v>
          </cell>
        </row>
        <row r="1114">
          <cell r="A1114" t="str">
            <v>XQ-IUYL260-PK-M</v>
          </cell>
          <cell r="B1114" t="str">
            <v>XQ-IUYL260</v>
          </cell>
        </row>
        <row r="1115">
          <cell r="A1115" t="str">
            <v>XQ-IUYL260-PK-S</v>
          </cell>
          <cell r="B1115" t="str">
            <v>XQ-IUYL260</v>
          </cell>
        </row>
        <row r="1116">
          <cell r="A1116" t="str">
            <v>XQ-IUYL260-PP-M</v>
          </cell>
          <cell r="B1116" t="str">
            <v>XQ-IUYL260</v>
          </cell>
        </row>
        <row r="1117">
          <cell r="A1117" t="str">
            <v>XQ-IUYL260-PP-S</v>
          </cell>
          <cell r="B1117" t="str">
            <v>XQ-IUYL260</v>
          </cell>
        </row>
        <row r="1118">
          <cell r="A1118" t="str">
            <v>XQ-IUYL260-RD-M</v>
          </cell>
          <cell r="B1118" t="str">
            <v>XQ-IUYL260</v>
          </cell>
        </row>
        <row r="1119">
          <cell r="A1119" t="str">
            <v>XQ-IUYL260-RD-S</v>
          </cell>
          <cell r="B1119" t="str">
            <v>XQ-IUYL260</v>
          </cell>
        </row>
        <row r="1120">
          <cell r="A1120" t="str">
            <v>XQ-IUYL260-YL-M</v>
          </cell>
          <cell r="B1120" t="str">
            <v>XQ-IUYL260</v>
          </cell>
        </row>
        <row r="1121">
          <cell r="A1121" t="str">
            <v>XQ-IUYL260-YL-S</v>
          </cell>
          <cell r="B1121" t="str">
            <v>XQ-IUYL260</v>
          </cell>
        </row>
        <row r="1122">
          <cell r="A1122" t="str">
            <v>XQ-IUYL320-BK-L</v>
          </cell>
          <cell r="B1122" t="str">
            <v>XQ-IUYL320</v>
          </cell>
        </row>
        <row r="1123">
          <cell r="A1123" t="str">
            <v>XQ-IUYL320-BK-M</v>
          </cell>
          <cell r="B1123" t="str">
            <v>XQ-IUYL320</v>
          </cell>
        </row>
        <row r="1124">
          <cell r="A1124" t="str">
            <v>XQ-IUYL320-BK-S</v>
          </cell>
          <cell r="B1124" t="str">
            <v>XQ-IUYL320</v>
          </cell>
        </row>
        <row r="1125">
          <cell r="A1125" t="str">
            <v>XQ-IUYL320-BK-XL</v>
          </cell>
          <cell r="B1125" t="str">
            <v>XQ-IUYL320</v>
          </cell>
        </row>
        <row r="1126">
          <cell r="A1126" t="str">
            <v>XQ-IUYL320-BL-L</v>
          </cell>
          <cell r="B1126" t="str">
            <v>XQ-IUYL320</v>
          </cell>
        </row>
        <row r="1127">
          <cell r="A1127" t="str">
            <v>XQ-IUYL320-BL-M</v>
          </cell>
          <cell r="B1127" t="str">
            <v>XQ-IUYL320</v>
          </cell>
        </row>
        <row r="1128">
          <cell r="A1128" t="str">
            <v>XQ-IUYL320-BL-S</v>
          </cell>
          <cell r="B1128" t="str">
            <v>XQ-IUYL320</v>
          </cell>
        </row>
        <row r="1129">
          <cell r="A1129" t="str">
            <v>XQ-IUYL320-BL-XL</v>
          </cell>
          <cell r="B1129" t="str">
            <v>XQ-IUYL320</v>
          </cell>
        </row>
        <row r="1130">
          <cell r="A1130" t="str">
            <v>XQ-IUYL320-CF-L</v>
          </cell>
          <cell r="B1130" t="str">
            <v>XQ-IUYL320</v>
          </cell>
        </row>
        <row r="1131">
          <cell r="A1131" t="str">
            <v>XQ-IUYL320-CF-M</v>
          </cell>
          <cell r="B1131" t="str">
            <v>XQ-IUYL320</v>
          </cell>
        </row>
        <row r="1132">
          <cell r="A1132" t="str">
            <v>XQ-IUYL320-CF-S</v>
          </cell>
          <cell r="B1132" t="str">
            <v>XQ-IUYL320</v>
          </cell>
        </row>
        <row r="1133">
          <cell r="A1133" t="str">
            <v>XQ-IUYL320-CF-XL</v>
          </cell>
          <cell r="B1133" t="str">
            <v>XQ-IUYL320</v>
          </cell>
        </row>
        <row r="1134">
          <cell r="A1134" t="str">
            <v>XQ-IUYL320-DB-L</v>
          </cell>
          <cell r="B1134" t="str">
            <v>XQ-IUYL320</v>
          </cell>
        </row>
        <row r="1135">
          <cell r="A1135" t="str">
            <v>XQ-IUYL320-DB-M</v>
          </cell>
          <cell r="B1135" t="str">
            <v>XQ-IUYL320</v>
          </cell>
        </row>
        <row r="1136">
          <cell r="A1136" t="str">
            <v>XQ-IUYL320-DB-S</v>
          </cell>
          <cell r="B1136" t="str">
            <v>XQ-IUYL320</v>
          </cell>
        </row>
        <row r="1137">
          <cell r="A1137" t="str">
            <v>XQ-IUYL320-DB-XL</v>
          </cell>
          <cell r="B1137" t="str">
            <v>XQ-IUYL320</v>
          </cell>
        </row>
        <row r="1138">
          <cell r="A1138" t="str">
            <v>XQ-IUYL320-GN-L</v>
          </cell>
          <cell r="B1138" t="str">
            <v>XQ-IUYL320</v>
          </cell>
        </row>
        <row r="1139">
          <cell r="A1139" t="str">
            <v>XQ-IUYL320-GN-M</v>
          </cell>
          <cell r="B1139" t="str">
            <v>XQ-IUYL320</v>
          </cell>
        </row>
        <row r="1140">
          <cell r="A1140" t="str">
            <v>XQ-IUYL320-GN-S</v>
          </cell>
          <cell r="B1140" t="str">
            <v>XQ-IUYL320</v>
          </cell>
        </row>
        <row r="1141">
          <cell r="A1141" t="str">
            <v>XQ-IUYL320-GN-XL</v>
          </cell>
          <cell r="B1141" t="str">
            <v>XQ-IUYL320</v>
          </cell>
        </row>
        <row r="1142">
          <cell r="A1142" t="str">
            <v>XQ-IUYL320-PK-L</v>
          </cell>
          <cell r="B1142" t="str">
            <v>XQ-IUYL320</v>
          </cell>
        </row>
        <row r="1143">
          <cell r="A1143" t="str">
            <v>XQ-IUYL320-PK-M</v>
          </cell>
          <cell r="B1143" t="str">
            <v>XQ-IUYL320</v>
          </cell>
        </row>
        <row r="1144">
          <cell r="A1144" t="str">
            <v>XQ-IUYL320-PK-S</v>
          </cell>
          <cell r="B1144" t="str">
            <v>XQ-IUYL320</v>
          </cell>
        </row>
        <row r="1145">
          <cell r="A1145" t="str">
            <v>XQ-IUYL320-PK-XL</v>
          </cell>
          <cell r="B1145" t="str">
            <v>XQ-IUYL320</v>
          </cell>
        </row>
        <row r="1146">
          <cell r="A1146" t="str">
            <v>XQ-IUYL320-PP-L</v>
          </cell>
          <cell r="B1146" t="str">
            <v>XQ-IUYL320</v>
          </cell>
        </row>
        <row r="1147">
          <cell r="A1147" t="str">
            <v>XQ-IUYL320-PP-M</v>
          </cell>
          <cell r="B1147" t="str">
            <v>XQ-IUYL320</v>
          </cell>
        </row>
        <row r="1148">
          <cell r="A1148" t="str">
            <v>XQ-IUYL320-PP-S</v>
          </cell>
          <cell r="B1148" t="str">
            <v>XQ-IUYL320</v>
          </cell>
        </row>
        <row r="1149">
          <cell r="A1149" t="str">
            <v>XQ-IUYL320-PP-XL</v>
          </cell>
          <cell r="B1149" t="str">
            <v>XQ-IUYL320</v>
          </cell>
        </row>
        <row r="1150">
          <cell r="A1150" t="str">
            <v>XQ-IUYL320-RD-L</v>
          </cell>
          <cell r="B1150" t="str">
            <v>XQ-IUYL320</v>
          </cell>
        </row>
        <row r="1151">
          <cell r="A1151" t="str">
            <v>XQ-IUYL320-RD-M</v>
          </cell>
          <cell r="B1151" t="str">
            <v>XQ-IUYL320</v>
          </cell>
        </row>
        <row r="1152">
          <cell r="A1152" t="str">
            <v>XQ-IUYL320-RD-S</v>
          </cell>
          <cell r="B1152" t="str">
            <v>XQ-IUYL320</v>
          </cell>
        </row>
        <row r="1153">
          <cell r="A1153" t="str">
            <v>XQ-IUYL320-RD-XL</v>
          </cell>
          <cell r="B1153" t="str">
            <v>XQ-IUYL320</v>
          </cell>
        </row>
        <row r="1154">
          <cell r="A1154" t="str">
            <v>XQ-IUYL320-YL-L</v>
          </cell>
          <cell r="B1154" t="str">
            <v>XQ-IUYL320</v>
          </cell>
        </row>
        <row r="1155">
          <cell r="A1155" t="str">
            <v>XQ-IUYL320-YL-M</v>
          </cell>
          <cell r="B1155" t="str">
            <v>XQ-IUYL320</v>
          </cell>
        </row>
        <row r="1156">
          <cell r="A1156" t="str">
            <v>XQ-IUYL320-YL-S</v>
          </cell>
          <cell r="B1156" t="str">
            <v>XQ-IUYL320</v>
          </cell>
        </row>
        <row r="1157">
          <cell r="A1157" t="str">
            <v>XQ-IUYL320-YL-XL</v>
          </cell>
          <cell r="B1157" t="str">
            <v>XQ-IUYL320</v>
          </cell>
        </row>
        <row r="1158">
          <cell r="A1158" t="str">
            <v>XTTXW02XL</v>
          </cell>
          <cell r="B1158" t="str">
            <v>XTTXW0</v>
          </cell>
        </row>
        <row r="1159">
          <cell r="A1159" t="str">
            <v>XTTXW0L</v>
          </cell>
          <cell r="B1159" t="str">
            <v>XTTXW0</v>
          </cell>
        </row>
        <row r="1160">
          <cell r="A1160" t="str">
            <v>XTTXW0M</v>
          </cell>
          <cell r="B1160" t="str">
            <v>XTTXW0</v>
          </cell>
        </row>
        <row r="1161">
          <cell r="A1161" t="str">
            <v>XTTXW0XL</v>
          </cell>
          <cell r="B1161" t="str">
            <v>XTTXW0</v>
          </cell>
        </row>
        <row r="1162">
          <cell r="A1162" t="str">
            <v>XXCHO-S</v>
          </cell>
          <cell r="B1162" t="str">
            <v>XXCHO</v>
          </cell>
        </row>
        <row r="1163">
          <cell r="A1163" t="str">
            <v>XXYPBOS-M</v>
          </cell>
          <cell r="B1163" t="str">
            <v>XXYPBOS</v>
          </cell>
        </row>
        <row r="1164">
          <cell r="A1164" t="str">
            <v>XXYPBOS-XL</v>
          </cell>
          <cell r="B1164" t="str">
            <v>XXYPBOS</v>
          </cell>
        </row>
        <row r="1165">
          <cell r="A1165" t="str">
            <v>XXYPFS-M</v>
          </cell>
          <cell r="B1165" t="str">
            <v>XXYPFS</v>
          </cell>
        </row>
        <row r="1166">
          <cell r="A1166" t="str">
            <v>XXYPFS-XL</v>
          </cell>
          <cell r="B1166" t="str">
            <v>XXYPFS</v>
          </cell>
        </row>
        <row r="1167">
          <cell r="A1167" t="str">
            <v>YCBY312Z01ZZX45*45CM</v>
          </cell>
          <cell r="B1167" t="str">
            <v>YCBY312Z01ZZX</v>
          </cell>
        </row>
        <row r="1168">
          <cell r="A1168" t="str">
            <v>YCBYZ02-4CRYZ45*45CM</v>
          </cell>
          <cell r="B1168" t="str">
            <v>YCBYZ02</v>
          </cell>
        </row>
        <row r="1169">
          <cell r="A1169" t="str">
            <v>YCBYZ02-5Batman45*45CM</v>
          </cell>
          <cell r="B1169" t="str">
            <v>YCBYZ02</v>
          </cell>
        </row>
        <row r="1170">
          <cell r="A1170" t="str">
            <v>YCJF5CATB040x60CM</v>
          </cell>
          <cell r="B1170" t="str">
            <v>YCJF5CATB040x60CM</v>
          </cell>
        </row>
        <row r="1171">
          <cell r="A1171" t="str">
            <v>YCXZBYD108*108CM</v>
          </cell>
          <cell r="B1171" t="str">
            <v>YCXZBYD</v>
          </cell>
        </row>
        <row r="1172">
          <cell r="A1172" t="str">
            <v>YDBGZLVS-2XL</v>
          </cell>
          <cell r="B1172" t="str">
            <v>YDBGZLVS</v>
          </cell>
        </row>
        <row r="1173">
          <cell r="A1173" t="str">
            <v>YDBGZROS-L</v>
          </cell>
          <cell r="B1173" t="str">
            <v>YDBGZROS</v>
          </cell>
        </row>
        <row r="1174">
          <cell r="A1174" t="str">
            <v>YDBGZROS-M</v>
          </cell>
          <cell r="B1174" t="str">
            <v>YDBGZROS</v>
          </cell>
        </row>
        <row r="1175">
          <cell r="A1175" t="str">
            <v>YDWJQWHQWH120*120CM</v>
          </cell>
          <cell r="B1175" t="str">
            <v>YDWJQWHQWH</v>
          </cell>
        </row>
        <row r="1176">
          <cell r="A1176" t="str">
            <v>YDWJQWHQWH150*200CM</v>
          </cell>
          <cell r="B1176" t="str">
            <v>YDWJQWHQWH</v>
          </cell>
        </row>
        <row r="1177">
          <cell r="A1177" t="str">
            <v>YDWJQWHQWH60*60CM</v>
          </cell>
          <cell r="B1177" t="str">
            <v>YDWJQWHQWH</v>
          </cell>
        </row>
        <row r="1178">
          <cell r="A1178" t="str">
            <v>YDYPBOS-L</v>
          </cell>
          <cell r="B1178" t="str">
            <v>YDYPB</v>
          </cell>
        </row>
        <row r="1179">
          <cell r="A1179" t="str">
            <v>YDYPFS-L</v>
          </cell>
          <cell r="B1179" t="str">
            <v>YDYPFS</v>
          </cell>
        </row>
        <row r="1180">
          <cell r="A1180" t="str">
            <v>YDYPFS-M</v>
          </cell>
          <cell r="B1180" t="str">
            <v>YDYPFS</v>
          </cell>
        </row>
        <row r="1181">
          <cell r="A1181" t="str">
            <v>YDYPFS-M-2</v>
          </cell>
          <cell r="B1181" t="str">
            <v>YDYPFS</v>
          </cell>
        </row>
        <row r="1182">
          <cell r="A1182" t="str">
            <v>YDYPFS-S</v>
          </cell>
          <cell r="B1182" t="str">
            <v>YDYPFS</v>
          </cell>
        </row>
        <row r="1183">
          <cell r="A1183" t="str">
            <v>YDYPFS-XL</v>
          </cell>
          <cell r="B1183" t="str">
            <v>YDYPFS</v>
          </cell>
        </row>
        <row r="1184">
          <cell r="A1184" t="str">
            <v>YDY-YUNDONGK2-8755HH-L</v>
          </cell>
          <cell r="B1184" t="str">
            <v>YDY-YUNDONGK2-8755</v>
          </cell>
        </row>
        <row r="1185">
          <cell r="A1185" t="str">
            <v>YDY-YUNDONGK2-8755HL-4XL</v>
          </cell>
          <cell r="B1185" t="str">
            <v>YDY-YUNDONGK2-8755</v>
          </cell>
        </row>
        <row r="1186">
          <cell r="A1186" t="str">
            <v>YDY-YUNDONGK2-8755HQH-L</v>
          </cell>
          <cell r="B1186" t="str">
            <v>YDY-YUNDONGK2-8755</v>
          </cell>
        </row>
        <row r="1187">
          <cell r="A1187" t="str">
            <v>YDY-YUNDONGK2-8755QHL-M</v>
          </cell>
          <cell r="B1187" t="str">
            <v>YDY-YUNDONGK2-8755</v>
          </cell>
        </row>
        <row r="1188">
          <cell r="A1188" t="str">
            <v>YDY-YUNDONGK-8755K0-L</v>
          </cell>
          <cell r="B1188" t="str">
            <v>YDY-YUNDONGK-8755</v>
          </cell>
        </row>
        <row r="1189">
          <cell r="A1189" t="str">
            <v>YDY-YUNDONGK-8755K0-XL</v>
          </cell>
          <cell r="B1189" t="str">
            <v>YDY-YUNDONGK-8755</v>
          </cell>
        </row>
        <row r="1190">
          <cell r="A1190" t="str">
            <v>YDY-YUNDONGK-8755W0-L</v>
          </cell>
          <cell r="B1190" t="str">
            <v>YDY-YUNDONGK-8755</v>
          </cell>
        </row>
        <row r="1191">
          <cell r="A1191" t="str">
            <v>YDY-YUNDONGK-8756BLS-L</v>
          </cell>
          <cell r="B1191" t="str">
            <v>YDY-YUNDONGK-8756</v>
          </cell>
        </row>
        <row r="1192">
          <cell r="A1192" t="str">
            <v>YDY-YUNDONGK-8756BLS-M</v>
          </cell>
          <cell r="B1192" t="str">
            <v>YDY-YUNDONGK-8756</v>
          </cell>
        </row>
        <row r="1193">
          <cell r="A1193" t="str">
            <v>YDY-YUNDONGK-8756BLS-XL</v>
          </cell>
          <cell r="B1193" t="str">
            <v>YDY-YUNDONGK-8756</v>
          </cell>
        </row>
        <row r="1194">
          <cell r="A1194" t="str">
            <v>YDY-YUNDONGK-8756BLS-XXL</v>
          </cell>
          <cell r="B1194" t="str">
            <v>YDY-YUNDONGK-8756</v>
          </cell>
        </row>
        <row r="1195">
          <cell r="A1195" t="str">
            <v>YDY-YUNDONGK-8756K0-L</v>
          </cell>
          <cell r="B1195" t="str">
            <v>YDY-YUNDONGK-8756</v>
          </cell>
        </row>
        <row r="1196">
          <cell r="A1196" t="str">
            <v>YDY-YUNDONGK-8756K0-M</v>
          </cell>
          <cell r="B1196" t="str">
            <v>YDY-YUNDONGK-8756</v>
          </cell>
        </row>
        <row r="1197">
          <cell r="A1197" t="str">
            <v>YDY-YUNDONGK-8756K0-XL</v>
          </cell>
          <cell r="B1197" t="str">
            <v>YDY-YUNDONGK-8756</v>
          </cell>
        </row>
        <row r="1198">
          <cell r="A1198" t="str">
            <v>YDY-YUNDONGK-8756K0-XXL</v>
          </cell>
          <cell r="B1198" t="str">
            <v>YDY-YUNDONGK-8756</v>
          </cell>
        </row>
        <row r="1199">
          <cell r="A1199" t="str">
            <v>YDY-YUNDONGK-8756QHS-L</v>
          </cell>
          <cell r="B1199" t="str">
            <v>YDY-YUNDONGK-8756</v>
          </cell>
        </row>
        <row r="1200">
          <cell r="A1200" t="str">
            <v>YDY-YUNDONGK-8756QHS-M</v>
          </cell>
          <cell r="B1200" t="str">
            <v>YDY-YUNDONGK-8756</v>
          </cell>
        </row>
        <row r="1201">
          <cell r="A1201" t="str">
            <v>YDY-YUNDONGK-8756QHS-XL</v>
          </cell>
          <cell r="B1201" t="str">
            <v>YDY-YUNDONGK-8756</v>
          </cell>
        </row>
        <row r="1202">
          <cell r="A1202" t="str">
            <v>YDY-YUNDONGK-8756QHS-XXL</v>
          </cell>
          <cell r="B1202" t="str">
            <v>YDY-YUNDONGK-8756</v>
          </cell>
        </row>
        <row r="1203">
          <cell r="A1203" t="str">
            <v>YDY-YUNDONGK-NK01SY-L</v>
          </cell>
          <cell r="B1203" t="str">
            <v>YDY-YUNDONGK-NK01</v>
          </cell>
        </row>
        <row r="1204">
          <cell r="A1204" t="str">
            <v>YDY-YUNDONGK-NK01SY-M</v>
          </cell>
          <cell r="B1204" t="str">
            <v>YDY-YUNDONGK-NK01</v>
          </cell>
        </row>
        <row r="1205">
          <cell r="A1205" t="str">
            <v>YDY-YUNDONGK-NK01SY-XL</v>
          </cell>
          <cell r="B1205" t="str">
            <v>YDY-YUNDONGK-NK01</v>
          </cell>
        </row>
        <row r="1206">
          <cell r="A1206" t="str">
            <v>YDY-YUNDONGK-NK03KQ-L</v>
          </cell>
          <cell r="B1206" t="str">
            <v>YDY-YUNDONGK-NK03</v>
          </cell>
        </row>
        <row r="1207">
          <cell r="A1207" t="str">
            <v>YDY-YUNDONGK-NK03KQ-M</v>
          </cell>
          <cell r="B1207" t="str">
            <v>YDY-YUNDONGK-NK03</v>
          </cell>
        </row>
        <row r="1208">
          <cell r="A1208" t="str">
            <v>YDY-YUNDONGK-NK03KQ-S</v>
          </cell>
          <cell r="B1208" t="str">
            <v>YDY-YUNDONGK-NK03</v>
          </cell>
        </row>
        <row r="1209">
          <cell r="A1209" t="str">
            <v>YDY-YUNDONGK-NK03KQ-XL</v>
          </cell>
          <cell r="B1209" t="str">
            <v>YDY-YUNDONGK-NK03</v>
          </cell>
        </row>
        <row r="1210">
          <cell r="A1210" t="str">
            <v>YDY-YUNDONGK-NK04LTA-L</v>
          </cell>
          <cell r="B1210" t="str">
            <v>YDY-YUNDONGK-NK04</v>
          </cell>
        </row>
        <row r="1211">
          <cell r="A1211" t="str">
            <v>YDY-YUNDONGK-NK04LTA-M</v>
          </cell>
          <cell r="B1211" t="str">
            <v>YDY-YUNDONGK-NK04</v>
          </cell>
        </row>
        <row r="1212">
          <cell r="A1212" t="str">
            <v>YDY-YUNDONGK-NK04LTA-S</v>
          </cell>
          <cell r="B1212" t="str">
            <v>YDY-YUNDONGK-NK04</v>
          </cell>
        </row>
        <row r="1213">
          <cell r="A1213" t="str">
            <v>YDY-YUNDONGK-NK04LTA-XL</v>
          </cell>
          <cell r="B1213" t="str">
            <v>YDY-YUNDONGK-NK04</v>
          </cell>
        </row>
        <row r="1214">
          <cell r="A1214" t="str">
            <v>YDY-YUNDONGK-NK07YTA-XL</v>
          </cell>
          <cell r="B1214" t="str">
            <v>YDY-YUNDONGK-NK07</v>
          </cell>
        </row>
        <row r="1215">
          <cell r="A1215" t="str">
            <v>YDY-YUNDONGK-NK08SM-XL</v>
          </cell>
          <cell r="B1215" t="str">
            <v>YDY-YUNDONGK-NK08</v>
          </cell>
        </row>
        <row r="1216">
          <cell r="A1216" t="str">
            <v>YHDDDKBHI-L</v>
          </cell>
          <cell r="B1216" t="str">
            <v>YHDDDKBHI</v>
          </cell>
        </row>
        <row r="1217">
          <cell r="A1217" t="str">
            <v>YHDSIX-1MC-L</v>
          </cell>
          <cell r="B1217" t="str">
            <v>YHDSIX</v>
          </cell>
        </row>
        <row r="1218">
          <cell r="A1218" t="str">
            <v>YHDSIX-1MC-M</v>
          </cell>
          <cell r="B1218" t="str">
            <v>YHDSIX</v>
          </cell>
        </row>
        <row r="1219">
          <cell r="A1219" t="str">
            <v>YHDSIX-1MC-S</v>
          </cell>
          <cell r="B1219" t="str">
            <v>YHDSIX</v>
          </cell>
        </row>
        <row r="1220">
          <cell r="A1220" t="str">
            <v>YHJRBBS-L</v>
          </cell>
          <cell r="B1220" t="str">
            <v>YHJRB</v>
          </cell>
        </row>
        <row r="1221">
          <cell r="A1221" t="str">
            <v>YHJRBBS-M</v>
          </cell>
          <cell r="B1221" t="str">
            <v>YHJRB</v>
          </cell>
        </row>
        <row r="1222">
          <cell r="A1222" t="str">
            <v>YHJRBBS-S</v>
          </cell>
          <cell r="B1222" t="str">
            <v>YHJRB</v>
          </cell>
        </row>
        <row r="1223">
          <cell r="A1223" t="str">
            <v>YHJRBBS-XL</v>
          </cell>
          <cell r="B1223" t="str">
            <v>YHJRB</v>
          </cell>
        </row>
        <row r="1224">
          <cell r="A1224" t="str">
            <v>YHJRBDZS-L</v>
          </cell>
          <cell r="B1224" t="str">
            <v>YHJRB</v>
          </cell>
        </row>
        <row r="1225">
          <cell r="A1225" t="str">
            <v>YHJRBDZS-M</v>
          </cell>
          <cell r="B1225" t="str">
            <v>YHJRB</v>
          </cell>
        </row>
        <row r="1226">
          <cell r="A1226" t="str">
            <v>YHJRBDZS-S</v>
          </cell>
          <cell r="B1226" t="str">
            <v>YHJRB</v>
          </cell>
        </row>
        <row r="1227">
          <cell r="A1227" t="str">
            <v>YHJRBDZS-XL</v>
          </cell>
          <cell r="B1227" t="str">
            <v>YHJRB</v>
          </cell>
        </row>
        <row r="1228">
          <cell r="A1228" t="str">
            <v>YHJRBHIS-L</v>
          </cell>
          <cell r="B1228" t="str">
            <v>YHJRB</v>
          </cell>
        </row>
        <row r="1229">
          <cell r="A1229" t="str">
            <v>YHJRBHIS-M</v>
          </cell>
          <cell r="B1229" t="str">
            <v>YHJRB</v>
          </cell>
        </row>
        <row r="1230">
          <cell r="A1230" t="str">
            <v>YHJRBHIS-S</v>
          </cell>
          <cell r="B1230" t="str">
            <v>YHJRB</v>
          </cell>
        </row>
        <row r="1231">
          <cell r="A1231" t="str">
            <v>YHJRBHIS-XL</v>
          </cell>
          <cell r="B1231" t="str">
            <v>YHJRB</v>
          </cell>
        </row>
        <row r="1232">
          <cell r="A1232" t="str">
            <v>YHJRBHS-L</v>
          </cell>
          <cell r="B1232" t="str">
            <v>YHJRB</v>
          </cell>
        </row>
        <row r="1233">
          <cell r="A1233" t="str">
            <v>YHJRBHS-M</v>
          </cell>
          <cell r="B1233" t="str">
            <v>YHJRB</v>
          </cell>
        </row>
        <row r="1234">
          <cell r="A1234" t="str">
            <v>YHJRBHS-S</v>
          </cell>
          <cell r="B1234" t="str">
            <v>YHJRB</v>
          </cell>
        </row>
        <row r="1235">
          <cell r="A1235" t="str">
            <v>YHJRBHS-XL</v>
          </cell>
          <cell r="B1235" t="str">
            <v>YHJRB</v>
          </cell>
        </row>
        <row r="1236">
          <cell r="A1236" t="str">
            <v>YHJRBJS-L</v>
          </cell>
          <cell r="B1236" t="str">
            <v>YHJRB</v>
          </cell>
        </row>
        <row r="1237">
          <cell r="A1237" t="str">
            <v>YHJRBJS-M</v>
          </cell>
          <cell r="B1237" t="str">
            <v>YHJRB</v>
          </cell>
        </row>
        <row r="1238">
          <cell r="A1238" t="str">
            <v>YHJRBJS-S</v>
          </cell>
          <cell r="B1238" t="str">
            <v>YHJRB</v>
          </cell>
        </row>
        <row r="1239">
          <cell r="A1239" t="str">
            <v>YHJRBJS-XL</v>
          </cell>
          <cell r="B1239" t="str">
            <v>YHJRB</v>
          </cell>
        </row>
        <row r="1240">
          <cell r="A1240" t="str">
            <v>YHJRBMHS-L</v>
          </cell>
          <cell r="B1240" t="str">
            <v>YHJRB</v>
          </cell>
        </row>
        <row r="1241">
          <cell r="A1241" t="str">
            <v>YHJRBMHS-M</v>
          </cell>
          <cell r="B1241" t="str">
            <v>YHJRB</v>
          </cell>
        </row>
        <row r="1242">
          <cell r="A1242" t="str">
            <v>YHJRBMHS-S</v>
          </cell>
          <cell r="B1242" t="str">
            <v>YHJRB</v>
          </cell>
        </row>
        <row r="1243">
          <cell r="A1243" t="str">
            <v>YHJRBMHS-XL</v>
          </cell>
          <cell r="B1243" t="str">
            <v>YHJRB</v>
          </cell>
        </row>
        <row r="1244">
          <cell r="A1244" t="str">
            <v>YHJRBZLS-L</v>
          </cell>
          <cell r="B1244" t="str">
            <v>YHJRB</v>
          </cell>
        </row>
        <row r="1245">
          <cell r="A1245" t="str">
            <v>YHJRBZLS-M</v>
          </cell>
          <cell r="B1245" t="str">
            <v>YHJRB</v>
          </cell>
        </row>
        <row r="1246">
          <cell r="A1246" t="str">
            <v>YHJRBZLS-S</v>
          </cell>
          <cell r="B1246" t="str">
            <v>YHJRB</v>
          </cell>
        </row>
        <row r="1247">
          <cell r="A1247" t="str">
            <v>YHJRBZLS-XL</v>
          </cell>
          <cell r="B1247" t="str">
            <v>YHJRB</v>
          </cell>
        </row>
        <row r="1248">
          <cell r="A1248" t="str">
            <v>YHJRBZS-L</v>
          </cell>
          <cell r="B1248" t="str">
            <v>YHJRB</v>
          </cell>
        </row>
        <row r="1249">
          <cell r="A1249" t="str">
            <v>YHJRBZS-M</v>
          </cell>
          <cell r="B1249" t="str">
            <v>YHJRB</v>
          </cell>
        </row>
        <row r="1250">
          <cell r="A1250" t="str">
            <v>YHJRBZS-S</v>
          </cell>
          <cell r="B1250" t="str">
            <v>YHJRB</v>
          </cell>
        </row>
        <row r="1251">
          <cell r="A1251" t="str">
            <v>YHJRBZS-XL</v>
          </cell>
          <cell r="B1251" t="str">
            <v>YHJRB</v>
          </cell>
        </row>
        <row r="1252">
          <cell r="A1252" t="str">
            <v>YIDIFSQZQ100*140CM</v>
          </cell>
          <cell r="B1252" t="str">
            <v>YIDIFSQZQ</v>
          </cell>
        </row>
        <row r="1253">
          <cell r="A1253" t="str">
            <v>YIDIFSQZQ140*140CM</v>
          </cell>
          <cell r="B1253" t="str">
            <v>YIDIFSQZQ</v>
          </cell>
        </row>
        <row r="1254">
          <cell r="A1254" t="str">
            <v>YIDIFSQZQ140*180CM</v>
          </cell>
          <cell r="B1254" t="str">
            <v>YIDIFSQZQ</v>
          </cell>
        </row>
        <row r="1255">
          <cell r="A1255" t="str">
            <v>YIDIFSQZQ140*200CM</v>
          </cell>
          <cell r="B1255" t="str">
            <v>YIDIFSQZQ</v>
          </cell>
        </row>
        <row r="1256">
          <cell r="A1256" t="str">
            <v>YIDIFSQZQ140*220CM</v>
          </cell>
          <cell r="B1256" t="str">
            <v>YIDIFSQZQ</v>
          </cell>
        </row>
        <row r="1257">
          <cell r="A1257" t="str">
            <v>YIDIFSQZQ140*250CM</v>
          </cell>
          <cell r="B1257" t="str">
            <v>YIDIFSQZQ</v>
          </cell>
        </row>
        <row r="1258">
          <cell r="A1258" t="str">
            <v>YIDIFSQZQ90*90CM</v>
          </cell>
          <cell r="B1258" t="str">
            <v>YIDIFSQZQ</v>
          </cell>
        </row>
        <row r="1259">
          <cell r="A1259" t="str">
            <v>YI-IUYLTBH-Y0</v>
          </cell>
          <cell r="B1259" t="str">
            <v>TBYPRBMRG</v>
          </cell>
        </row>
        <row r="1260">
          <cell r="A1260" t="str">
            <v>YI-IUYLTBY-N5</v>
          </cell>
          <cell r="B1260" t="str">
            <v>TBYPRBMRG</v>
          </cell>
        </row>
        <row r="1261">
          <cell r="A1261" t="str">
            <v>YINSELD1931S140*200cm</v>
          </cell>
          <cell r="B1261" t="str">
            <v>YINSELD1931</v>
          </cell>
        </row>
        <row r="1262">
          <cell r="A1262" t="str">
            <v>YINSELD1931S140*220cm</v>
          </cell>
          <cell r="B1262" t="str">
            <v>YINSELD1931</v>
          </cell>
        </row>
        <row r="1263">
          <cell r="A1263" t="str">
            <v>YIWURTMRG-XL</v>
          </cell>
          <cell r="B1263" t="str">
            <v>YIWURTMRG</v>
          </cell>
        </row>
        <row r="1264">
          <cell r="A1264" t="str">
            <v>YIWURTMRG-XXL</v>
          </cell>
          <cell r="B1264" t="str">
            <v>YIWURTMRG</v>
          </cell>
        </row>
        <row r="1265">
          <cell r="A1265" t="str">
            <v>YL-RADV-3HZQ</v>
          </cell>
          <cell r="B1265" t="str">
            <v>YL-RADV-3HZQ</v>
          </cell>
        </row>
        <row r="1266">
          <cell r="A1266" t="str">
            <v>YMQYCSCMR0140*160CM</v>
          </cell>
          <cell r="B1266" t="str">
            <v>YMQYCSCMRO</v>
          </cell>
        </row>
        <row r="1267">
          <cell r="A1267" t="str">
            <v>YMQYCSCMR0140*180CM</v>
          </cell>
          <cell r="B1267" t="str">
            <v>YMQYCSCMRO</v>
          </cell>
        </row>
        <row r="1268">
          <cell r="A1268" t="str">
            <v>YMQYCSCMR0140*220CM</v>
          </cell>
          <cell r="B1268" t="str">
            <v>YMQYCSCMRO</v>
          </cell>
        </row>
        <row r="1269">
          <cell r="A1269" t="str">
            <v>YMQYGZZBGZ100*140CM</v>
          </cell>
          <cell r="B1269" t="str">
            <v>YMQYGZZBGZ</v>
          </cell>
        </row>
        <row r="1270">
          <cell r="A1270" t="str">
            <v>YMQYGZZBGZ140*140CM</v>
          </cell>
          <cell r="B1270" t="str">
            <v>YMQYGZZBGZ</v>
          </cell>
        </row>
        <row r="1271">
          <cell r="A1271" t="str">
            <v>YMQYGZZBGZ140*180CM</v>
          </cell>
          <cell r="B1271" t="str">
            <v>YMQYGZZBGZ</v>
          </cell>
        </row>
        <row r="1272">
          <cell r="A1272" t="str">
            <v>YMQYGZZBGZ140*200CM</v>
          </cell>
          <cell r="B1272" t="str">
            <v>YMQYGZZBGZ</v>
          </cell>
        </row>
        <row r="1273">
          <cell r="A1273" t="str">
            <v>YMQYGZZBGZ140*220CM</v>
          </cell>
          <cell r="B1273" t="str">
            <v>YMQYGZZBGZ</v>
          </cell>
        </row>
        <row r="1274">
          <cell r="A1274" t="str">
            <v>YMQYGZZBGZ140*250CM</v>
          </cell>
          <cell r="B1274" t="str">
            <v>YMQYGZZBGZ</v>
          </cell>
        </row>
        <row r="1275">
          <cell r="A1275" t="str">
            <v>YMQYGZZBGZ60*60CM</v>
          </cell>
          <cell r="B1275" t="str">
            <v>YMQYGZZBGZ</v>
          </cell>
        </row>
        <row r="1276">
          <cell r="A1276" t="str">
            <v>YMQYGZZBGZ90*90CM</v>
          </cell>
          <cell r="B1276" t="str">
            <v>YMQYGZZBGZ</v>
          </cell>
        </row>
        <row r="1277">
          <cell r="A1277" t="str">
            <v>YMQYHLMCGGZ100*140CM</v>
          </cell>
          <cell r="B1277" t="str">
            <v>YMQYHLMCGG</v>
          </cell>
        </row>
        <row r="1278">
          <cell r="A1278" t="str">
            <v>YMQYHLMCGGZ140*140CM</v>
          </cell>
          <cell r="B1278" t="str">
            <v>YMQYHLMCGG</v>
          </cell>
        </row>
        <row r="1279">
          <cell r="A1279" t="str">
            <v>YMQYHLMCGGZ140*160CM</v>
          </cell>
          <cell r="B1279" t="str">
            <v>YMQYHLMCGG</v>
          </cell>
        </row>
        <row r="1280">
          <cell r="A1280" t="str">
            <v>YMQYHLMCGGZ140*180CM</v>
          </cell>
          <cell r="B1280" t="str">
            <v>YMQYHLMCGG</v>
          </cell>
        </row>
        <row r="1281">
          <cell r="A1281" t="str">
            <v>YMQYHLMCGGZ140*200CM</v>
          </cell>
          <cell r="B1281" t="str">
            <v>YMQYHLMCGG</v>
          </cell>
        </row>
        <row r="1282">
          <cell r="A1282" t="str">
            <v>YMQYHLMCGGZ140*220CM</v>
          </cell>
          <cell r="B1282" t="str">
            <v>YMQYHLMCGG</v>
          </cell>
        </row>
        <row r="1283">
          <cell r="A1283" t="str">
            <v>YMQYHLMCGGZ140*250CM</v>
          </cell>
          <cell r="B1283" t="str">
            <v>YMQYHLMCGG</v>
          </cell>
        </row>
        <row r="1284">
          <cell r="A1284" t="str">
            <v>YMQYHLMCGGZ90*90CM</v>
          </cell>
          <cell r="B1284" t="str">
            <v>YMQYHLMCGG</v>
          </cell>
        </row>
        <row r="1285">
          <cell r="A1285" t="str">
            <v>YMQYOZHLMCGGZ140*220CM</v>
          </cell>
          <cell r="B1285" t="str">
            <v>YMQYOZHLMCGGZ</v>
          </cell>
        </row>
        <row r="1286">
          <cell r="A1286" t="str">
            <v>YMQYQDZMZM100*140CM</v>
          </cell>
          <cell r="B1286" t="str">
            <v>YMQYQDZMZM</v>
          </cell>
        </row>
        <row r="1287">
          <cell r="A1287" t="str">
            <v>YMQYQDZMZM140*140CM</v>
          </cell>
          <cell r="B1287" t="str">
            <v>YMQYQDZMZM</v>
          </cell>
        </row>
        <row r="1288">
          <cell r="A1288" t="str">
            <v>YMQYQDZMZM140*160CM</v>
          </cell>
          <cell r="B1288" t="str">
            <v>YMQYQDZMZM</v>
          </cell>
        </row>
        <row r="1289">
          <cell r="A1289" t="str">
            <v>YMQYQDZMZM140*180CM</v>
          </cell>
          <cell r="B1289" t="str">
            <v>YMQYQDZMZM</v>
          </cell>
        </row>
        <row r="1290">
          <cell r="A1290" t="str">
            <v>YMQYQDZMZM140*200CM</v>
          </cell>
          <cell r="B1290" t="str">
            <v>YMQYQDZMZM</v>
          </cell>
        </row>
        <row r="1291">
          <cell r="A1291" t="str">
            <v>YMQYQDZMZM140*220CM</v>
          </cell>
          <cell r="B1291" t="str">
            <v>YMQYQDZMZM</v>
          </cell>
        </row>
        <row r="1292">
          <cell r="A1292" t="str">
            <v>YMQYQDZMZM140*250CM</v>
          </cell>
          <cell r="B1292" t="str">
            <v>YMQYQDZMZM</v>
          </cell>
        </row>
        <row r="1293">
          <cell r="A1293" t="str">
            <v>YMQYQDZMZM60*60CM</v>
          </cell>
          <cell r="B1293" t="str">
            <v>YMQYQDZMZM</v>
          </cell>
        </row>
        <row r="1294">
          <cell r="A1294" t="str">
            <v>YMQYQDZMZM90*90CM</v>
          </cell>
          <cell r="B1294" t="str">
            <v>YMQYQDZMZM</v>
          </cell>
        </row>
        <row r="1295">
          <cell r="A1295" t="str">
            <v>YMQYQHCZQ100*140CM</v>
          </cell>
          <cell r="B1295" t="str">
            <v>YMQYQHCZQ</v>
          </cell>
        </row>
        <row r="1296">
          <cell r="A1296" t="str">
            <v>YMQYQHCZQ140*140CM</v>
          </cell>
          <cell r="B1296" t="str">
            <v>YMQYQHCZQ</v>
          </cell>
        </row>
        <row r="1297">
          <cell r="A1297" t="str">
            <v>YMQYQHCZQ140*180CM</v>
          </cell>
          <cell r="B1297" t="str">
            <v>YMQYQHCZQ</v>
          </cell>
        </row>
        <row r="1298">
          <cell r="A1298" t="str">
            <v>YMQYQHCZQ140*220CM</v>
          </cell>
          <cell r="B1298" t="str">
            <v>YMQYQHCZQ</v>
          </cell>
        </row>
        <row r="1299">
          <cell r="A1299" t="str">
            <v>YMQYQHCZQ140*250CM</v>
          </cell>
          <cell r="B1299" t="str">
            <v>YMQYQHCZQ</v>
          </cell>
        </row>
        <row r="1300">
          <cell r="A1300" t="str">
            <v>YMQYQHCZQ90*90CM</v>
          </cell>
          <cell r="B1300" t="str">
            <v>YMQYQHCZQ</v>
          </cell>
        </row>
        <row r="1301">
          <cell r="A1301" t="str">
            <v>YMQYQJISZMSS100*140CM</v>
          </cell>
          <cell r="B1301" t="str">
            <v>YMQYQJISZM</v>
          </cell>
        </row>
        <row r="1302">
          <cell r="A1302" t="str">
            <v>YMQYQJISZMSS140*140CM</v>
          </cell>
          <cell r="B1302" t="str">
            <v>YMQYQJISZM</v>
          </cell>
        </row>
        <row r="1303">
          <cell r="A1303" t="str">
            <v>YMQYQJISZMSS140*180CM</v>
          </cell>
          <cell r="B1303" t="str">
            <v>YMQYQJISZM</v>
          </cell>
        </row>
        <row r="1304">
          <cell r="A1304" t="str">
            <v>YMQYQJISZMSS140*200CM</v>
          </cell>
          <cell r="B1304" t="str">
            <v>YMQYQJISZM</v>
          </cell>
        </row>
        <row r="1305">
          <cell r="A1305" t="str">
            <v>YMQYQJISZMSS140*220CM</v>
          </cell>
          <cell r="B1305" t="str">
            <v>YMQYQJISZM</v>
          </cell>
        </row>
        <row r="1306">
          <cell r="A1306" t="str">
            <v>YMQYQJISZMSS140*250CM</v>
          </cell>
          <cell r="B1306" t="str">
            <v>YMQYQJISZM</v>
          </cell>
        </row>
        <row r="1307">
          <cell r="A1307" t="str">
            <v>YMQYQJISZMSS60*60CM</v>
          </cell>
          <cell r="B1307" t="str">
            <v>YMQYQJISZM</v>
          </cell>
        </row>
        <row r="1308">
          <cell r="A1308" t="str">
            <v>YMQYQJISZMSS90*90CM</v>
          </cell>
          <cell r="B1308" t="str">
            <v>YMQYQJISZM</v>
          </cell>
        </row>
        <row r="1309">
          <cell r="A1309" t="str">
            <v>YMQYQJISZMZM100*140CM</v>
          </cell>
          <cell r="B1309" t="str">
            <v>YMQYQJISZM</v>
          </cell>
        </row>
        <row r="1310">
          <cell r="A1310" t="str">
            <v>YMQYQJISZMZM140*140CM</v>
          </cell>
          <cell r="B1310" t="str">
            <v>YMQYQJISZM</v>
          </cell>
        </row>
        <row r="1311">
          <cell r="A1311" t="str">
            <v>YMQYQJISZMZM140*180CM</v>
          </cell>
          <cell r="B1311" t="str">
            <v>YMQYQJISZM</v>
          </cell>
        </row>
        <row r="1312">
          <cell r="A1312" t="str">
            <v>YMQYQJISZMZM140*200CM</v>
          </cell>
          <cell r="B1312" t="str">
            <v>YMQYQJISZM</v>
          </cell>
        </row>
        <row r="1313">
          <cell r="A1313" t="str">
            <v>YMQYQJISZMZM140*220CM</v>
          </cell>
          <cell r="B1313" t="str">
            <v>YMQYQJISZM</v>
          </cell>
        </row>
        <row r="1314">
          <cell r="A1314" t="str">
            <v>YMQYQJISZMZM140*250CM</v>
          </cell>
          <cell r="B1314" t="str">
            <v>YMQYQJISZM</v>
          </cell>
        </row>
        <row r="1315">
          <cell r="A1315" t="str">
            <v>YMQYQJISZMZM60*60CM</v>
          </cell>
          <cell r="B1315" t="str">
            <v>YMQYQJISZM</v>
          </cell>
        </row>
        <row r="1316">
          <cell r="A1316" t="str">
            <v>YMQYQJISZMZM90*90CM</v>
          </cell>
          <cell r="B1316" t="str">
            <v>YMQYQJISZM</v>
          </cell>
        </row>
        <row r="1317">
          <cell r="A1317" t="str">
            <v>YMQYQW011W0100*140CM</v>
          </cell>
          <cell r="B1317" t="str">
            <v>YMQYQW011</v>
          </cell>
        </row>
        <row r="1318">
          <cell r="A1318" t="str">
            <v>YMQYQW011W0140*160CM</v>
          </cell>
          <cell r="B1318" t="str">
            <v>YMQYQW011</v>
          </cell>
        </row>
        <row r="1319">
          <cell r="A1319" t="str">
            <v>YMQYQW011W0140*200CM</v>
          </cell>
          <cell r="B1319" t="str">
            <v>YMQYQW011</v>
          </cell>
        </row>
        <row r="1320">
          <cell r="A1320" t="str">
            <v>YMQYQW011W0140*250CM</v>
          </cell>
          <cell r="B1320" t="str">
            <v>YMQYQW011</v>
          </cell>
        </row>
        <row r="1321">
          <cell r="A1321" t="str">
            <v>YMQYQW011W090*90CM</v>
          </cell>
          <cell r="B1321" t="str">
            <v>YMQYQW011</v>
          </cell>
        </row>
        <row r="1322">
          <cell r="A1322" t="str">
            <v>YMQYQXDHG0100*140CM</v>
          </cell>
          <cell r="B1322" t="str">
            <v>YMQYQXDH</v>
          </cell>
        </row>
        <row r="1323">
          <cell r="A1323" t="str">
            <v>YMQYQXDHG0140*140CM</v>
          </cell>
          <cell r="B1323" t="str">
            <v>YMQYQXDH</v>
          </cell>
        </row>
        <row r="1324">
          <cell r="A1324" t="str">
            <v>YMQYQXDHG0140*180CM</v>
          </cell>
          <cell r="B1324" t="str">
            <v>YMQYQXDH</v>
          </cell>
        </row>
        <row r="1325">
          <cell r="A1325" t="str">
            <v>YMQYQXDHG0140*200CM</v>
          </cell>
          <cell r="B1325" t="str">
            <v>YMQYQXDH</v>
          </cell>
        </row>
        <row r="1326">
          <cell r="A1326" t="str">
            <v>YMQYQXDHG0140*220CM</v>
          </cell>
          <cell r="B1326" t="str">
            <v>YMQYQXDH</v>
          </cell>
        </row>
        <row r="1327">
          <cell r="A1327" t="str">
            <v>YMQYQXDHG0140*250CM</v>
          </cell>
          <cell r="B1327" t="str">
            <v>YMQYQXDH</v>
          </cell>
        </row>
        <row r="1328">
          <cell r="A1328" t="str">
            <v>YMQYQXDHG060*60CM</v>
          </cell>
          <cell r="B1328" t="str">
            <v>YMQYQXDH</v>
          </cell>
        </row>
        <row r="1329">
          <cell r="A1329" t="str">
            <v>YMQYQXDHG090*90CM</v>
          </cell>
          <cell r="B1329" t="str">
            <v>YMQYQXDH</v>
          </cell>
        </row>
        <row r="1330">
          <cell r="A1330" t="str">
            <v>YMQYQXDHKF100*140CM</v>
          </cell>
          <cell r="B1330" t="str">
            <v>YMQYQXDH</v>
          </cell>
        </row>
        <row r="1331">
          <cell r="A1331" t="str">
            <v>YMQYQXDHKF140*140CM</v>
          </cell>
          <cell r="B1331" t="str">
            <v>YMQYQXDH</v>
          </cell>
        </row>
        <row r="1332">
          <cell r="A1332" t="str">
            <v>YMQYQXDHKF140*160CM</v>
          </cell>
          <cell r="B1332" t="str">
            <v>YMQYQXDH</v>
          </cell>
        </row>
        <row r="1333">
          <cell r="A1333" t="str">
            <v>YMQYQXDHKF140*180CM</v>
          </cell>
          <cell r="B1333" t="str">
            <v>YMQYQXDH</v>
          </cell>
        </row>
        <row r="1334">
          <cell r="A1334" t="str">
            <v>YMQYQXDHKF140*200CM</v>
          </cell>
          <cell r="B1334" t="str">
            <v>YMQYQXDH</v>
          </cell>
        </row>
        <row r="1335">
          <cell r="A1335" t="str">
            <v>YMQYQXDHKF140*220CM</v>
          </cell>
          <cell r="B1335" t="str">
            <v>YMQYQXDH</v>
          </cell>
        </row>
        <row r="1336">
          <cell r="A1336" t="str">
            <v>YMQYQXDHKF140*250CM</v>
          </cell>
          <cell r="B1336" t="str">
            <v>YMQYQXDH</v>
          </cell>
        </row>
        <row r="1337">
          <cell r="A1337" t="str">
            <v>YMQYQXDHKF60*60CM</v>
          </cell>
          <cell r="B1337" t="str">
            <v>YMQYQXDH</v>
          </cell>
        </row>
        <row r="1338">
          <cell r="A1338" t="str">
            <v>YMQYQXDHKF90*90CM</v>
          </cell>
          <cell r="B1338" t="str">
            <v>YMQYQXDH</v>
          </cell>
        </row>
        <row r="1339">
          <cell r="A1339" t="str">
            <v>YMQYQXDHMAT40*35CM</v>
          </cell>
          <cell r="B1339" t="str">
            <v>YMQYQXDH</v>
          </cell>
        </row>
        <row r="1340">
          <cell r="A1340" t="str">
            <v>YMQYQXDHPO100*140CM</v>
          </cell>
          <cell r="B1340" t="str">
            <v>YMQYQXDH</v>
          </cell>
        </row>
        <row r="1341">
          <cell r="A1341" t="str">
            <v>YMQYQXDHPO140*140CM</v>
          </cell>
          <cell r="B1341" t="str">
            <v>YMQYQXDH</v>
          </cell>
        </row>
        <row r="1342">
          <cell r="A1342" t="str">
            <v>YMQYQXDHPO140*160CM</v>
          </cell>
          <cell r="B1342" t="str">
            <v>YMQYQXDH</v>
          </cell>
        </row>
        <row r="1343">
          <cell r="A1343" t="str">
            <v>YMQYQXDHPO140*180CM</v>
          </cell>
          <cell r="B1343" t="str">
            <v>YMQYQXDH</v>
          </cell>
        </row>
        <row r="1344">
          <cell r="A1344" t="str">
            <v>YMQYQXDHPO140*200CM</v>
          </cell>
          <cell r="B1344" t="str">
            <v>YMQYQXDH</v>
          </cell>
        </row>
        <row r="1345">
          <cell r="A1345" t="str">
            <v>YMQYQXDHPO140*220CM</v>
          </cell>
          <cell r="B1345" t="str">
            <v>YMQYQXDH</v>
          </cell>
        </row>
        <row r="1346">
          <cell r="A1346" t="str">
            <v>YMQYQXDHPO140*250CM</v>
          </cell>
          <cell r="B1346" t="str">
            <v>YMQYQXDH</v>
          </cell>
        </row>
        <row r="1347">
          <cell r="A1347" t="str">
            <v>YMQYQXDHPO60*60CM</v>
          </cell>
          <cell r="B1347" t="str">
            <v>YMQYQXDH</v>
          </cell>
        </row>
        <row r="1348">
          <cell r="A1348" t="str">
            <v>YMQYQXDHPO90*90CM</v>
          </cell>
          <cell r="B1348" t="str">
            <v>YMQYQXDH</v>
          </cell>
        </row>
        <row r="1349">
          <cell r="A1349" t="str">
            <v>YMQYQXDHW0100*140CM</v>
          </cell>
          <cell r="B1349" t="str">
            <v>YMQYQXDH</v>
          </cell>
        </row>
        <row r="1350">
          <cell r="A1350" t="str">
            <v>YMQYQXDHW0140*140CM</v>
          </cell>
          <cell r="B1350" t="str">
            <v>YMQYQXDH</v>
          </cell>
        </row>
        <row r="1351">
          <cell r="A1351" t="str">
            <v>YMQYQXDHW0140*160CM</v>
          </cell>
          <cell r="B1351" t="str">
            <v>YMQYQXDH</v>
          </cell>
        </row>
        <row r="1352">
          <cell r="A1352" t="str">
            <v>YMQYQXDHW0140*180CM</v>
          </cell>
          <cell r="B1352" t="str">
            <v>YMQYQXDH</v>
          </cell>
        </row>
        <row r="1353">
          <cell r="A1353" t="str">
            <v>YMQYQXDHW0140*200CM</v>
          </cell>
          <cell r="B1353" t="str">
            <v>YMQYQXDH</v>
          </cell>
        </row>
        <row r="1354">
          <cell r="A1354" t="str">
            <v>YMQYQXDHW0140*220CM</v>
          </cell>
          <cell r="B1354" t="str">
            <v>YMQYQXDH</v>
          </cell>
        </row>
        <row r="1355">
          <cell r="A1355" t="str">
            <v>YMQYQXDHW0140*250CM</v>
          </cell>
          <cell r="B1355" t="str">
            <v>YMQYQXDH</v>
          </cell>
        </row>
        <row r="1356">
          <cell r="A1356" t="str">
            <v>YMQYQXDHW060*60CM</v>
          </cell>
          <cell r="B1356" t="str">
            <v>YMQYQXDH</v>
          </cell>
        </row>
        <row r="1357">
          <cell r="A1357" t="str">
            <v>YMQYQXDHW090*90CM</v>
          </cell>
          <cell r="B1357" t="str">
            <v>YMQYQXDH</v>
          </cell>
        </row>
        <row r="1358">
          <cell r="A1358" t="str">
            <v>YMQYQXDHY0100*140CM</v>
          </cell>
          <cell r="B1358" t="str">
            <v>YMQYQXDH</v>
          </cell>
        </row>
        <row r="1359">
          <cell r="A1359" t="str">
            <v>YMQYQXDHY0140*140CM</v>
          </cell>
          <cell r="B1359" t="str">
            <v>YMQYQXDH</v>
          </cell>
        </row>
        <row r="1360">
          <cell r="A1360" t="str">
            <v>YMQYQXDHY0140*180CM</v>
          </cell>
          <cell r="B1360" t="str">
            <v>YMQYQXDH</v>
          </cell>
        </row>
        <row r="1361">
          <cell r="A1361" t="str">
            <v>YMQYQXDHY0140*200CM</v>
          </cell>
          <cell r="B1361" t="str">
            <v>YMQYQXDH</v>
          </cell>
        </row>
        <row r="1362">
          <cell r="A1362" t="str">
            <v>YMQYQXDHY0140*220CM</v>
          </cell>
          <cell r="B1362" t="str">
            <v>YMQYQXDH</v>
          </cell>
        </row>
        <row r="1363">
          <cell r="A1363" t="str">
            <v>YMQYQXDHY0140*250CM</v>
          </cell>
          <cell r="B1363" t="str">
            <v>YMQYQXDH</v>
          </cell>
        </row>
        <row r="1364">
          <cell r="A1364" t="str">
            <v>YMQYQXDHY060*60CM</v>
          </cell>
          <cell r="B1364" t="str">
            <v>YMQYQXDH</v>
          </cell>
        </row>
        <row r="1365">
          <cell r="A1365" t="str">
            <v>YMQYQXDHY090*90CM</v>
          </cell>
          <cell r="B1365" t="str">
            <v>YMQYQXDH</v>
          </cell>
        </row>
        <row r="1366">
          <cell r="A1366" t="str">
            <v>YMQYQZB05HS100*140CM</v>
          </cell>
          <cell r="B1366" t="str">
            <v>YMQYQZB05HS</v>
          </cell>
        </row>
        <row r="1367">
          <cell r="A1367" t="str">
            <v>YMQYQZB05HS140*180CM</v>
          </cell>
          <cell r="B1367" t="str">
            <v>YMQYQZB05HS</v>
          </cell>
        </row>
        <row r="1368">
          <cell r="A1368" t="str">
            <v>YMQYQZB05HS140*200CM</v>
          </cell>
          <cell r="B1368" t="str">
            <v>YMQYQZB05HS</v>
          </cell>
        </row>
        <row r="1369">
          <cell r="A1369" t="str">
            <v>YMQYQZB05HS140*220CM</v>
          </cell>
          <cell r="B1369" t="str">
            <v>YMQYQZB05HS</v>
          </cell>
        </row>
        <row r="1370">
          <cell r="A1370" t="str">
            <v>YMQYQZB05HS140*250CM</v>
          </cell>
          <cell r="B1370" t="str">
            <v>YMQYQZB05HS</v>
          </cell>
        </row>
        <row r="1371">
          <cell r="A1371" t="str">
            <v>YMQYQZB05HS60*60CM</v>
          </cell>
          <cell r="B1371" t="str">
            <v>YMQYQZB05HS</v>
          </cell>
        </row>
        <row r="1372">
          <cell r="A1372" t="str">
            <v>YMQYQZB11ZQ140*180CM</v>
          </cell>
          <cell r="B1372" t="str">
            <v>YMQYQZB11ZQ</v>
          </cell>
        </row>
        <row r="1373">
          <cell r="A1373" t="str">
            <v>YMQYQZB11ZQ140*200CM</v>
          </cell>
          <cell r="B1373" t="str">
            <v>YMQYQZB11ZQ</v>
          </cell>
        </row>
        <row r="1374">
          <cell r="A1374" t="str">
            <v>YMQYQZB11ZQ140*220CM</v>
          </cell>
          <cell r="B1374" t="str">
            <v>YMQYQZB11ZQ</v>
          </cell>
        </row>
        <row r="1375">
          <cell r="A1375" t="str">
            <v>YMQYQZB11ZQ140*250CM</v>
          </cell>
          <cell r="B1375" t="str">
            <v>YMQYQZB11ZQ</v>
          </cell>
        </row>
        <row r="1376">
          <cell r="A1376" t="str">
            <v>YMQYQZBBKSC100*140CM</v>
          </cell>
          <cell r="B1376" t="str">
            <v>YMQYQZBBKSC</v>
          </cell>
        </row>
        <row r="1377">
          <cell r="A1377" t="str">
            <v>YMQYQZBBKSC140*160CM</v>
          </cell>
          <cell r="B1377" t="str">
            <v>YMQYQZBBKSC</v>
          </cell>
        </row>
        <row r="1378">
          <cell r="A1378" t="str">
            <v>YMQYQZBBKSC140*180CM</v>
          </cell>
          <cell r="B1378" t="str">
            <v>YMQYQZBBKSC</v>
          </cell>
        </row>
        <row r="1379">
          <cell r="A1379" t="str">
            <v>YMQYQZBBKSC140*200CM</v>
          </cell>
          <cell r="B1379" t="str">
            <v>YMQYQZBBKSC</v>
          </cell>
        </row>
        <row r="1380">
          <cell r="A1380" t="str">
            <v>YMQYQZBBKSC140*220CM</v>
          </cell>
          <cell r="B1380" t="str">
            <v>YMQYQZBBKSC</v>
          </cell>
        </row>
        <row r="1381">
          <cell r="A1381" t="str">
            <v>YMQYQZBBKSC140*250CM</v>
          </cell>
          <cell r="B1381" t="str">
            <v>YMQYQZBBKSC</v>
          </cell>
        </row>
        <row r="1382">
          <cell r="A1382" t="str">
            <v>YMQYQZBBKSC90*90CM</v>
          </cell>
          <cell r="B1382" t="str">
            <v>YMQYQZBBKSC</v>
          </cell>
        </row>
        <row r="1383">
          <cell r="A1383" t="str">
            <v>YMQYQZBXHGSS140*140CM</v>
          </cell>
          <cell r="B1383" t="str">
            <v>YMQYQZBXHGSS</v>
          </cell>
        </row>
        <row r="1384">
          <cell r="A1384" t="str">
            <v>YMQYQZBXHGSS140*160CM</v>
          </cell>
          <cell r="B1384" t="str">
            <v>YMQYQZBXHGSS</v>
          </cell>
        </row>
        <row r="1385">
          <cell r="A1385" t="str">
            <v>YMQYQZBXHGSS140*180CM</v>
          </cell>
          <cell r="B1385" t="str">
            <v>YMQYQZBXHGSS</v>
          </cell>
        </row>
        <row r="1386">
          <cell r="A1386" t="str">
            <v>YMQYQZBXHGSS140*200CM</v>
          </cell>
          <cell r="B1386" t="str">
            <v>YMQYQZBXHGSS</v>
          </cell>
        </row>
        <row r="1387">
          <cell r="A1387" t="str">
            <v>YMQYQZBXHGSS140*250CM</v>
          </cell>
          <cell r="B1387" t="str">
            <v>YMQYQZBXHGSS</v>
          </cell>
        </row>
        <row r="1388">
          <cell r="A1388" t="str">
            <v>YMQYQZBXHGSS90*90CM</v>
          </cell>
          <cell r="B1388" t="str">
            <v>YMQYQZBXHGSS</v>
          </cell>
        </row>
        <row r="1389">
          <cell r="A1389" t="str">
            <v>YMQYQZBXSHSS100*140CM</v>
          </cell>
          <cell r="B1389" t="str">
            <v>YMQYQZBXSHSS</v>
          </cell>
        </row>
        <row r="1390">
          <cell r="A1390" t="str">
            <v>YMQYQZBXSHSS140*200CM</v>
          </cell>
          <cell r="B1390" t="str">
            <v>YMQYQZBXSHSS</v>
          </cell>
        </row>
        <row r="1391">
          <cell r="A1391" t="str">
            <v>YMQYQZBXSHSS140*220CM</v>
          </cell>
          <cell r="B1391" t="str">
            <v>YMQYQZBXSHSS</v>
          </cell>
        </row>
        <row r="1392">
          <cell r="A1392" t="str">
            <v>YMQYQZBXSHSS140*250CM</v>
          </cell>
          <cell r="B1392" t="str">
            <v>YMQYQZBXSHSS</v>
          </cell>
        </row>
        <row r="1393">
          <cell r="A1393" t="str">
            <v>YMQYZB4DHD100*140CM</v>
          </cell>
          <cell r="B1393" t="str">
            <v>YMQYZB4DHD</v>
          </cell>
        </row>
        <row r="1394">
          <cell r="A1394" t="str">
            <v>YMQYZB4DHD140*140CM</v>
          </cell>
          <cell r="B1394" t="str">
            <v>YMQYZB4DHD</v>
          </cell>
        </row>
        <row r="1395">
          <cell r="A1395" t="str">
            <v>YMQYZB4DHD140*180CM</v>
          </cell>
          <cell r="B1395" t="str">
            <v>YMQYZB4DHD</v>
          </cell>
        </row>
        <row r="1396">
          <cell r="A1396" t="str">
            <v>YMQYZB4DHD140*220CM</v>
          </cell>
          <cell r="B1396" t="str">
            <v>YMQYZB4DHD</v>
          </cell>
        </row>
        <row r="1397">
          <cell r="A1397" t="str">
            <v>YMQYZB4DHD60*60CM</v>
          </cell>
          <cell r="B1397" t="str">
            <v>YMQYZB4DHD</v>
          </cell>
        </row>
        <row r="1398">
          <cell r="A1398" t="str">
            <v>YMQYZB756NY100*140</v>
          </cell>
          <cell r="B1398" t="str">
            <v>YMQYZB756N</v>
          </cell>
        </row>
        <row r="1399">
          <cell r="A1399" t="str">
            <v>YMQYZBCMCM100*140</v>
          </cell>
          <cell r="B1399" t="str">
            <v>YMQYZBCMCM</v>
          </cell>
        </row>
        <row r="1400">
          <cell r="A1400" t="str">
            <v>YMQYZBCMCM140*140</v>
          </cell>
          <cell r="B1400" t="str">
            <v>YMQYZBCMCM</v>
          </cell>
        </row>
        <row r="1401">
          <cell r="A1401" t="str">
            <v>YMQYZBCMCM140*160</v>
          </cell>
          <cell r="B1401" t="str">
            <v>YMQYZBCMCM</v>
          </cell>
        </row>
        <row r="1402">
          <cell r="A1402" t="str">
            <v>YMQYZBCMCM140*200</v>
          </cell>
          <cell r="B1402" t="str">
            <v>YMQYZBCMCM</v>
          </cell>
        </row>
        <row r="1403">
          <cell r="A1403" t="str">
            <v>YMQYZBCMCM140*250</v>
          </cell>
          <cell r="B1403" t="str">
            <v>YMQYZBCMCM</v>
          </cell>
        </row>
        <row r="1404">
          <cell r="A1404" t="str">
            <v>YMQYZBCSMS100*140CM</v>
          </cell>
          <cell r="B1404" t="str">
            <v>YMQYZBCSM</v>
          </cell>
        </row>
        <row r="1405">
          <cell r="A1405" t="str">
            <v>YMQYZBCSMS14*16CM</v>
          </cell>
          <cell r="B1405" t="str">
            <v>YMQYZBCSM</v>
          </cell>
        </row>
        <row r="1406">
          <cell r="A1406" t="str">
            <v>YMQYZBCSMS140*140CM</v>
          </cell>
          <cell r="B1406" t="str">
            <v>YMQYZBCSM</v>
          </cell>
        </row>
        <row r="1407">
          <cell r="A1407" t="str">
            <v>YMQYZBCSMS140*180CM</v>
          </cell>
          <cell r="B1407" t="str">
            <v>YMQYZBCSM</v>
          </cell>
        </row>
        <row r="1408">
          <cell r="A1408" t="str">
            <v>YMQYZBCSMS140*200CM</v>
          </cell>
          <cell r="B1408" t="str">
            <v>YMQYZBCSM</v>
          </cell>
        </row>
        <row r="1409">
          <cell r="A1409" t="str">
            <v>YMQYZBCSMS140*220CM</v>
          </cell>
          <cell r="B1409" t="str">
            <v>YMQYZBCSM</v>
          </cell>
        </row>
        <row r="1410">
          <cell r="A1410" t="str">
            <v>YMQYZBCSMS140*250CM</v>
          </cell>
          <cell r="B1410" t="str">
            <v>YMQYZBCSM</v>
          </cell>
        </row>
        <row r="1411">
          <cell r="A1411" t="str">
            <v>YMQYZBCSMS60*60CM</v>
          </cell>
          <cell r="B1411" t="str">
            <v>YMQYZBCSM</v>
          </cell>
        </row>
        <row r="1412">
          <cell r="A1412" t="str">
            <v>YMQYZBCSMS90*90CM</v>
          </cell>
          <cell r="B1412" t="str">
            <v>YMQYZBCSM</v>
          </cell>
        </row>
        <row r="1413">
          <cell r="A1413" t="str">
            <v>YMQYZBJTE0100*140CM</v>
          </cell>
          <cell r="B1413" t="str">
            <v>YMQYZBJT</v>
          </cell>
        </row>
        <row r="1414">
          <cell r="A1414" t="str">
            <v>YMQYZBJTE0140*140CM</v>
          </cell>
          <cell r="B1414" t="str">
            <v>YMQYZBJT</v>
          </cell>
        </row>
        <row r="1415">
          <cell r="A1415" t="str">
            <v>YMQYZBJTE0140*180CM</v>
          </cell>
          <cell r="B1415" t="str">
            <v>YMQYZBJT</v>
          </cell>
        </row>
        <row r="1416">
          <cell r="A1416" t="str">
            <v>YMQYZBJTE0140*200CM</v>
          </cell>
          <cell r="B1416" t="str">
            <v>YMQYZBJT</v>
          </cell>
        </row>
        <row r="1417">
          <cell r="A1417" t="str">
            <v>YMQYZBJTE0140*220CM</v>
          </cell>
          <cell r="B1417" t="str">
            <v>YMQYZBJT</v>
          </cell>
        </row>
        <row r="1418">
          <cell r="A1418" t="str">
            <v>YMQYZBJTE0140*250CM</v>
          </cell>
          <cell r="B1418" t="str">
            <v>YMQYZBJT</v>
          </cell>
        </row>
        <row r="1419">
          <cell r="A1419" t="str">
            <v>YMQYZBJTE059*59CM</v>
          </cell>
          <cell r="B1419" t="str">
            <v>YMQYZBJT</v>
          </cell>
        </row>
        <row r="1420">
          <cell r="A1420" t="str">
            <v>YMQYZBJTE060*60CM</v>
          </cell>
          <cell r="B1420" t="str">
            <v>YMQYZBJT</v>
          </cell>
        </row>
        <row r="1421">
          <cell r="A1421" t="str">
            <v>YMQYZBJTE090*90CM</v>
          </cell>
          <cell r="B1421" t="str">
            <v>YMQYZBJT</v>
          </cell>
        </row>
        <row r="1422">
          <cell r="A1422" t="str">
            <v>YMQYZBTZGY0100*140CM</v>
          </cell>
          <cell r="B1422" t="str">
            <v>YMQYZBTZG</v>
          </cell>
        </row>
        <row r="1423">
          <cell r="A1423" t="str">
            <v>YMQYZBTZGY0140*140CM</v>
          </cell>
          <cell r="B1423" t="str">
            <v>YMQYZBTZG</v>
          </cell>
        </row>
        <row r="1424">
          <cell r="A1424" t="str">
            <v>YMQYZBTZGY0140*180CM</v>
          </cell>
          <cell r="B1424" t="str">
            <v>YMQYZBTZG</v>
          </cell>
        </row>
        <row r="1425">
          <cell r="A1425" t="str">
            <v>YMQYZBTZGY0140*200CM</v>
          </cell>
          <cell r="B1425" t="str">
            <v>YMQYZBTZG</v>
          </cell>
        </row>
        <row r="1426">
          <cell r="A1426" t="str">
            <v>YMQYZBTZGY0140*220CM</v>
          </cell>
          <cell r="B1426" t="str">
            <v>YMQYZBTZG</v>
          </cell>
        </row>
        <row r="1427">
          <cell r="A1427" t="str">
            <v>YMQYZBTZGY0140*250CM</v>
          </cell>
          <cell r="B1427" t="str">
            <v>YMQYZBTZG</v>
          </cell>
        </row>
        <row r="1428">
          <cell r="A1428" t="str">
            <v>YMQYZBTZGY060*60CM</v>
          </cell>
          <cell r="B1428" t="str">
            <v>YMQYZBTZG</v>
          </cell>
        </row>
        <row r="1429">
          <cell r="A1429" t="str">
            <v>YMQYZBTZGY090*90CM</v>
          </cell>
          <cell r="B1429" t="str">
            <v>YMQYZBTZG</v>
          </cell>
        </row>
        <row r="1430">
          <cell r="A1430" t="str">
            <v>YMQYZHUOBUJXXHB0100x140CM</v>
          </cell>
          <cell r="B1430" t="str">
            <v>YMQYZHUOBUJXXH</v>
          </cell>
        </row>
        <row r="1431">
          <cell r="A1431" t="str">
            <v>YMQYZHUOBUJXXHB0140x140CM</v>
          </cell>
          <cell r="B1431" t="str">
            <v>YMQYZHUOBUJXXH</v>
          </cell>
        </row>
        <row r="1432">
          <cell r="A1432" t="str">
            <v>YMQYZHUOBUJXXHB0140x160CM</v>
          </cell>
          <cell r="B1432" t="str">
            <v>YMQYZHUOBUJXXH</v>
          </cell>
        </row>
        <row r="1433">
          <cell r="A1433" t="str">
            <v>YMQYZHUOBUJXXHB0140x180CM</v>
          </cell>
          <cell r="B1433" t="str">
            <v>YMQYZHUOBUJXXH</v>
          </cell>
        </row>
        <row r="1434">
          <cell r="A1434" t="str">
            <v>YMQYZHUOBUJXXHB0140x200CM</v>
          </cell>
          <cell r="B1434" t="str">
            <v>YMQYZHUOBUJXXH</v>
          </cell>
        </row>
        <row r="1435">
          <cell r="A1435" t="str">
            <v>YMQYZHUOBUJXXHB0140x220CM</v>
          </cell>
          <cell r="B1435" t="str">
            <v>YMQYZHUOBUJXXH</v>
          </cell>
        </row>
        <row r="1436">
          <cell r="A1436" t="str">
            <v>YMQYZHUOBUJXXHB0140x250CM</v>
          </cell>
          <cell r="B1436" t="str">
            <v>YMQYZHUOBUJXXH</v>
          </cell>
        </row>
        <row r="1437">
          <cell r="A1437" t="str">
            <v>YMQYZHUOBUJXXHB060x60CM</v>
          </cell>
          <cell r="B1437" t="str">
            <v>YMQYZHUOBUJXXH</v>
          </cell>
        </row>
        <row r="1438">
          <cell r="A1438" t="str">
            <v>YMQYZHUOBUJXXHB090x90CM</v>
          </cell>
          <cell r="B1438" t="str">
            <v>YMQYZHUOBUJXXH</v>
          </cell>
        </row>
        <row r="1439">
          <cell r="A1439" t="str">
            <v>YMQYZTZM45*45CM</v>
          </cell>
          <cell r="B1439" t="str">
            <v>YMQYZTZM</v>
          </cell>
        </row>
        <row r="1440">
          <cell r="A1440" t="str">
            <v>YXB813G0</v>
          </cell>
          <cell r="B1440" t="str">
            <v>YXB813</v>
          </cell>
        </row>
        <row r="1441">
          <cell r="A1441" t="str">
            <v>YXB813KQ</v>
          </cell>
          <cell r="B1441" t="str">
            <v>YXB813</v>
          </cell>
        </row>
        <row r="1442">
          <cell r="A1442" t="str">
            <v>YXB813KR36</v>
          </cell>
          <cell r="B1442" t="str">
            <v>YXB813</v>
          </cell>
        </row>
        <row r="1443">
          <cell r="A1443" t="str">
            <v>YXB813XS39</v>
          </cell>
          <cell r="B1443" t="str">
            <v>YXB813</v>
          </cell>
        </row>
        <row r="1444">
          <cell r="A1444" t="str">
            <v>YX-IUCY-102-AE-2XL</v>
          </cell>
          <cell r="B1444" t="str">
            <v>YX-IUCY</v>
          </cell>
        </row>
        <row r="1445">
          <cell r="A1445" t="str">
            <v>YX-IUCY-102-AE-L</v>
          </cell>
          <cell r="B1445" t="str">
            <v>YX-IUCY</v>
          </cell>
        </row>
        <row r="1446">
          <cell r="A1446" t="str">
            <v>YX-IUCY-102-AE-XL</v>
          </cell>
          <cell r="B1446" t="str">
            <v>YX-IUCY</v>
          </cell>
        </row>
        <row r="1447">
          <cell r="A1447" t="str">
            <v>YX-IUCY-102-KO-L</v>
          </cell>
          <cell r="B1447" t="str">
            <v>YX-IUCY</v>
          </cell>
        </row>
        <row r="1448">
          <cell r="A1448" t="str">
            <v>YX-IUCY-102-KO-X-2XL</v>
          </cell>
          <cell r="B1448" t="str">
            <v>YX-IUCY</v>
          </cell>
        </row>
        <row r="1449">
          <cell r="A1449" t="str">
            <v>YX-IUCY-102-KO-XL</v>
          </cell>
          <cell r="B1449" t="str">
            <v>YX-IUCY</v>
          </cell>
        </row>
        <row r="1450">
          <cell r="A1450" t="str">
            <v>YX-IUCY-102-WO-2XL</v>
          </cell>
          <cell r="B1450" t="str">
            <v>YX-IUCY</v>
          </cell>
        </row>
        <row r="1451">
          <cell r="A1451" t="str">
            <v>YX-IUCY-102-WO-L</v>
          </cell>
          <cell r="B1451" t="str">
            <v>YX-IUCY</v>
          </cell>
        </row>
        <row r="1452">
          <cell r="A1452" t="str">
            <v>YX-IUCY-102-WO-XL</v>
          </cell>
          <cell r="B1452" t="str">
            <v>YX-IUCY</v>
          </cell>
        </row>
        <row r="1453">
          <cell r="A1453" t="str">
            <v>YX-IUCY-518-BO-2XL</v>
          </cell>
          <cell r="B1453" t="str">
            <v>YX-IUCY</v>
          </cell>
        </row>
        <row r="1454">
          <cell r="A1454" t="str">
            <v>YX-IUCY-518-BO-L</v>
          </cell>
          <cell r="B1454" t="str">
            <v>YX-IUCY</v>
          </cell>
        </row>
        <row r="1455">
          <cell r="A1455" t="str">
            <v>YX-IUCY-518-BO-XL</v>
          </cell>
          <cell r="B1455" t="str">
            <v>YX-IUCY</v>
          </cell>
        </row>
        <row r="1456">
          <cell r="A1456" t="str">
            <v>YX-IUCY-518-N5-2XL</v>
          </cell>
          <cell r="B1456" t="str">
            <v>YX-IUCY</v>
          </cell>
        </row>
        <row r="1457">
          <cell r="A1457" t="str">
            <v>YX-IUCY-518-N5-L</v>
          </cell>
          <cell r="B1457" t="str">
            <v>YX-IUCY</v>
          </cell>
        </row>
        <row r="1458">
          <cell r="A1458" t="str">
            <v>YX-IUCY-518-N5-XL</v>
          </cell>
          <cell r="B1458" t="str">
            <v>YX-IUCY</v>
          </cell>
        </row>
        <row r="1459">
          <cell r="A1459" t="str">
            <v>YX-IUCY-518-WO-2XL</v>
          </cell>
          <cell r="B1459" t="str">
            <v>YX-IUCY</v>
          </cell>
        </row>
        <row r="1460">
          <cell r="A1460" t="str">
            <v>YX-IUCY-518-WO-L</v>
          </cell>
          <cell r="B1460" t="str">
            <v>YX-IUCY</v>
          </cell>
        </row>
        <row r="1461">
          <cell r="A1461" t="str">
            <v>YX-IUCY-518-WO-XL</v>
          </cell>
          <cell r="B1461" t="str">
            <v>YX-IUCY</v>
          </cell>
        </row>
        <row r="1462">
          <cell r="A1462" t="str">
            <v>YX-IUCY-819-N5-2XL</v>
          </cell>
          <cell r="B1462" t="str">
            <v>YX-IUCY</v>
          </cell>
        </row>
        <row r="1463">
          <cell r="A1463" t="str">
            <v>YX-IUCY-819-N5-L</v>
          </cell>
          <cell r="B1463" t="str">
            <v>YX-IUCY</v>
          </cell>
        </row>
        <row r="1464">
          <cell r="A1464" t="str">
            <v>YX-IUCY-819-N5-XL</v>
          </cell>
          <cell r="B1464" t="str">
            <v>YX-IUCY</v>
          </cell>
        </row>
        <row r="1465">
          <cell r="A1465" t="str">
            <v>YX-IUCY-819-WO-2XL</v>
          </cell>
          <cell r="B1465" t="str">
            <v>YX-IUCY</v>
          </cell>
        </row>
        <row r="1466">
          <cell r="A1466" t="str">
            <v>YX-IUCY-819-WO-L</v>
          </cell>
          <cell r="B1466" t="str">
            <v>YX-IUCY</v>
          </cell>
        </row>
        <row r="1467">
          <cell r="A1467" t="str">
            <v>YX-IUCY-819-WO-XL</v>
          </cell>
          <cell r="B1467" t="str">
            <v>YX-IUCY</v>
          </cell>
        </row>
        <row r="1468">
          <cell r="A1468" t="str">
            <v>YY1100G0L</v>
          </cell>
          <cell r="B1468" t="str">
            <v>YY1100</v>
          </cell>
        </row>
        <row r="1469">
          <cell r="A1469" t="str">
            <v>YY1100G0M</v>
          </cell>
          <cell r="B1469" t="str">
            <v>YY1100</v>
          </cell>
        </row>
        <row r="1470">
          <cell r="A1470" t="str">
            <v>YY1100PR</v>
          </cell>
          <cell r="B1470" t="str">
            <v>YY1100</v>
          </cell>
        </row>
        <row r="1471">
          <cell r="A1471" t="str">
            <v>YY1100W0L</v>
          </cell>
          <cell r="B1471" t="str">
            <v>YY1100</v>
          </cell>
        </row>
        <row r="1472">
          <cell r="A1472" t="str">
            <v>YY1100W0M</v>
          </cell>
          <cell r="B1472" t="str">
            <v>YY1100</v>
          </cell>
        </row>
        <row r="1473">
          <cell r="A1473" t="str">
            <v>YY2003G0</v>
          </cell>
          <cell r="B1473" t="str">
            <v>YY2003</v>
          </cell>
        </row>
        <row r="1474">
          <cell r="A1474" t="str">
            <v>YY2009L</v>
          </cell>
          <cell r="B1474" t="str">
            <v>YY2009</v>
          </cell>
        </row>
        <row r="1475">
          <cell r="A1475" t="str">
            <v>YY2009XL</v>
          </cell>
          <cell r="B1475" t="str">
            <v>YY2009</v>
          </cell>
        </row>
        <row r="1476">
          <cell r="A1476" t="str">
            <v>YY2126B0</v>
          </cell>
          <cell r="B1476" t="str">
            <v>YY2126</v>
          </cell>
        </row>
        <row r="1477">
          <cell r="A1477" t="str">
            <v>YY2126R0</v>
          </cell>
          <cell r="B1477" t="str">
            <v>YY2126</v>
          </cell>
        </row>
        <row r="1478">
          <cell r="A1478" t="str">
            <v>YY2127GR</v>
          </cell>
          <cell r="B1478" t="str">
            <v>YY2127</v>
          </cell>
        </row>
        <row r="1479">
          <cell r="A1479" t="str">
            <v>YY2127GRL</v>
          </cell>
          <cell r="B1479" t="str">
            <v>YY2127</v>
          </cell>
        </row>
        <row r="1480">
          <cell r="A1480" t="str">
            <v>YY2127GRXXL</v>
          </cell>
          <cell r="B1480" t="str">
            <v>YY2127</v>
          </cell>
        </row>
        <row r="1481">
          <cell r="A1481" t="str">
            <v>YY2127GRYL</v>
          </cell>
          <cell r="B1481" t="str">
            <v>YY2127</v>
          </cell>
        </row>
        <row r="1482">
          <cell r="A1482" t="str">
            <v>YY2127GRYM</v>
          </cell>
          <cell r="B1482" t="str">
            <v>YY2127</v>
          </cell>
        </row>
        <row r="1483">
          <cell r="A1483" t="str">
            <v>YY2127GRYXL</v>
          </cell>
          <cell r="B1483" t="str">
            <v>YY2127</v>
          </cell>
        </row>
        <row r="1484">
          <cell r="A1484" t="str">
            <v>YY5100B0L</v>
          </cell>
          <cell r="B1484" t="str">
            <v>YY5100</v>
          </cell>
        </row>
        <row r="1485">
          <cell r="A1485" t="str">
            <v>YY5100B0M</v>
          </cell>
          <cell r="B1485" t="str">
            <v>YY5100</v>
          </cell>
        </row>
        <row r="1486">
          <cell r="A1486" t="str">
            <v>YY5100B0S</v>
          </cell>
          <cell r="B1486" t="str">
            <v>YY5100</v>
          </cell>
        </row>
        <row r="1487">
          <cell r="A1487" t="str">
            <v>YY5100B0XL</v>
          </cell>
          <cell r="B1487" t="str">
            <v>YY5100</v>
          </cell>
        </row>
        <row r="1488">
          <cell r="A1488" t="str">
            <v>YY5100B0XXL</v>
          </cell>
          <cell r="B1488" t="str">
            <v>YY5100</v>
          </cell>
        </row>
        <row r="1489">
          <cell r="A1489" t="str">
            <v>YY5100B1XL</v>
          </cell>
          <cell r="B1489" t="str">
            <v>YY5100</v>
          </cell>
        </row>
        <row r="1490">
          <cell r="A1490" t="str">
            <v>YY5100R5L</v>
          </cell>
          <cell r="B1490" t="str">
            <v>YY5100</v>
          </cell>
        </row>
        <row r="1491">
          <cell r="A1491" t="str">
            <v>YY5100R5M</v>
          </cell>
          <cell r="B1491" t="str">
            <v>YY5100</v>
          </cell>
        </row>
        <row r="1492">
          <cell r="A1492" t="str">
            <v>YY5100R5S</v>
          </cell>
          <cell r="B1492" t="str">
            <v>YY5100</v>
          </cell>
        </row>
        <row r="1493">
          <cell r="A1493" t="str">
            <v>YY5100R5XL</v>
          </cell>
          <cell r="B1493" t="str">
            <v>YY5100</v>
          </cell>
        </row>
        <row r="1494">
          <cell r="A1494" t="str">
            <v>YY5100R5XXL</v>
          </cell>
          <cell r="B1494" t="str">
            <v>YY5100</v>
          </cell>
        </row>
        <row r="1495">
          <cell r="A1495" t="str">
            <v>YY5100XB0L</v>
          </cell>
          <cell r="B1495" t="str">
            <v>YY5100</v>
          </cell>
        </row>
        <row r="1496">
          <cell r="A1496" t="str">
            <v>YY5100XB0M</v>
          </cell>
          <cell r="B1496" t="str">
            <v>YY5100</v>
          </cell>
        </row>
        <row r="1497">
          <cell r="A1497" t="str">
            <v>YY5100XB0S</v>
          </cell>
          <cell r="B1497" t="str">
            <v>YY5100</v>
          </cell>
        </row>
        <row r="1498">
          <cell r="A1498" t="str">
            <v>YY5100XB0XL</v>
          </cell>
          <cell r="B1498" t="str">
            <v>YY5100</v>
          </cell>
        </row>
        <row r="1499">
          <cell r="A1499" t="str">
            <v>YY5100XB0XXL</v>
          </cell>
          <cell r="B1499" t="str">
            <v>YY5100</v>
          </cell>
        </row>
        <row r="1500">
          <cell r="A1500" t="str">
            <v>YY5100XGZG0</v>
          </cell>
          <cell r="B1500" t="str">
            <v>YY5100</v>
          </cell>
        </row>
        <row r="1501">
          <cell r="A1501" t="str">
            <v>YY5100XHSYY</v>
          </cell>
          <cell r="B1501" t="str">
            <v>YY5100</v>
          </cell>
        </row>
        <row r="1502">
          <cell r="A1502" t="str">
            <v>YY5100XR5L</v>
          </cell>
          <cell r="B1502" t="str">
            <v>YY5100</v>
          </cell>
        </row>
        <row r="1503">
          <cell r="A1503" t="str">
            <v>YY5100XR5M</v>
          </cell>
          <cell r="B1503" t="str">
            <v>YY5100</v>
          </cell>
        </row>
        <row r="1504">
          <cell r="A1504" t="str">
            <v>YY5100XR5S</v>
          </cell>
          <cell r="B1504" t="str">
            <v>YY5100</v>
          </cell>
        </row>
        <row r="1505">
          <cell r="A1505" t="str">
            <v>YY5100XR5XL</v>
          </cell>
          <cell r="B1505" t="str">
            <v>YY5100</v>
          </cell>
        </row>
        <row r="1506">
          <cell r="A1506" t="str">
            <v>YY5100XR5XXL</v>
          </cell>
          <cell r="B1506" t="str">
            <v>YY5100</v>
          </cell>
        </row>
        <row r="1507">
          <cell r="A1507" t="str">
            <v>YY5100Y0L</v>
          </cell>
          <cell r="B1507" t="str">
            <v>YY5100</v>
          </cell>
        </row>
        <row r="1508">
          <cell r="A1508" t="str">
            <v>YY5100Y0M</v>
          </cell>
          <cell r="B1508" t="str">
            <v>YY5100</v>
          </cell>
        </row>
        <row r="1509">
          <cell r="A1509" t="str">
            <v>YY5100Y0S</v>
          </cell>
          <cell r="B1509" t="str">
            <v>YY5100</v>
          </cell>
        </row>
        <row r="1510">
          <cell r="A1510" t="str">
            <v>YY5100Y0XL</v>
          </cell>
          <cell r="B1510" t="str">
            <v>YY5100</v>
          </cell>
        </row>
        <row r="1511">
          <cell r="A1511" t="str">
            <v>YY5100Y0XXL</v>
          </cell>
          <cell r="B1511" t="str">
            <v>YY5100</v>
          </cell>
        </row>
        <row r="1512">
          <cell r="A1512" t="str">
            <v>YY5100Y10S</v>
          </cell>
          <cell r="B1512" t="str">
            <v>YY5100</v>
          </cell>
        </row>
        <row r="1513">
          <cell r="A1513" t="str">
            <v>YY-IC100-BEDGR</v>
          </cell>
          <cell r="B1513" t="str">
            <v>YY-IC100</v>
          </cell>
        </row>
        <row r="1514">
          <cell r="A1514" t="str">
            <v>YY-IC100-BEGO</v>
          </cell>
          <cell r="B1514" t="str">
            <v>YY-IC100</v>
          </cell>
        </row>
        <row r="1515">
          <cell r="A1515" t="str">
            <v>YY-IC100-BEKO</v>
          </cell>
          <cell r="B1515" t="str">
            <v>YY-IC100</v>
          </cell>
        </row>
        <row r="1516">
          <cell r="A1516" t="str">
            <v>YY-IC100-BELGR</v>
          </cell>
          <cell r="B1516" t="str">
            <v>YY-IC100</v>
          </cell>
        </row>
        <row r="1517">
          <cell r="A1517" t="str">
            <v>YY-IC100-BER2</v>
          </cell>
          <cell r="B1517" t="str">
            <v>YY-IC100</v>
          </cell>
        </row>
        <row r="1518">
          <cell r="A1518" t="str">
            <v>YY-IC100-BEZL</v>
          </cell>
          <cell r="B1518" t="str">
            <v>YY-IC100</v>
          </cell>
        </row>
        <row r="1519">
          <cell r="A1519" t="str">
            <v>YY-IC150-B7</v>
          </cell>
          <cell r="B1519" t="str">
            <v>YY-IC150</v>
          </cell>
        </row>
        <row r="1520">
          <cell r="A1520" t="str">
            <v>YY-IC150-KO</v>
          </cell>
          <cell r="B1520" t="str">
            <v>YY-IC150</v>
          </cell>
        </row>
        <row r="1521">
          <cell r="A1521" t="str">
            <v>YY-IC150-P1</v>
          </cell>
          <cell r="B1521" t="str">
            <v>YY-IC150</v>
          </cell>
        </row>
        <row r="1522">
          <cell r="A1522" t="str">
            <v>YY-ICK29-BEYO</v>
          </cell>
          <cell r="B1522" t="str">
            <v>YY-ICK29</v>
          </cell>
        </row>
        <row r="1523">
          <cell r="A1523" t="str">
            <v>YY-ICK29-BO-FLOWER</v>
          </cell>
          <cell r="B1523" t="str">
            <v>YY-ICK29</v>
          </cell>
        </row>
        <row r="1524">
          <cell r="A1524" t="str">
            <v>YY-ICK29-BO-MOUNTAIN</v>
          </cell>
          <cell r="B1524" t="str">
            <v>YY-ICK29</v>
          </cell>
        </row>
        <row r="1525">
          <cell r="A1525" t="str">
            <v>YY-ICK29-BO-POINT</v>
          </cell>
          <cell r="B1525" t="str">
            <v>YY-ICK29</v>
          </cell>
        </row>
        <row r="1526">
          <cell r="A1526" t="str">
            <v>YY-ICK29-BO-STAR</v>
          </cell>
          <cell r="B1526" t="str">
            <v>YY-ICK29</v>
          </cell>
        </row>
        <row r="1527">
          <cell r="A1527" t="str">
            <v>YY-ICK29-FBB7</v>
          </cell>
          <cell r="B1527" t="str">
            <v>YY-ICK29</v>
          </cell>
        </row>
        <row r="1528">
          <cell r="A1528" t="str">
            <v>YY-ICK29-GO</v>
          </cell>
          <cell r="B1528" t="str">
            <v>YY-ICK29</v>
          </cell>
        </row>
        <row r="1529">
          <cell r="A1529" t="str">
            <v>YY-ICK29-KO</v>
          </cell>
          <cell r="B1529" t="str">
            <v>YY-ICK29</v>
          </cell>
        </row>
        <row r="1530">
          <cell r="A1530" t="str">
            <v>YY-ICK29-N5</v>
          </cell>
          <cell r="B1530" t="str">
            <v>YY-ICK29</v>
          </cell>
        </row>
        <row r="1531">
          <cell r="A1531" t="str">
            <v>YY-ICK29-R2-POINT</v>
          </cell>
          <cell r="B1531" t="str">
            <v>YY-ICK29</v>
          </cell>
        </row>
        <row r="1532">
          <cell r="A1532" t="str">
            <v>YY-ICK29-RO-STAR</v>
          </cell>
          <cell r="B1532" t="str">
            <v>YY-ICK29</v>
          </cell>
        </row>
        <row r="1533">
          <cell r="A1533" t="str">
            <v>YY-ICK29-WO</v>
          </cell>
          <cell r="B1533" t="str">
            <v>YY-ICK29</v>
          </cell>
        </row>
        <row r="1534">
          <cell r="A1534" t="str">
            <v>YY-ICK29-YO-CLOUD</v>
          </cell>
          <cell r="B1534" t="str">
            <v>YY-ICK29</v>
          </cell>
        </row>
        <row r="1535">
          <cell r="A1535" t="str">
            <v>YY-ICK29-YO-POINT</v>
          </cell>
          <cell r="B1535" t="str">
            <v>YY-ICK29</v>
          </cell>
        </row>
        <row r="1536">
          <cell r="A1536" t="str">
            <v>YY-IULCY-C9002-AG</v>
          </cell>
          <cell r="B1536" t="str">
            <v>YY-IULCY-C9002</v>
          </cell>
        </row>
        <row r="1537">
          <cell r="A1537" t="str">
            <v>YY-IULCY-C9002-DB</v>
          </cell>
          <cell r="B1537" t="str">
            <v>YY-IULCY-C9002</v>
          </cell>
        </row>
        <row r="1538">
          <cell r="A1538" t="str">
            <v>YY-IULCY-C9002-LB</v>
          </cell>
          <cell r="B1538" t="str">
            <v>YY-IULCY-C9002</v>
          </cell>
        </row>
        <row r="1539">
          <cell r="A1539" t="str">
            <v>YY-IULCY-C9002-LG</v>
          </cell>
          <cell r="B1539" t="str">
            <v>YY-IULCY-C9002</v>
          </cell>
        </row>
        <row r="1540">
          <cell r="A1540" t="str">
            <v>YY-IULCY-C9002-OR</v>
          </cell>
          <cell r="B1540" t="str">
            <v>YY-IULCY-C9002</v>
          </cell>
        </row>
        <row r="1541">
          <cell r="A1541" t="str">
            <v>YY-IULCY-HZYD100-BIGEYED-L</v>
          </cell>
          <cell r="B1541" t="str">
            <v>YY-IULCY-HZYD100</v>
          </cell>
        </row>
        <row r="1542">
          <cell r="A1542" t="str">
            <v>YY-IULCY-HZYD100-BIGEYED-M</v>
          </cell>
          <cell r="B1542" t="str">
            <v>YY-IULCY-HZYD100</v>
          </cell>
        </row>
        <row r="1543">
          <cell r="A1543" t="str">
            <v>YY-IULCY-HZYD100-BIGEYED-XL</v>
          </cell>
          <cell r="B1543" t="str">
            <v>YY-IULCY-HZYD100</v>
          </cell>
        </row>
        <row r="1544">
          <cell r="A1544" t="str">
            <v>YY-IULCY-HZYD200-LGSTAR-L</v>
          </cell>
          <cell r="B1544" t="str">
            <v>YY-IULCY-HZYD200</v>
          </cell>
        </row>
        <row r="1545">
          <cell r="A1545" t="str">
            <v>YY-IULCY-HZYD200-LGSTAR-M</v>
          </cell>
          <cell r="B1545" t="str">
            <v>YY-IULCY-HZYD200</v>
          </cell>
        </row>
        <row r="1546">
          <cell r="A1546" t="str">
            <v>YY-IULCY-HZYD200-LGSTAR-XL</v>
          </cell>
          <cell r="B1546" t="str">
            <v>YY-IULCY-HZYD200</v>
          </cell>
        </row>
        <row r="1547">
          <cell r="A1547" t="str">
            <v>YY-IULCY-KS369-ANCHOR-L</v>
          </cell>
          <cell r="B1547" t="str">
            <v>YY-IULCY-KS369</v>
          </cell>
        </row>
        <row r="1548">
          <cell r="A1548" t="str">
            <v>YY-IULCY-KS369-ANCHOR-M</v>
          </cell>
          <cell r="B1548" t="str">
            <v>YY-IULCY-KS369</v>
          </cell>
        </row>
        <row r="1549">
          <cell r="A1549" t="str">
            <v>YY-IULCY-KS369-BIRD-L</v>
          </cell>
          <cell r="B1549" t="str">
            <v>YY-IULCY-KS369</v>
          </cell>
        </row>
        <row r="1550">
          <cell r="A1550" t="str">
            <v>YY-IULCY-KS369-BIRD-M</v>
          </cell>
          <cell r="B1550" t="str">
            <v>YY-IULCY-KS369</v>
          </cell>
        </row>
        <row r="1551">
          <cell r="A1551" t="str">
            <v>YY-IULCY-KS369-HEAD-L</v>
          </cell>
          <cell r="B1551" t="str">
            <v>YY-IULCY-KS369</v>
          </cell>
        </row>
        <row r="1552">
          <cell r="A1552" t="str">
            <v>YY-IULCY-KS369-HEAD-M</v>
          </cell>
          <cell r="B1552" t="str">
            <v>YY-IULCY-KS369</v>
          </cell>
        </row>
        <row r="1553">
          <cell r="A1553" t="str">
            <v>YY-IULCY-KS369-PLANT-L</v>
          </cell>
          <cell r="B1553" t="str">
            <v>YY-IULCY-KS369</v>
          </cell>
        </row>
        <row r="1554">
          <cell r="A1554" t="str">
            <v>YY-IULCY-KS369-PLANT-M</v>
          </cell>
          <cell r="B1554" t="str">
            <v>YY-IULCY-KS369</v>
          </cell>
        </row>
        <row r="1555">
          <cell r="A1555" t="str">
            <v>YY-IULCY-KS370-BL-L</v>
          </cell>
          <cell r="B1555" t="str">
            <v>YY-IULCY-KS370</v>
          </cell>
        </row>
        <row r="1556">
          <cell r="A1556" t="str">
            <v>YY-IULCY-KS370-BL-M</v>
          </cell>
          <cell r="B1556" t="str">
            <v>YY-IULCY-KS370</v>
          </cell>
        </row>
        <row r="1557">
          <cell r="A1557" t="str">
            <v>YY-IULCY-KS370-RD-L</v>
          </cell>
          <cell r="B1557" t="str">
            <v>YY-IULCY-KS370</v>
          </cell>
        </row>
        <row r="1558">
          <cell r="A1558" t="str">
            <v>YY-IULCY-KS370-RD-M</v>
          </cell>
          <cell r="B1558" t="str">
            <v>YY-IULCY-KS370</v>
          </cell>
        </row>
        <row r="1559">
          <cell r="A1559" t="str">
            <v>YY-IULCY-KS371-BL-L</v>
          </cell>
          <cell r="B1559" t="str">
            <v>YY-IULCY-KS371</v>
          </cell>
        </row>
        <row r="1560">
          <cell r="A1560" t="str">
            <v>YY-IULCY-KS371-BL-M</v>
          </cell>
          <cell r="B1560" t="str">
            <v>YY-IULCY-KS371</v>
          </cell>
        </row>
        <row r="1561">
          <cell r="A1561" t="str">
            <v>YY-IULCY-KS371-BL-XL</v>
          </cell>
          <cell r="B1561" t="str">
            <v>YY-IULCY-KS371</v>
          </cell>
        </row>
        <row r="1562">
          <cell r="A1562" t="str">
            <v>YY-IULCY-KS371-GN-L</v>
          </cell>
          <cell r="B1562" t="str">
            <v>YY-IULCY-KS371</v>
          </cell>
        </row>
        <row r="1563">
          <cell r="A1563" t="str">
            <v>YY-IULCY-KS371-GN-M</v>
          </cell>
          <cell r="B1563" t="str">
            <v>YY-IULCY-KS371</v>
          </cell>
        </row>
        <row r="1564">
          <cell r="A1564" t="str">
            <v>YY-IULCY-KS371-GN-XL</v>
          </cell>
          <cell r="B1564" t="str">
            <v>YY-IULCY-KS371</v>
          </cell>
        </row>
        <row r="1565">
          <cell r="A1565" t="str">
            <v>YY-IULCY-KS371-PP-L</v>
          </cell>
          <cell r="B1565" t="str">
            <v>YY-IULCY-KS371</v>
          </cell>
        </row>
        <row r="1566">
          <cell r="A1566" t="str">
            <v>YY-IULCY-KS371-PP-M</v>
          </cell>
          <cell r="B1566" t="str">
            <v>YY-IULCY-KS371</v>
          </cell>
        </row>
        <row r="1567">
          <cell r="A1567" t="str">
            <v>YY-IULCY-KS371-PP-XL</v>
          </cell>
          <cell r="B1567" t="str">
            <v>YY-IULCY-KS371</v>
          </cell>
        </row>
        <row r="1568">
          <cell r="A1568" t="str">
            <v>YY-IULCY-KS371-WT-L</v>
          </cell>
          <cell r="B1568" t="str">
            <v>YY-IULCY-KS371</v>
          </cell>
        </row>
        <row r="1569">
          <cell r="A1569" t="str">
            <v>YY-IULCY-KS371-WT-M</v>
          </cell>
          <cell r="B1569" t="str">
            <v>YY-IULCY-KS371</v>
          </cell>
        </row>
        <row r="1570">
          <cell r="A1570" t="str">
            <v>YY-IULCY-KS371-WT-XL</v>
          </cell>
          <cell r="B1570" t="str">
            <v>YY-IULCY-KS371</v>
          </cell>
        </row>
        <row r="1571">
          <cell r="A1571" t="str">
            <v>YY-IULCY-KS371-YL-L</v>
          </cell>
          <cell r="B1571" t="str">
            <v>YY-IULCY-KS371</v>
          </cell>
        </row>
        <row r="1572">
          <cell r="A1572" t="str">
            <v>YY-IULCY-KS371-YL-M</v>
          </cell>
          <cell r="B1572" t="str">
            <v>YY-IULCY-KS371</v>
          </cell>
        </row>
        <row r="1573">
          <cell r="A1573" t="str">
            <v>YY-IULCY-KS371-YL-XL</v>
          </cell>
          <cell r="B1573" t="str">
            <v>YY-IULCY-KS371</v>
          </cell>
        </row>
        <row r="1574">
          <cell r="A1574" t="str">
            <v>YY-IULCY-KS372-BL-L</v>
          </cell>
          <cell r="B1574" t="str">
            <v>YY-IULCY-KS372</v>
          </cell>
        </row>
        <row r="1575">
          <cell r="A1575" t="str">
            <v>YY-IULCY-KS372-BL-M</v>
          </cell>
          <cell r="B1575" t="str">
            <v>YY-IULCY-KS372</v>
          </cell>
        </row>
        <row r="1576">
          <cell r="A1576" t="str">
            <v>YY-IULCY-KS372-BL-XL</v>
          </cell>
          <cell r="B1576" t="str">
            <v>YY-IULCY-KS372</v>
          </cell>
        </row>
        <row r="1577">
          <cell r="A1577" t="str">
            <v>YY-IULCY-KS372-GN-L</v>
          </cell>
          <cell r="B1577" t="str">
            <v>YY-IULCY-KS372</v>
          </cell>
        </row>
        <row r="1578">
          <cell r="A1578" t="str">
            <v>YY-IULCY-KS372-GN-M</v>
          </cell>
          <cell r="B1578" t="str">
            <v>YY-IULCY-KS372</v>
          </cell>
        </row>
        <row r="1579">
          <cell r="A1579" t="str">
            <v>YY-IULCY-KS372-GN-XL</v>
          </cell>
          <cell r="B1579" t="str">
            <v>YY-IULCY-KS372</v>
          </cell>
        </row>
        <row r="1580">
          <cell r="A1580" t="str">
            <v>YY-IULCY-KS372-PK-L</v>
          </cell>
          <cell r="B1580" t="str">
            <v>YY-IULCY-KS372</v>
          </cell>
        </row>
        <row r="1581">
          <cell r="A1581" t="str">
            <v>YY-IULCY-KS372-PK-M</v>
          </cell>
          <cell r="B1581" t="str">
            <v>YY-IULCY-KS372</v>
          </cell>
        </row>
        <row r="1582">
          <cell r="A1582" t="str">
            <v>YY-IULCY-KS372-PK-XL</v>
          </cell>
          <cell r="B1582" t="str">
            <v>YY-IULCY-KS372</v>
          </cell>
        </row>
        <row r="1583">
          <cell r="A1583" t="str">
            <v>YY-IULCY-KS372-PP-L</v>
          </cell>
          <cell r="B1583" t="str">
            <v>YY-IULCY-KS372</v>
          </cell>
        </row>
        <row r="1584">
          <cell r="A1584" t="str">
            <v>YY-IULCY-KS372-PP-M</v>
          </cell>
          <cell r="B1584" t="str">
            <v>YY-IULCY-KS372</v>
          </cell>
        </row>
        <row r="1585">
          <cell r="A1585" t="str">
            <v>YY-IULCY-KS372-PP-XL</v>
          </cell>
          <cell r="B1585" t="str">
            <v>YY-IULCY-KS372</v>
          </cell>
        </row>
        <row r="1586">
          <cell r="A1586" t="str">
            <v>YY-IULCY-KS372-WT-L</v>
          </cell>
          <cell r="B1586" t="str">
            <v>YY-IULCY-KS372</v>
          </cell>
        </row>
        <row r="1587">
          <cell r="A1587" t="str">
            <v>YY-IULCY-KS372-WT-M</v>
          </cell>
          <cell r="B1587" t="str">
            <v>YY-IULCY-KS372</v>
          </cell>
        </row>
        <row r="1588">
          <cell r="A1588" t="str">
            <v>YY-IULCY-KS372-WT-XL</v>
          </cell>
          <cell r="B1588" t="str">
            <v>YY-IULCY-KS372</v>
          </cell>
        </row>
        <row r="1589">
          <cell r="A1589" t="str">
            <v>YY-IULCY-KS372-YL-L</v>
          </cell>
          <cell r="B1589" t="str">
            <v>YY-IULCY-KS372</v>
          </cell>
        </row>
        <row r="1590">
          <cell r="A1590" t="str">
            <v>YY-IULCY-KS372-YL-M</v>
          </cell>
          <cell r="B1590" t="str">
            <v>YY-IULCY-KS372</v>
          </cell>
        </row>
        <row r="1591">
          <cell r="A1591" t="str">
            <v>YY-IULCY-KS372-YL-XL</v>
          </cell>
          <cell r="B1591" t="str">
            <v>YY-IULCY-KS372</v>
          </cell>
        </row>
        <row r="1592">
          <cell r="A1592" t="str">
            <v>YY-IULCY-KS377-ANCHOR-L</v>
          </cell>
          <cell r="B1592" t="str">
            <v>YY-IULCY-KS377</v>
          </cell>
        </row>
        <row r="1593">
          <cell r="A1593" t="str">
            <v>YY-IULCY-KS377-ANCHOR-M</v>
          </cell>
          <cell r="B1593" t="str">
            <v>YY-IULCY-KS377</v>
          </cell>
        </row>
        <row r="1594">
          <cell r="A1594" t="str">
            <v>YY-IULCY-KS377-BIRD-L</v>
          </cell>
          <cell r="B1594" t="str">
            <v>YY-IULCY-KS377</v>
          </cell>
        </row>
        <row r="1595">
          <cell r="A1595" t="str">
            <v>YY-IULCY-KS377-BIRD-M</v>
          </cell>
          <cell r="B1595" t="str">
            <v>YY-IULCY-KS377</v>
          </cell>
        </row>
        <row r="1596">
          <cell r="A1596" t="str">
            <v>YY-IULCY-KS377-HEAD-L</v>
          </cell>
          <cell r="B1596" t="str">
            <v>YY-IULCY-KS377</v>
          </cell>
        </row>
        <row r="1597">
          <cell r="A1597" t="str">
            <v>YY-IULCY-KS377-HEAD-M</v>
          </cell>
          <cell r="B1597" t="str">
            <v>YY-IULCY-KS377</v>
          </cell>
        </row>
        <row r="1598">
          <cell r="A1598" t="str">
            <v>YY-IULCY-KS377-PLANT-L</v>
          </cell>
          <cell r="B1598" t="str">
            <v>YY-IULCY-KS377</v>
          </cell>
        </row>
        <row r="1599">
          <cell r="A1599" t="str">
            <v>YY-IULCY-KS377-PLANT-M</v>
          </cell>
          <cell r="B1599" t="str">
            <v>YY-IULCY-KS377</v>
          </cell>
        </row>
        <row r="1600">
          <cell r="A1600" t="str">
            <v>YY-IULCY-W9043-BK</v>
          </cell>
          <cell r="B1600" t="str">
            <v>YY-IULCY-W9043</v>
          </cell>
        </row>
        <row r="1601">
          <cell r="A1601" t="str">
            <v>YY-IULCY-W9043-CF</v>
          </cell>
          <cell r="B1601" t="str">
            <v>YY-IULCY-W9043</v>
          </cell>
        </row>
        <row r="1602">
          <cell r="A1602" t="str">
            <v>YY-IULCY-W9043-DB</v>
          </cell>
          <cell r="B1602" t="str">
            <v>YY-IULCY-W9043</v>
          </cell>
        </row>
        <row r="1603">
          <cell r="A1603" t="str">
            <v>YY-IULCY-W9043-LB</v>
          </cell>
          <cell r="B1603" t="str">
            <v>YY-IULCY-W9043</v>
          </cell>
        </row>
        <row r="1604">
          <cell r="A1604" t="str">
            <v>YY-IULCY-W9043-RR</v>
          </cell>
          <cell r="B1604" t="str">
            <v>YY-IULCY-W9043</v>
          </cell>
        </row>
        <row r="1605">
          <cell r="A1605" t="str">
            <v>YY-IULCY-XZM100-BKNWT</v>
          </cell>
          <cell r="B1605" t="str">
            <v>YY-IULCY-XZM100</v>
          </cell>
        </row>
        <row r="1606">
          <cell r="A1606" t="str">
            <v>YY-IULCY-XZM100-BLNWT</v>
          </cell>
          <cell r="B1606" t="str">
            <v>YY-IULCY-XZM100</v>
          </cell>
        </row>
        <row r="1607">
          <cell r="A1607" t="str">
            <v>YY-IULCY-XZM100-CFNWT</v>
          </cell>
          <cell r="B1607" t="str">
            <v>YY-IULCY-XZM100</v>
          </cell>
        </row>
        <row r="1608">
          <cell r="A1608" t="str">
            <v>YY-IULCY-XZM100-GNNWT</v>
          </cell>
          <cell r="B1608" t="str">
            <v>YY-IULCY-XZM100</v>
          </cell>
        </row>
        <row r="1609">
          <cell r="A1609" t="str">
            <v>YY-IULCY-XZM100-KKNWT</v>
          </cell>
          <cell r="B1609" t="str">
            <v>YY-IULCY-XZM100</v>
          </cell>
        </row>
        <row r="1610">
          <cell r="A1610" t="str">
            <v>YY-IULCY-XZM100-RDNWT</v>
          </cell>
          <cell r="B1610" t="str">
            <v>YY-IULCY-XZM100</v>
          </cell>
        </row>
        <row r="1611">
          <cell r="A1611" t="str">
            <v>YY-IULCY-XZM150-BK</v>
          </cell>
          <cell r="B1611" t="str">
            <v>YY-IULCY-XZM150</v>
          </cell>
        </row>
        <row r="1612">
          <cell r="A1612" t="str">
            <v>YY-IULCY-XZM150-LB</v>
          </cell>
          <cell r="B1612" t="str">
            <v>YY-IULCY-XZM150</v>
          </cell>
        </row>
        <row r="1613">
          <cell r="A1613" t="str">
            <v>YY-IULCY-XZM150-PK</v>
          </cell>
          <cell r="B1613" t="str">
            <v>YY-IULCY-XZM150</v>
          </cell>
        </row>
        <row r="1614">
          <cell r="A1614" t="str">
            <v>YY-IULCY-XZM200-BK</v>
          </cell>
          <cell r="B1614" t="str">
            <v>YY-IULCY-XZM200</v>
          </cell>
        </row>
        <row r="1615">
          <cell r="A1615" t="str">
            <v>YY-IULCY-XZM200-BL</v>
          </cell>
          <cell r="B1615" t="str">
            <v>YY-IULCY-XZM200</v>
          </cell>
        </row>
        <row r="1616">
          <cell r="A1616" t="str">
            <v>YY-IULCY-XZM200-GN</v>
          </cell>
          <cell r="B1616" t="str">
            <v>YY-IULCY-XZM200</v>
          </cell>
        </row>
        <row r="1617">
          <cell r="A1617" t="str">
            <v>YY-IULCY-XZM200-KK</v>
          </cell>
          <cell r="B1617" t="str">
            <v>YY-IULCY-XZM200</v>
          </cell>
        </row>
        <row r="1618">
          <cell r="A1618" t="str">
            <v>YY-IULUY-KS374-DB-L</v>
          </cell>
          <cell r="B1618" t="str">
            <v>YY-IULUY-KS374</v>
          </cell>
        </row>
        <row r="1619">
          <cell r="A1619" t="str">
            <v>YY-IULUY-KS374-DB-M</v>
          </cell>
          <cell r="B1619" t="str">
            <v>YY-IULUY-KS374</v>
          </cell>
        </row>
        <row r="1620">
          <cell r="A1620" t="str">
            <v>YY-IULUY-KS374-DB-XL</v>
          </cell>
          <cell r="B1620" t="str">
            <v>YY-IULUY-KS374</v>
          </cell>
        </row>
        <row r="1621">
          <cell r="A1621" t="str">
            <v>YY-IULUY-KS374-YL-L</v>
          </cell>
          <cell r="B1621" t="str">
            <v>YY-IULUY-KS374</v>
          </cell>
        </row>
        <row r="1622">
          <cell r="A1622" t="str">
            <v>YY-IULUY-KS374-YL-M</v>
          </cell>
          <cell r="B1622" t="str">
            <v>YY-IULUY-KS374</v>
          </cell>
        </row>
        <row r="1623">
          <cell r="A1623" t="str">
            <v>YY-IULUY-KS374-YL-XL</v>
          </cell>
          <cell r="B1623" t="str">
            <v>YY-IULUY-KS374</v>
          </cell>
        </row>
        <row r="1624">
          <cell r="A1624" t="str">
            <v>Z5-KZHX-EBC3</v>
          </cell>
          <cell r="B1624" t="str">
            <v>Z5-KZHX-EBC3</v>
          </cell>
        </row>
        <row r="1625">
          <cell r="A1625" t="str">
            <v>ZAKKA0040B035*50CM</v>
          </cell>
          <cell r="B1625" t="str">
            <v>ZAKKA0040</v>
          </cell>
        </row>
        <row r="1626">
          <cell r="A1626" t="str">
            <v>ZAKKA0040R035*50CM</v>
          </cell>
          <cell r="B1626" t="str">
            <v>ZAKKA0040</v>
          </cell>
        </row>
        <row r="1627">
          <cell r="A1627" t="str">
            <v>ZAKKA0450FOUR16*14.5*7CM</v>
          </cell>
          <cell r="B1627" t="str">
            <v>ZAKKA0450</v>
          </cell>
        </row>
        <row r="1628">
          <cell r="A1628" t="str">
            <v>ZAKKA0450HHL15*21*8CM</v>
          </cell>
          <cell r="B1628" t="str">
            <v>ZAKKA0450</v>
          </cell>
        </row>
        <row r="1629">
          <cell r="A1629" t="str">
            <v>ZAKKA0450ZLJ15*21*8CM</v>
          </cell>
          <cell r="B1629" t="str">
            <v>ZAKKA0450</v>
          </cell>
        </row>
        <row r="1630">
          <cell r="A1630" t="str">
            <v>ZAKKA0466LTW25*65CM</v>
          </cell>
          <cell r="B1630" t="str">
            <v>ZAKKA0466</v>
          </cell>
        </row>
        <row r="1631">
          <cell r="A1631" t="str">
            <v>ZAKKA0468FOUR15*21*8CM</v>
          </cell>
          <cell r="B1631" t="str">
            <v>ZAKKA0468</v>
          </cell>
        </row>
        <row r="1632">
          <cell r="A1632" t="str">
            <v>ZAKKA0589B035*50CM</v>
          </cell>
          <cell r="B1632" t="str">
            <v>ZAKKA0589</v>
          </cell>
        </row>
        <row r="1633">
          <cell r="A1633" t="str">
            <v>ZAKKA0589R035*50CM</v>
          </cell>
          <cell r="B1633" t="str">
            <v>ZAKKA0589</v>
          </cell>
        </row>
        <row r="1634">
          <cell r="A1634" t="str">
            <v>ZAKKA0627B025*32CM</v>
          </cell>
          <cell r="B1634" t="str">
            <v>ZAKKA0627</v>
          </cell>
        </row>
        <row r="1635">
          <cell r="A1635" t="str">
            <v>ZAKKA0627R025*32CM</v>
          </cell>
          <cell r="B1635" t="str">
            <v>ZAKKA0627</v>
          </cell>
        </row>
        <row r="1636">
          <cell r="A1636" t="str">
            <v>ZAKKA0630B028*55CM</v>
          </cell>
          <cell r="B1636" t="str">
            <v>ZAKKA0630</v>
          </cell>
        </row>
        <row r="1637">
          <cell r="A1637" t="str">
            <v>ZAKKA0630R028*55CM</v>
          </cell>
          <cell r="B1637" t="str">
            <v>ZAKKA0630</v>
          </cell>
        </row>
        <row r="1638">
          <cell r="A1638" t="str">
            <v>ZAKKA0631B030*65CM</v>
          </cell>
          <cell r="B1638" t="str">
            <v>ZAKKA0631</v>
          </cell>
        </row>
        <row r="1639">
          <cell r="A1639" t="str">
            <v>ZAKKA0631R030*65CM</v>
          </cell>
          <cell r="B1639" t="str">
            <v>ZAKKA0631</v>
          </cell>
        </row>
        <row r="1640">
          <cell r="A1640" t="str">
            <v>ZAKKA0633B035*50CM</v>
          </cell>
          <cell r="B1640" t="str">
            <v>ZAKKA0633</v>
          </cell>
        </row>
        <row r="1641">
          <cell r="A1641" t="str">
            <v>ZAKKA0633R035*50CM</v>
          </cell>
          <cell r="B1641" t="str">
            <v>ZAKKA0633</v>
          </cell>
        </row>
        <row r="1642">
          <cell r="A1642" t="str">
            <v>ZAKKA0634B060*20.5CM</v>
          </cell>
          <cell r="B1642" t="str">
            <v>ZAKKA0634</v>
          </cell>
        </row>
        <row r="1643">
          <cell r="A1643" t="str">
            <v>ZAKKA0634R060*20.5CM</v>
          </cell>
          <cell r="B1643" t="str">
            <v>ZAKKA0634</v>
          </cell>
        </row>
        <row r="1644">
          <cell r="A1644" t="str">
            <v>ZAKKA0635B075.5*45.5CM</v>
          </cell>
          <cell r="B1644" t="str">
            <v>ZAKKA0635</v>
          </cell>
        </row>
        <row r="1645">
          <cell r="A1645" t="str">
            <v>ZAKKA0635R075.5*45.5CM</v>
          </cell>
          <cell r="B1645" t="str">
            <v>ZAKKA0635</v>
          </cell>
        </row>
        <row r="1646">
          <cell r="A1646" t="str">
            <v>ZAKKA0667LTW35*50CM</v>
          </cell>
          <cell r="B1646" t="str">
            <v>ZAKKA0667</v>
          </cell>
        </row>
        <row r="1647">
          <cell r="A1647" t="str">
            <v>ZB-2035R0140*140cm</v>
          </cell>
          <cell r="B1647" t="str">
            <v>ZB-2035</v>
          </cell>
        </row>
        <row r="1648">
          <cell r="A1648" t="str">
            <v>ZB-2035R0140*250cm</v>
          </cell>
          <cell r="B1648" t="str">
            <v>ZB-2035</v>
          </cell>
        </row>
        <row r="1649">
          <cell r="A1649" t="str">
            <v>ZB-2035R070*70cm</v>
          </cell>
          <cell r="B1649" t="str">
            <v>ZB-2035</v>
          </cell>
        </row>
        <row r="1650">
          <cell r="A1650" t="str">
            <v>ZB-2035W0140*140cm</v>
          </cell>
          <cell r="B1650" t="str">
            <v>ZB-2035</v>
          </cell>
        </row>
        <row r="1651">
          <cell r="A1651" t="str">
            <v>ZB-2035W0140*250cm</v>
          </cell>
          <cell r="B1651" t="str">
            <v>ZB-2035</v>
          </cell>
        </row>
        <row r="1652">
          <cell r="A1652" t="str">
            <v>ZB-2035W070*70cm</v>
          </cell>
          <cell r="B1652" t="str">
            <v>ZB-2035</v>
          </cell>
        </row>
        <row r="1653">
          <cell r="A1653" t="str">
            <v>ZB-2035Y0140*140cm</v>
          </cell>
          <cell r="B1653" t="str">
            <v>ZB-2035</v>
          </cell>
        </row>
        <row r="1654">
          <cell r="A1654" t="str">
            <v>ZB-2035Y0140*250cm</v>
          </cell>
          <cell r="B1654" t="str">
            <v>ZB-2035</v>
          </cell>
        </row>
        <row r="1655">
          <cell r="A1655" t="str">
            <v>ZB-2035Y070*70cm</v>
          </cell>
          <cell r="B1655" t="str">
            <v>ZB-2035</v>
          </cell>
        </row>
        <row r="1656">
          <cell r="A1656" t="str">
            <v>ZB-2044MS140*250cm</v>
          </cell>
          <cell r="B1656" t="str">
            <v>ZB-2044MS</v>
          </cell>
        </row>
        <row r="1657">
          <cell r="A1657" t="str">
            <v>ZBCSXMXM100*140</v>
          </cell>
          <cell r="B1657" t="str">
            <v>ZBCSXMXM</v>
          </cell>
        </row>
        <row r="1658">
          <cell r="A1658" t="str">
            <v>ZBCSXMXM140*140</v>
          </cell>
          <cell r="B1658" t="str">
            <v>ZBCSXMXM</v>
          </cell>
        </row>
        <row r="1659">
          <cell r="A1659" t="str">
            <v>ZBCSXMXM140*200</v>
          </cell>
          <cell r="B1659" t="str">
            <v>ZBCSXMXM</v>
          </cell>
        </row>
        <row r="1660">
          <cell r="A1660" t="str">
            <v>ZBCSXMXM140*250</v>
          </cell>
          <cell r="B1660" t="str">
            <v>ZBCSXMXM</v>
          </cell>
        </row>
        <row r="1661">
          <cell r="A1661" t="str">
            <v>ZB-IULCY-YMQY100-CF100*140</v>
          </cell>
          <cell r="B1661" t="str">
            <v>ZB-IULCY</v>
          </cell>
        </row>
        <row r="1662">
          <cell r="A1662" t="str">
            <v>ZB-IULCY-YMQY100-CF140*140</v>
          </cell>
          <cell r="B1662" t="str">
            <v>ZB-IULCY</v>
          </cell>
        </row>
        <row r="1663">
          <cell r="A1663" t="str">
            <v>ZB-IULCY-YMQY100-CF140*180</v>
          </cell>
          <cell r="B1663" t="str">
            <v>ZB-IULCY</v>
          </cell>
        </row>
        <row r="1664">
          <cell r="A1664" t="str">
            <v>ZB-IULCY-YMQY100-GR100*140</v>
          </cell>
          <cell r="B1664" t="str">
            <v>ZB-IULCY</v>
          </cell>
        </row>
        <row r="1665">
          <cell r="A1665" t="str">
            <v>ZB-IULCY-YMQY100-GR140*140</v>
          </cell>
          <cell r="B1665" t="str">
            <v>ZB-IULCY</v>
          </cell>
        </row>
        <row r="1666">
          <cell r="A1666" t="str">
            <v>ZB-IULCY-YMQY100-GR140*180</v>
          </cell>
          <cell r="B1666" t="str">
            <v>ZB-IULCY</v>
          </cell>
        </row>
        <row r="1667">
          <cell r="A1667" t="str">
            <v>ZC2138MRG-ZHONGS</v>
          </cell>
          <cell r="B1667" t="str">
            <v>ZXXABO-M</v>
          </cell>
        </row>
        <row r="1668">
          <cell r="A1668" t="str">
            <v>ZCCCCLV-L</v>
          </cell>
          <cell r="B1668" t="str">
            <v>ZCCCCLV</v>
          </cell>
        </row>
        <row r="1669">
          <cell r="A1669" t="str">
            <v>ZCGTZ-IUCY001-AE</v>
          </cell>
          <cell r="B1669" t="str">
            <v>ZCGTZ-IUCY001</v>
          </cell>
        </row>
        <row r="1670">
          <cell r="A1670" t="str">
            <v>ZDD-07-MC-28</v>
          </cell>
          <cell r="B1670" t="str">
            <v>ZDD-07</v>
          </cell>
        </row>
        <row r="1671">
          <cell r="A1671" t="str">
            <v>ZDD-08-BO-28</v>
          </cell>
          <cell r="B1671" t="str">
            <v>ZDD-08</v>
          </cell>
        </row>
        <row r="1672">
          <cell r="A1672" t="str">
            <v>ZDD-08-GR-28</v>
          </cell>
          <cell r="B1672" t="str">
            <v>ZDD-08</v>
          </cell>
        </row>
        <row r="1673">
          <cell r="A1673" t="str">
            <v>ZDD-08-PO-28</v>
          </cell>
          <cell r="B1673" t="str">
            <v>ZDD-08</v>
          </cell>
        </row>
        <row r="1674">
          <cell r="A1674" t="str">
            <v>ZDD-08-RO-28</v>
          </cell>
          <cell r="B1674" t="str">
            <v>ZDD-08</v>
          </cell>
        </row>
        <row r="1675">
          <cell r="A1675" t="str">
            <v>ZHUAPPPBO-L</v>
          </cell>
          <cell r="B1675" t="str">
            <v>ZHUAPPP</v>
          </cell>
        </row>
        <row r="1676">
          <cell r="A1676" t="str">
            <v>ZHUAPPPBO-M</v>
          </cell>
          <cell r="B1676" t="str">
            <v>ZHUAPPP</v>
          </cell>
        </row>
        <row r="1677">
          <cell r="A1677" t="str">
            <v>ZHUAPPPBO-S</v>
          </cell>
          <cell r="B1677" t="str">
            <v>ZHUAPPP</v>
          </cell>
        </row>
        <row r="1678">
          <cell r="A1678" t="str">
            <v>ZHUAPPPBO-XL</v>
          </cell>
          <cell r="B1678" t="str">
            <v>ZHUAPPP</v>
          </cell>
        </row>
        <row r="1679">
          <cell r="A1679" t="str">
            <v>ZHUAPPPJS-L</v>
          </cell>
          <cell r="B1679" t="str">
            <v>ZHUAPPP</v>
          </cell>
        </row>
        <row r="1680">
          <cell r="A1680" t="str">
            <v>ZHUAPPPJS-M</v>
          </cell>
          <cell r="B1680" t="str">
            <v>ZHUAPPP</v>
          </cell>
        </row>
        <row r="1681">
          <cell r="A1681" t="str">
            <v>ZHUAPPPJS-S</v>
          </cell>
          <cell r="B1681" t="str">
            <v>ZHUAPPP</v>
          </cell>
        </row>
        <row r="1682">
          <cell r="A1682" t="str">
            <v>ZHUAPPPJS-XL</v>
          </cell>
          <cell r="B1682" t="str">
            <v>ZHUAPPP</v>
          </cell>
        </row>
        <row r="1683">
          <cell r="A1683" t="str">
            <v>ZHUAPPPRO-L</v>
          </cell>
          <cell r="B1683" t="str">
            <v>ZHUAPPP</v>
          </cell>
        </row>
        <row r="1684">
          <cell r="A1684" t="str">
            <v>ZHUAPPPRO-M</v>
          </cell>
          <cell r="B1684" t="str">
            <v>ZHUAPPP</v>
          </cell>
        </row>
        <row r="1685">
          <cell r="A1685" t="str">
            <v>ZHUAPPPRO-S</v>
          </cell>
          <cell r="B1685" t="str">
            <v>ZHUAPPP</v>
          </cell>
        </row>
        <row r="1686">
          <cell r="A1686" t="str">
            <v>ZHUAPPPRO-XL</v>
          </cell>
          <cell r="B1686" t="str">
            <v>ZHUAPPP</v>
          </cell>
        </row>
        <row r="1687">
          <cell r="A1687" t="str">
            <v>ZPSD-LAHM-800-BK-L</v>
          </cell>
          <cell r="B1687" t="str">
            <v>ZPSD-LAHM-800</v>
          </cell>
        </row>
        <row r="1688">
          <cell r="A1688" t="str">
            <v>ZPSD-LAHM-800-BK-S</v>
          </cell>
          <cell r="B1688" t="str">
            <v>ZPSD-LAHM-800</v>
          </cell>
        </row>
        <row r="1689">
          <cell r="A1689" t="str">
            <v>ZXXABO-L</v>
          </cell>
          <cell r="B1689" t="str">
            <v>NEWZXXA</v>
          </cell>
        </row>
        <row r="1690">
          <cell r="A1690" t="str">
            <v>ZXXABO-M</v>
          </cell>
          <cell r="B1690" t="str">
            <v>NEWZXXA</v>
          </cell>
        </row>
        <row r="1691">
          <cell r="A1691" t="str">
            <v>ZXXABO-NM</v>
          </cell>
          <cell r="B1691" t="str">
            <v>NEWZXXA</v>
          </cell>
        </row>
        <row r="1692">
          <cell r="A1692" t="str">
            <v>ZXXABO-NS</v>
          </cell>
          <cell r="B1692" t="str">
            <v>NEWZXXA</v>
          </cell>
        </row>
        <row r="1693">
          <cell r="A1693" t="str">
            <v>ZXXABO-S</v>
          </cell>
          <cell r="B1693" t="str">
            <v>NEWZXXA</v>
          </cell>
        </row>
        <row r="1694">
          <cell r="A1694" t="str">
            <v>ZXXABO-XL</v>
          </cell>
          <cell r="B1694" t="str">
            <v>NEWZXXA</v>
          </cell>
        </row>
        <row r="1695">
          <cell r="A1695" t="str">
            <v>ZXXAFS-L</v>
          </cell>
          <cell r="B1695" t="str">
            <v>NEWZXXA</v>
          </cell>
        </row>
        <row r="1696">
          <cell r="A1696" t="str">
            <v>ZXXAFS-M</v>
          </cell>
          <cell r="B1696" t="str">
            <v>NEWZXXA</v>
          </cell>
        </row>
        <row r="1697">
          <cell r="A1697" t="str">
            <v>ZXXAFS-NM</v>
          </cell>
          <cell r="B1697" t="str">
            <v>NEWZXXA</v>
          </cell>
        </row>
        <row r="1698">
          <cell r="A1698" t="str">
            <v>ZXXAFS-NS</v>
          </cell>
          <cell r="B1698" t="str">
            <v>NEWZXXA</v>
          </cell>
        </row>
        <row r="1699">
          <cell r="A1699" t="str">
            <v>ZXXAFS-S</v>
          </cell>
          <cell r="B1699" t="str">
            <v>NEWZXXA</v>
          </cell>
        </row>
        <row r="1700">
          <cell r="A1700" t="str">
            <v>ZXXAFS-XL</v>
          </cell>
          <cell r="B1700" t="str">
            <v>NEWZXXA</v>
          </cell>
        </row>
        <row r="1701">
          <cell r="A1701" t="str">
            <v>ZXXAHO-L</v>
          </cell>
          <cell r="B1701" t="str">
            <v>NEWZXXA</v>
          </cell>
        </row>
        <row r="1702">
          <cell r="A1702" t="str">
            <v>ZXXAHO-M</v>
          </cell>
          <cell r="B1702" t="str">
            <v>NEWZXXA</v>
          </cell>
        </row>
        <row r="1703">
          <cell r="A1703" t="str">
            <v>ZXXAHO-NM</v>
          </cell>
          <cell r="B1703" t="str">
            <v>NEWZXXA</v>
          </cell>
        </row>
        <row r="1704">
          <cell r="A1704" t="str">
            <v>ZXXAHO-NS</v>
          </cell>
          <cell r="B1704" t="str">
            <v>NEWZXXA</v>
          </cell>
        </row>
        <row r="1705">
          <cell r="A1705" t="str">
            <v>ZXXAHO-S</v>
          </cell>
          <cell r="B1705" t="str">
            <v>NEWZXXA</v>
          </cell>
        </row>
        <row r="1706">
          <cell r="A1706" t="str">
            <v>ZXXAHO-XL</v>
          </cell>
          <cell r="B1706" t="str">
            <v>NEWZXXA</v>
          </cell>
        </row>
        <row r="1707">
          <cell r="A1707" t="str">
            <v>ZXXALV-L</v>
          </cell>
          <cell r="B1707" t="str">
            <v>NEWZXXA</v>
          </cell>
        </row>
        <row r="1708">
          <cell r="A1708" t="str">
            <v>ZXXALV-M</v>
          </cell>
          <cell r="B1708" t="str">
            <v>NEWZXXA</v>
          </cell>
        </row>
        <row r="1709">
          <cell r="A1709" t="str">
            <v>ZXXALV-S</v>
          </cell>
          <cell r="B1709" t="str">
            <v>NEWZXXA</v>
          </cell>
        </row>
        <row r="1710">
          <cell r="A1710" t="str">
            <v>ZXXALV-XL</v>
          </cell>
          <cell r="B1710" t="str">
            <v>NEWZXXA</v>
          </cell>
        </row>
        <row r="1711">
          <cell r="A1711" t="str">
            <v>ZXXAZS-L</v>
          </cell>
          <cell r="B1711" t="str">
            <v>NEWZXXA</v>
          </cell>
        </row>
        <row r="1712">
          <cell r="A1712" t="str">
            <v>ZXXAZS-M</v>
          </cell>
          <cell r="B1712" t="str">
            <v>NEWZXXA</v>
          </cell>
        </row>
        <row r="1713">
          <cell r="A1713" t="str">
            <v>ZXXAZS-NM</v>
          </cell>
          <cell r="B1713" t="str">
            <v>NEWZXXA</v>
          </cell>
        </row>
        <row r="1714">
          <cell r="A1714" t="str">
            <v>ZXXAZS-NS</v>
          </cell>
          <cell r="B1714" t="str">
            <v>NEWZXXA</v>
          </cell>
        </row>
        <row r="1715">
          <cell r="A1715" t="str">
            <v>ZXXAZS-S</v>
          </cell>
          <cell r="B1715" t="str">
            <v>NEWZXXA</v>
          </cell>
        </row>
        <row r="1716">
          <cell r="A1716" t="str">
            <v>ZXXAZS-XL</v>
          </cell>
          <cell r="B1716" t="str">
            <v>NEWZXXA</v>
          </cell>
        </row>
        <row r="1717">
          <cell r="A1717" t="str">
            <v>ZXXBFS-L</v>
          </cell>
          <cell r="B1717" t="str">
            <v>ZXXB</v>
          </cell>
        </row>
        <row r="1718">
          <cell r="A1718" t="str">
            <v>ZXXBFS-M</v>
          </cell>
          <cell r="B1718" t="str">
            <v>ZXXB</v>
          </cell>
        </row>
        <row r="1719">
          <cell r="A1719" t="str">
            <v>ZXXBFS-S</v>
          </cell>
          <cell r="B1719" t="str">
            <v>ZXXB</v>
          </cell>
        </row>
        <row r="1720">
          <cell r="A1720" t="str">
            <v>ZXXBFS-XL</v>
          </cell>
          <cell r="B1720" t="str">
            <v>ZXXB</v>
          </cell>
        </row>
        <row r="1721">
          <cell r="A1721" t="str">
            <v>ZXXBHO-L</v>
          </cell>
          <cell r="B1721" t="str">
            <v>ZXXB</v>
          </cell>
        </row>
        <row r="1722">
          <cell r="A1722" t="str">
            <v>ZXXBHO-M</v>
          </cell>
          <cell r="B1722" t="str">
            <v>ZXXB</v>
          </cell>
        </row>
        <row r="1723">
          <cell r="A1723" t="str">
            <v>ZXXBHO-S</v>
          </cell>
          <cell r="B1723" t="str">
            <v>ZXXB</v>
          </cell>
        </row>
        <row r="1724">
          <cell r="A1724" t="str">
            <v>ZXXBHO-XL</v>
          </cell>
          <cell r="B1724" t="str">
            <v>ZXXB</v>
          </cell>
        </row>
        <row r="1725">
          <cell r="A1725" t="str">
            <v>ZXXBLV-L</v>
          </cell>
          <cell r="B1725" t="str">
            <v>ZXXB</v>
          </cell>
        </row>
        <row r="1726">
          <cell r="A1726" t="str">
            <v>ZXXBLV-M</v>
          </cell>
          <cell r="B1726" t="str">
            <v>ZXXB</v>
          </cell>
        </row>
        <row r="1727">
          <cell r="A1727" t="str">
            <v>ZXXBLV-S</v>
          </cell>
          <cell r="B1727" t="str">
            <v>ZXXB</v>
          </cell>
        </row>
        <row r="1728">
          <cell r="A1728" t="str">
            <v>ZXXBLV-XL</v>
          </cell>
          <cell r="B1728" t="str">
            <v>ZXXB</v>
          </cell>
        </row>
        <row r="1729">
          <cell r="A1729" t="str">
            <v>ZXXCBO-L</v>
          </cell>
          <cell r="B1729" t="str">
            <v>ZXXC</v>
          </cell>
        </row>
        <row r="1730">
          <cell r="A1730" t="str">
            <v>ZXXCBO-M</v>
          </cell>
          <cell r="B1730" t="str">
            <v>ZXXC</v>
          </cell>
        </row>
        <row r="1731">
          <cell r="A1731" t="str">
            <v>ZXXCBO-S</v>
          </cell>
          <cell r="B1731" t="str">
            <v>ZXXC</v>
          </cell>
        </row>
        <row r="1732">
          <cell r="A1732" t="str">
            <v>ZXXCFS-L</v>
          </cell>
          <cell r="B1732" t="str">
            <v>ZXXC</v>
          </cell>
        </row>
        <row r="1733">
          <cell r="A1733" t="str">
            <v>ZXXCFS-M</v>
          </cell>
          <cell r="B1733" t="str">
            <v>ZXXC</v>
          </cell>
        </row>
        <row r="1734">
          <cell r="A1734" t="str">
            <v>ZXXCFS-S</v>
          </cell>
          <cell r="B1734" t="str">
            <v>ZXXC</v>
          </cell>
        </row>
        <row r="1735">
          <cell r="A1735" t="str">
            <v>ZXXCHO-L</v>
          </cell>
          <cell r="B1735" t="str">
            <v>ZXXC</v>
          </cell>
        </row>
        <row r="1736">
          <cell r="A1736" t="str">
            <v>ZXXCHO-M</v>
          </cell>
          <cell r="B1736" t="str">
            <v>ZXXC</v>
          </cell>
        </row>
        <row r="1737">
          <cell r="A1737" t="str">
            <v>ZXXCHO-S</v>
          </cell>
          <cell r="B1737" t="str">
            <v>ZXXC</v>
          </cell>
        </row>
        <row r="1738">
          <cell r="A1738" t="str">
            <v>ZXXCLV-L</v>
          </cell>
          <cell r="B1738" t="str">
            <v>ZXXC</v>
          </cell>
        </row>
        <row r="1739">
          <cell r="A1739" t="str">
            <v>ZXXCLV-M</v>
          </cell>
          <cell r="B1739" t="str">
            <v>ZXXC</v>
          </cell>
        </row>
        <row r="1740">
          <cell r="A1740" t="str">
            <v>ZXXCLV-S</v>
          </cell>
          <cell r="B1740" t="str">
            <v>ZXXC</v>
          </cell>
        </row>
        <row r="1741">
          <cell r="A1741" t="str">
            <v>ZXXCZS-L</v>
          </cell>
          <cell r="B1741" t="str">
            <v>ZXXC</v>
          </cell>
        </row>
        <row r="1742">
          <cell r="A1742" t="str">
            <v>ZXXCZS-M</v>
          </cell>
          <cell r="B1742" t="str">
            <v>ZXXC</v>
          </cell>
        </row>
        <row r="1743">
          <cell r="A1743" t="str">
            <v>ZXXCZS-S</v>
          </cell>
          <cell r="B1743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020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43290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2018/7/30-2018/8/5</v>
      </c>
      <c r="E3" s="13" t="str">
        <f>TEXT(时间!$B$8,"yyyy/M/d")&amp;"-"&amp;TEXT(时间!$B$7,"yyyy/M/d")</f>
        <v>2018/7/23-2018/7/29</v>
      </c>
      <c r="F3" s="13" t="str">
        <f>TEXT(时间!$B$10,"yyyy/M/d")&amp;"-"&amp;TEXT(时间!$B$9,"yyyy/M/d")</f>
        <v>2018/7/16-2018/7/22</v>
      </c>
      <c r="G3" s="13" t="str">
        <f>TEXT(时间!$B$12,"yyyy/M/d")&amp;"-"&amp;TEXT(时间!$B$11,"yyyy/M/d")</f>
        <v>2018/7/9-2018/7/15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43311</v>
      </c>
      <c r="AG4" s="20">
        <f>时间!$B$7</f>
        <v>43310</v>
      </c>
      <c r="AH4" s="20">
        <f>时间!$B$8</f>
        <v>43304</v>
      </c>
      <c r="AI4" s="20">
        <f>时间!$B$9</f>
        <v>43303</v>
      </c>
      <c r="AJ4" s="20">
        <f>时间!$B$6</f>
        <v>43311</v>
      </c>
      <c r="AK4" s="20">
        <f>时间!$B$7</f>
        <v>43310</v>
      </c>
      <c r="AL4" s="20">
        <f>时间!$B$8</f>
        <v>43304</v>
      </c>
      <c r="AM4" s="20">
        <f>时间!$B$9</f>
        <v>43303</v>
      </c>
      <c r="AN4" s="20">
        <f>时间!$B$6</f>
        <v>43311</v>
      </c>
      <c r="AO4" s="20">
        <f>时间!$B$7</f>
        <v>43310</v>
      </c>
      <c r="AP4" s="20">
        <f>时间!$B$8</f>
        <v>43304</v>
      </c>
      <c r="AQ4" s="20">
        <f>时间!$B$9</f>
        <v>43303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1926</v>
      </c>
      <c r="E5" s="4">
        <f>SUM(E6:E19974)</f>
        <v>1857</v>
      </c>
      <c r="F5" s="4">
        <f>SUM(F6:F19974)</f>
        <v>2088</v>
      </c>
      <c r="G5" s="4">
        <f>SUM(G6:G19974)</f>
        <v>1150</v>
      </c>
      <c r="I5" s="4">
        <f t="shared" ref="I5:O5" si="4">SUM(I6:I2974)</f>
        <v>10107</v>
      </c>
      <c r="J5" s="4">
        <f t="shared" si="4"/>
        <v>2574</v>
      </c>
      <c r="K5" s="4">
        <f t="shared" si="4"/>
        <v>78</v>
      </c>
      <c r="L5" s="4">
        <f t="shared" si="4"/>
        <v>402</v>
      </c>
      <c r="M5" s="4">
        <f t="shared" si="4"/>
        <v>13161</v>
      </c>
      <c r="N5" s="4">
        <f t="shared" si="4"/>
        <v>175</v>
      </c>
      <c r="O5" s="4">
        <f>SUM(O6:O65536)</f>
        <v>3344</v>
      </c>
      <c r="AB5" s="4">
        <f>SUM(AB6:AB2074)</f>
        <v>1336.61</v>
      </c>
      <c r="AC5" s="4">
        <f>SUM(AC6:AC2074)</f>
        <v>1448.63</v>
      </c>
      <c r="AD5" s="4">
        <f>SUM(AD6:AD2074)</f>
        <v>975.73</v>
      </c>
      <c r="AE5" s="4">
        <f>SUM(AE6:AE2074)</f>
        <v>799.53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7</v>
      </c>
      <c r="AK6">
        <v>8</v>
      </c>
      <c r="AL6">
        <v>6</v>
      </c>
      <c r="AM6">
        <v>8</v>
      </c>
      <c r="AN6" s="22">
        <v>0</v>
      </c>
      <c r="AO6" s="22">
        <v>0</v>
      </c>
      <c r="AP6" s="22">
        <v>0</v>
      </c>
      <c r="AQ6" s="22">
        <v>0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3</v>
      </c>
      <c r="J8" s="33">
        <v>0</v>
      </c>
      <c r="K8" s="33">
        <v>0</v>
      </c>
      <c r="L8" s="33">
        <v>0</v>
      </c>
      <c r="M8">
        <v>3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9</v>
      </c>
      <c r="AK8">
        <v>17</v>
      </c>
      <c r="AL8">
        <v>16</v>
      </c>
      <c r="AM8">
        <v>3</v>
      </c>
      <c r="AN8" s="22">
        <v>0</v>
      </c>
      <c r="AO8" s="22">
        <v>0</v>
      </c>
      <c r="AP8" s="22">
        <v>0</v>
      </c>
      <c r="AQ8" s="22">
        <v>0</v>
      </c>
      <c r="AR8" s="35">
        <v>0</v>
      </c>
      <c r="AS8" s="35">
        <v>0</v>
      </c>
      <c r="AT8" s="35">
        <v>3</v>
      </c>
      <c r="AU8" s="31" t="str">
        <f t="shared" si="3"/>
        <v>库存为3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1</v>
      </c>
      <c r="E10" s="31">
        <v>3</v>
      </c>
      <c r="F10" s="31">
        <v>0</v>
      </c>
      <c r="G10" s="31">
        <v>0</v>
      </c>
      <c r="H10" s="32">
        <v>13.99</v>
      </c>
      <c r="I10">
        <v>8</v>
      </c>
      <c r="J10" s="33">
        <v>0</v>
      </c>
      <c r="K10" s="33">
        <v>0</v>
      </c>
      <c r="L10" s="33">
        <v>0</v>
      </c>
      <c r="M10">
        <v>8</v>
      </c>
      <c r="N10">
        <v>0</v>
      </c>
      <c r="O10">
        <v>9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38</v>
      </c>
      <c r="AK10">
        <v>29</v>
      </c>
      <c r="AL10">
        <v>28</v>
      </c>
      <c r="AM10">
        <v>3</v>
      </c>
      <c r="AN10" s="22">
        <v>0.0263157894736842</v>
      </c>
      <c r="AO10" s="22">
        <v>0.103448275862069</v>
      </c>
      <c r="AP10" s="22">
        <v>0</v>
      </c>
      <c r="AQ10" s="22">
        <v>0</v>
      </c>
      <c r="AR10" s="35">
        <v>0.142857142857143</v>
      </c>
      <c r="AS10" s="35">
        <v>8.57142857142857</v>
      </c>
      <c r="AT10" s="35">
        <v>-0.571428571428571</v>
      </c>
      <c r="AU10" s="31">
        <f t="shared" si="3"/>
        <v>56</v>
      </c>
      <c r="AV10" s="36">
        <f>IFERROR(时间!$B$4+AU10,"上周无销量")</f>
        <v>43374</v>
      </c>
    </row>
    <row r="11" spans="1:48">
      <c r="A11" s="20" t="s">
        <v>64</v>
      </c>
      <c r="B11" t="s">
        <v>65</v>
      </c>
      <c r="C11" t="s">
        <v>63</v>
      </c>
      <c r="D11" s="31">
        <v>2</v>
      </c>
      <c r="E11" s="31">
        <v>1</v>
      </c>
      <c r="F11" s="31">
        <v>6</v>
      </c>
      <c r="G11" s="31">
        <v>0</v>
      </c>
      <c r="H11" s="32">
        <v>14.1011111111111</v>
      </c>
      <c r="I11">
        <v>5</v>
      </c>
      <c r="J11" s="33">
        <v>0</v>
      </c>
      <c r="K11" s="33">
        <v>0</v>
      </c>
      <c r="L11" s="33">
        <v>1</v>
      </c>
      <c r="M11">
        <v>6</v>
      </c>
      <c r="N11">
        <v>0</v>
      </c>
      <c r="O11">
        <v>7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83</v>
      </c>
      <c r="AK11">
        <v>281</v>
      </c>
      <c r="AL11">
        <v>104</v>
      </c>
      <c r="AM11">
        <v>13</v>
      </c>
      <c r="AN11" s="22">
        <v>0.0240963855421687</v>
      </c>
      <c r="AO11" s="22">
        <v>0.00355871886120996</v>
      </c>
      <c r="AP11" s="22">
        <v>0.0576923076923077</v>
      </c>
      <c r="AQ11" s="22">
        <v>0</v>
      </c>
      <c r="AR11" s="35">
        <v>0.285714285714286</v>
      </c>
      <c r="AS11" s="35">
        <v>17.1428571428571</v>
      </c>
      <c r="AT11" s="35">
        <v>-11.1428571428571</v>
      </c>
      <c r="AU11" s="31">
        <f t="shared" si="3"/>
        <v>21</v>
      </c>
      <c r="AV11" s="36">
        <f>IFERROR(时间!$B$4+AU11,"上周无销量")</f>
        <v>43339</v>
      </c>
    </row>
    <row r="12" spans="1:48">
      <c r="A12" s="20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12</v>
      </c>
      <c r="J12" s="33">
        <v>0</v>
      </c>
      <c r="K12" s="33">
        <v>0</v>
      </c>
      <c r="L12" s="33">
        <v>0</v>
      </c>
      <c r="M12">
        <v>12</v>
      </c>
      <c r="N12">
        <v>0</v>
      </c>
      <c r="O12">
        <v>12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0</v>
      </c>
      <c r="AS12" s="35">
        <v>0</v>
      </c>
      <c r="AT12" s="35">
        <v>12</v>
      </c>
      <c r="AU12" s="31" t="str">
        <f t="shared" si="3"/>
        <v>库存为12</v>
      </c>
      <c r="AV12" s="36" t="str">
        <f>IFERROR(时间!$B$4+AU12,"上周无销量")</f>
        <v>上周无销量</v>
      </c>
    </row>
    <row r="13" spans="1:48">
      <c r="A13" s="20" t="s">
        <v>68</v>
      </c>
      <c r="B13" t="s">
        <v>69</v>
      </c>
      <c r="C13" t="s">
        <v>63</v>
      </c>
      <c r="D13" s="31">
        <v>1</v>
      </c>
      <c r="E13" s="31">
        <v>6</v>
      </c>
      <c r="F13" s="31">
        <v>3</v>
      </c>
      <c r="G13" s="31">
        <v>0</v>
      </c>
      <c r="H13" s="32">
        <v>13.99</v>
      </c>
      <c r="I13">
        <v>1</v>
      </c>
      <c r="J13" s="33">
        <v>0</v>
      </c>
      <c r="K13" s="33">
        <v>0</v>
      </c>
      <c r="L13" s="33">
        <v>1</v>
      </c>
      <c r="M13">
        <v>2</v>
      </c>
      <c r="N13">
        <v>0</v>
      </c>
      <c r="O13">
        <v>1</v>
      </c>
      <c r="P13">
        <v>3925</v>
      </c>
      <c r="Q13">
        <v>2164</v>
      </c>
      <c r="R13">
        <v>0</v>
      </c>
      <c r="S13">
        <v>0</v>
      </c>
      <c r="T13">
        <v>21</v>
      </c>
      <c r="U13">
        <v>17</v>
      </c>
      <c r="V13">
        <v>0</v>
      </c>
      <c r="W13">
        <v>0</v>
      </c>
      <c r="X13" s="22">
        <v>0.00535031847133758</v>
      </c>
      <c r="Y13" s="22">
        <v>0.00785582255083179</v>
      </c>
      <c r="Z13" s="22" t="s">
        <v>53</v>
      </c>
      <c r="AA13" s="22" t="s">
        <v>53</v>
      </c>
      <c r="AB13">
        <v>10.23</v>
      </c>
      <c r="AC13">
        <v>7.2</v>
      </c>
      <c r="AD13">
        <v>0</v>
      </c>
      <c r="AE13">
        <v>0</v>
      </c>
      <c r="AF13" s="22">
        <v>0.731236597569693</v>
      </c>
      <c r="AG13" s="22">
        <v>0.0857755539671194</v>
      </c>
      <c r="AH13" s="22" t="s">
        <v>53</v>
      </c>
      <c r="AI13" s="22" t="s">
        <v>53</v>
      </c>
      <c r="AJ13">
        <v>53</v>
      </c>
      <c r="AK13">
        <v>72</v>
      </c>
      <c r="AL13">
        <v>25</v>
      </c>
      <c r="AM13">
        <v>3</v>
      </c>
      <c r="AN13" s="22">
        <v>0.0188679245283019</v>
      </c>
      <c r="AO13" s="22">
        <v>0.0833333333333333</v>
      </c>
      <c r="AP13" s="22">
        <v>0.12</v>
      </c>
      <c r="AQ13" s="22">
        <v>0</v>
      </c>
      <c r="AR13" s="35">
        <v>0.142857142857143</v>
      </c>
      <c r="AS13" s="35">
        <v>8.57142857142857</v>
      </c>
      <c r="AT13" s="35">
        <v>-6.57142857142857</v>
      </c>
      <c r="AU13" s="31">
        <f t="shared" si="3"/>
        <v>14</v>
      </c>
      <c r="AV13" s="36">
        <f>IFERROR(时间!$B$4+AU13,"上周无销量")</f>
        <v>43332</v>
      </c>
    </row>
    <row r="14" spans="1:48">
      <c r="A14" s="20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6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0</v>
      </c>
      <c r="AK14">
        <v>3</v>
      </c>
      <c r="AL14">
        <v>3</v>
      </c>
      <c r="AM14">
        <v>3</v>
      </c>
      <c r="AN14" s="22" t="s">
        <v>53</v>
      </c>
      <c r="AO14" s="22">
        <v>0</v>
      </c>
      <c r="AP14" s="22">
        <v>0</v>
      </c>
      <c r="AQ14" s="22">
        <v>0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6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1</v>
      </c>
      <c r="AK15">
        <v>0</v>
      </c>
      <c r="AL15">
        <v>2</v>
      </c>
      <c r="AM15">
        <v>4</v>
      </c>
      <c r="AN15" s="22">
        <v>0</v>
      </c>
      <c r="AO15" s="22" t="s">
        <v>53</v>
      </c>
      <c r="AP15" s="22">
        <v>0</v>
      </c>
      <c r="AQ15" s="22">
        <v>0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6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3</v>
      </c>
      <c r="AK16">
        <v>2</v>
      </c>
      <c r="AL16">
        <v>1</v>
      </c>
      <c r="AM16">
        <v>4</v>
      </c>
      <c r="AN16" s="22">
        <v>0</v>
      </c>
      <c r="AO16" s="22">
        <v>0</v>
      </c>
      <c r="AP16" s="22">
        <v>0</v>
      </c>
      <c r="AQ16" s="22">
        <v>0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6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0</v>
      </c>
      <c r="AK17">
        <v>1</v>
      </c>
      <c r="AL17">
        <v>0</v>
      </c>
      <c r="AM17">
        <v>2</v>
      </c>
      <c r="AN17" s="22" t="s">
        <v>53</v>
      </c>
      <c r="AO17" s="22">
        <v>0</v>
      </c>
      <c r="AP17" s="22" t="s">
        <v>53</v>
      </c>
      <c r="AQ17" s="22">
        <v>0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6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0</v>
      </c>
      <c r="AK18">
        <v>1</v>
      </c>
      <c r="AL18">
        <v>3</v>
      </c>
      <c r="AM18">
        <v>3</v>
      </c>
      <c r="AN18" s="22" t="s">
        <v>53</v>
      </c>
      <c r="AO18" s="22">
        <v>0</v>
      </c>
      <c r="AP18" s="22">
        <v>0</v>
      </c>
      <c r="AQ18" s="22">
        <v>0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81</v>
      </c>
      <c r="B19" t="s">
        <v>82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6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0</v>
      </c>
      <c r="AL19">
        <v>4</v>
      </c>
      <c r="AM19">
        <v>4</v>
      </c>
      <c r="AN19" s="22" t="s">
        <v>53</v>
      </c>
      <c r="AO19" s="22" t="s">
        <v>53</v>
      </c>
      <c r="AP19" s="22">
        <v>0</v>
      </c>
      <c r="AQ19" s="22">
        <v>0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83</v>
      </c>
      <c r="B20" t="s">
        <v>84</v>
      </c>
      <c r="C20" t="s">
        <v>72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6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1</v>
      </c>
      <c r="AK20">
        <v>0</v>
      </c>
      <c r="AL20">
        <v>3</v>
      </c>
      <c r="AM20">
        <v>3</v>
      </c>
      <c r="AN20" s="22">
        <v>0</v>
      </c>
      <c r="AO20" s="22" t="s">
        <v>53</v>
      </c>
      <c r="AP20" s="22">
        <v>0</v>
      </c>
      <c r="AQ20" s="22">
        <v>0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85</v>
      </c>
      <c r="B21" t="s">
        <v>86</v>
      </c>
      <c r="C21" t="s">
        <v>72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6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0</v>
      </c>
      <c r="AK21">
        <v>1</v>
      </c>
      <c r="AL21">
        <v>3</v>
      </c>
      <c r="AM21">
        <v>6</v>
      </c>
      <c r="AN21" s="22" t="s">
        <v>53</v>
      </c>
      <c r="AO21" s="22">
        <v>0</v>
      </c>
      <c r="AP21" s="22">
        <v>0</v>
      </c>
      <c r="AQ21" s="22">
        <v>0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87</v>
      </c>
      <c r="B22" t="s">
        <v>88</v>
      </c>
      <c r="C22" t="s">
        <v>72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6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4</v>
      </c>
      <c r="AK22">
        <v>1</v>
      </c>
      <c r="AL22">
        <v>2</v>
      </c>
      <c r="AM22">
        <v>3</v>
      </c>
      <c r="AN22" s="22">
        <v>0</v>
      </c>
      <c r="AO22" s="22">
        <v>0</v>
      </c>
      <c r="AP22" s="22">
        <v>0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89</v>
      </c>
      <c r="B23" t="s">
        <v>90</v>
      </c>
      <c r="C23" t="s">
        <v>72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6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0</v>
      </c>
      <c r="AK23">
        <v>1</v>
      </c>
      <c r="AL23">
        <v>3</v>
      </c>
      <c r="AM23">
        <v>4</v>
      </c>
      <c r="AN23" s="22" t="s">
        <v>53</v>
      </c>
      <c r="AO23" s="22">
        <v>0</v>
      </c>
      <c r="AP23" s="22">
        <v>0</v>
      </c>
      <c r="AQ23" s="22">
        <v>0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91</v>
      </c>
      <c r="B24" t="s">
        <v>92</v>
      </c>
      <c r="C24" t="s">
        <v>72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6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1</v>
      </c>
      <c r="AK24">
        <v>0</v>
      </c>
      <c r="AL24">
        <v>3</v>
      </c>
      <c r="AM24">
        <v>3</v>
      </c>
      <c r="AN24" s="22">
        <v>0</v>
      </c>
      <c r="AO24" s="22" t="s">
        <v>53</v>
      </c>
      <c r="AP24" s="22">
        <v>0</v>
      </c>
      <c r="AQ24" s="22">
        <v>0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93</v>
      </c>
      <c r="B25" t="s">
        <v>94</v>
      </c>
      <c r="C25" t="s">
        <v>72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6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1</v>
      </c>
      <c r="AK25">
        <v>0</v>
      </c>
      <c r="AL25">
        <v>2</v>
      </c>
      <c r="AM25">
        <v>3</v>
      </c>
      <c r="AN25" s="22">
        <v>0</v>
      </c>
      <c r="AO25" s="22" t="s">
        <v>53</v>
      </c>
      <c r="AP25" s="22">
        <v>0</v>
      </c>
      <c r="AQ25" s="22">
        <v>0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95</v>
      </c>
      <c r="B26" t="s">
        <v>96</v>
      </c>
      <c r="C26" t="s">
        <v>72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6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1</v>
      </c>
      <c r="AK26">
        <v>0</v>
      </c>
      <c r="AL26">
        <v>3</v>
      </c>
      <c r="AM26">
        <v>5</v>
      </c>
      <c r="AN26" s="22">
        <v>0</v>
      </c>
      <c r="AO26" s="22" t="s">
        <v>53</v>
      </c>
      <c r="AP26" s="22">
        <v>0</v>
      </c>
      <c r="AQ26" s="22">
        <v>0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97</v>
      </c>
      <c r="B27" t="s">
        <v>98</v>
      </c>
      <c r="C27" t="s">
        <v>72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6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2</v>
      </c>
      <c r="AK27">
        <v>1</v>
      </c>
      <c r="AL27">
        <v>3</v>
      </c>
      <c r="AM27">
        <v>5</v>
      </c>
      <c r="AN27" s="22">
        <v>0</v>
      </c>
      <c r="AO27" s="22">
        <v>0</v>
      </c>
      <c r="AP27" s="22">
        <v>0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99</v>
      </c>
      <c r="B28" t="s">
        <v>100</v>
      </c>
      <c r="C28" t="s">
        <v>72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5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3</v>
      </c>
      <c r="AK28">
        <v>5</v>
      </c>
      <c r="AL28">
        <v>2</v>
      </c>
      <c r="AM28">
        <v>4</v>
      </c>
      <c r="AN28" s="22">
        <v>0</v>
      </c>
      <c r="AO28" s="22">
        <v>0</v>
      </c>
      <c r="AP28" s="22">
        <v>0</v>
      </c>
      <c r="AQ28" s="22">
        <v>0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101</v>
      </c>
      <c r="B29" t="s">
        <v>102</v>
      </c>
      <c r="C29" t="s">
        <v>103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0</v>
      </c>
      <c r="AK29">
        <v>0</v>
      </c>
      <c r="AL29">
        <v>0</v>
      </c>
      <c r="AM29">
        <v>0</v>
      </c>
      <c r="AN29" s="22" t="s">
        <v>53</v>
      </c>
      <c r="AO29" s="22" t="s">
        <v>53</v>
      </c>
      <c r="AP29" s="22" t="s">
        <v>53</v>
      </c>
      <c r="AQ29" s="22" t="s">
        <v>53</v>
      </c>
      <c r="AR29" s="35">
        <v>0</v>
      </c>
      <c r="AS29" s="35">
        <v>0</v>
      </c>
      <c r="AT29" s="35">
        <v>1</v>
      </c>
      <c r="AU29" s="31" t="str">
        <f t="shared" si="3"/>
        <v>库存为1</v>
      </c>
      <c r="AV29" s="36" t="str">
        <f>IFERROR(时间!$B$4+AU29,"上周无销量")</f>
        <v>上周无销量</v>
      </c>
    </row>
    <row r="30" spans="1:48">
      <c r="A30" s="20" t="s">
        <v>104</v>
      </c>
      <c r="B30" t="s">
        <v>105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</v>
      </c>
      <c r="J30" s="33">
        <v>0</v>
      </c>
      <c r="K30" s="33">
        <v>0</v>
      </c>
      <c r="L30" s="33">
        <v>0</v>
      </c>
      <c r="M30">
        <v>1</v>
      </c>
      <c r="N30">
        <v>1</v>
      </c>
      <c r="O30">
        <v>2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6</v>
      </c>
      <c r="AK30">
        <v>2</v>
      </c>
      <c r="AL30">
        <v>5</v>
      </c>
      <c r="AM30">
        <v>5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</v>
      </c>
      <c r="AU30" s="31" t="str">
        <f t="shared" si="3"/>
        <v>库存为1</v>
      </c>
      <c r="AV30" s="36" t="str">
        <f>IFERROR(时间!$B$4+AU30,"上周无销量")</f>
        <v>上周无销量</v>
      </c>
    </row>
    <row r="31" spans="1:48">
      <c r="A31" s="20" t="s">
        <v>106</v>
      </c>
      <c r="B31" t="s">
        <v>107</v>
      </c>
      <c r="C31" t="s">
        <v>103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4</v>
      </c>
      <c r="J31" s="33">
        <v>0</v>
      </c>
      <c r="K31" s="33">
        <v>0</v>
      </c>
      <c r="L31" s="33">
        <v>0</v>
      </c>
      <c r="M31">
        <v>4</v>
      </c>
      <c r="N31">
        <v>0</v>
      </c>
      <c r="O31">
        <v>4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4</v>
      </c>
      <c r="AK31">
        <v>5</v>
      </c>
      <c r="AL31">
        <v>0</v>
      </c>
      <c r="AM31">
        <v>8</v>
      </c>
      <c r="AN31" s="22">
        <v>0</v>
      </c>
      <c r="AO31" s="22">
        <v>0</v>
      </c>
      <c r="AP31" s="22" t="s">
        <v>53</v>
      </c>
      <c r="AQ31" s="22">
        <v>0</v>
      </c>
      <c r="AR31" s="35">
        <v>0</v>
      </c>
      <c r="AS31" s="35">
        <v>0</v>
      </c>
      <c r="AT31" s="35">
        <v>4</v>
      </c>
      <c r="AU31" s="31" t="str">
        <f t="shared" si="3"/>
        <v>库存为4</v>
      </c>
      <c r="AV31" s="36" t="str">
        <f>IFERROR(时间!$B$4+AU31,"上周无销量")</f>
        <v>上周无销量</v>
      </c>
    </row>
    <row r="32" spans="1:48">
      <c r="A32" s="20" t="s">
        <v>108</v>
      </c>
      <c r="B32" t="s">
        <v>109</v>
      </c>
      <c r="C32" t="s">
        <v>110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6</v>
      </c>
      <c r="J32" s="33">
        <v>0</v>
      </c>
      <c r="K32" s="33">
        <v>0</v>
      </c>
      <c r="L32" s="33">
        <v>0</v>
      </c>
      <c r="M32">
        <v>6</v>
      </c>
      <c r="N32">
        <v>0</v>
      </c>
      <c r="O32">
        <v>7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16</v>
      </c>
      <c r="AK32">
        <v>3</v>
      </c>
      <c r="AL32">
        <v>19</v>
      </c>
      <c r="AM32">
        <v>14</v>
      </c>
      <c r="AN32" s="22">
        <v>0</v>
      </c>
      <c r="AO32" s="22">
        <v>0</v>
      </c>
      <c r="AP32" s="22">
        <v>0</v>
      </c>
      <c r="AQ32" s="22">
        <v>0</v>
      </c>
      <c r="AR32" s="35">
        <v>0</v>
      </c>
      <c r="AS32" s="35">
        <v>0</v>
      </c>
      <c r="AT32" s="35">
        <v>6</v>
      </c>
      <c r="AU32" s="31" t="str">
        <f t="shared" si="3"/>
        <v>库存为6</v>
      </c>
      <c r="AV32" s="36" t="str">
        <f>IFERROR(时间!$B$4+AU32,"上周无销量")</f>
        <v>上周无销量</v>
      </c>
    </row>
    <row r="33" spans="1:48">
      <c r="A33" s="20" t="s">
        <v>111</v>
      </c>
      <c r="B33" t="s">
        <v>112</v>
      </c>
      <c r="C33" t="s">
        <v>110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8</v>
      </c>
      <c r="J33" s="33">
        <v>0</v>
      </c>
      <c r="K33" s="33">
        <v>0</v>
      </c>
      <c r="L33" s="33">
        <v>0</v>
      </c>
      <c r="M33">
        <v>8</v>
      </c>
      <c r="N33">
        <v>0</v>
      </c>
      <c r="O33">
        <v>8</v>
      </c>
      <c r="P33">
        <v>1080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 s="22">
        <v>0</v>
      </c>
      <c r="Y33" s="22" t="s">
        <v>53</v>
      </c>
      <c r="Z33" s="22" t="s">
        <v>53</v>
      </c>
      <c r="AA33" s="22" t="s">
        <v>53</v>
      </c>
      <c r="AB33">
        <v>0</v>
      </c>
      <c r="AC33">
        <v>0</v>
      </c>
      <c r="AD33">
        <v>0</v>
      </c>
      <c r="AE33">
        <v>0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3</v>
      </c>
      <c r="AK33">
        <v>5</v>
      </c>
      <c r="AL33">
        <v>7</v>
      </c>
      <c r="AM33">
        <v>6</v>
      </c>
      <c r="AN33" s="22">
        <v>0</v>
      </c>
      <c r="AO33" s="22">
        <v>0</v>
      </c>
      <c r="AP33" s="22">
        <v>0</v>
      </c>
      <c r="AQ33" s="22">
        <v>0</v>
      </c>
      <c r="AR33" s="35">
        <v>0</v>
      </c>
      <c r="AS33" s="35">
        <v>0</v>
      </c>
      <c r="AT33" s="35">
        <v>8</v>
      </c>
      <c r="AU33" s="31" t="str">
        <f t="shared" si="3"/>
        <v>库存为8</v>
      </c>
      <c r="AV33" s="36" t="str">
        <f>IFERROR(时间!$B$4+AU33,"上周无销量")</f>
        <v>上周无销量</v>
      </c>
    </row>
    <row r="34" spans="1:48">
      <c r="A34" s="20" t="s">
        <v>113</v>
      </c>
      <c r="B34" t="s">
        <v>114</v>
      </c>
      <c r="C34" t="s">
        <v>115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0</v>
      </c>
      <c r="AK34">
        <v>0</v>
      </c>
      <c r="AL34">
        <v>0</v>
      </c>
      <c r="AM34">
        <v>0</v>
      </c>
      <c r="AN34" s="22" t="s">
        <v>53</v>
      </c>
      <c r="AO34" s="22" t="s">
        <v>53</v>
      </c>
      <c r="AP34" s="22" t="s">
        <v>53</v>
      </c>
      <c r="AQ34" s="22" t="s">
        <v>53</v>
      </c>
      <c r="AR34" s="35">
        <v>0</v>
      </c>
      <c r="AS34" s="35">
        <v>0</v>
      </c>
      <c r="AT34" s="35">
        <v>0</v>
      </c>
      <c r="AU34" s="31" t="str">
        <f t="shared" si="3"/>
        <v>库存为0</v>
      </c>
      <c r="AV34" s="36" t="str">
        <f>IFERROR(时间!$B$4+AU34,"上周无销量")</f>
        <v>上周无销量</v>
      </c>
    </row>
    <row r="35" spans="1:48">
      <c r="A35" s="20" t="s">
        <v>116</v>
      </c>
      <c r="B35" t="s">
        <v>117</v>
      </c>
      <c r="C35" t="s">
        <v>115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18</v>
      </c>
      <c r="J35" s="33">
        <v>0</v>
      </c>
      <c r="K35" s="33">
        <v>0</v>
      </c>
      <c r="L35" s="33">
        <v>0</v>
      </c>
      <c r="M35">
        <v>18</v>
      </c>
      <c r="N35">
        <v>0</v>
      </c>
      <c r="O35">
        <v>18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18</v>
      </c>
      <c r="AU35" s="31" t="str">
        <f t="shared" si="3"/>
        <v>库存为18</v>
      </c>
      <c r="AV35" s="36" t="str">
        <f>IFERROR(时间!$B$4+AU35,"上周无销量")</f>
        <v>上周无销量</v>
      </c>
    </row>
    <row r="36" spans="1:48">
      <c r="A36" s="20" t="s">
        <v>118</v>
      </c>
      <c r="B36" t="s">
        <v>119</v>
      </c>
      <c r="C36" t="s">
        <v>115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0</v>
      </c>
      <c r="AK36">
        <v>0</v>
      </c>
      <c r="AL36">
        <v>0</v>
      </c>
      <c r="AM36">
        <v>0</v>
      </c>
      <c r="AN36" s="22" t="s">
        <v>53</v>
      </c>
      <c r="AO36" s="22" t="s">
        <v>53</v>
      </c>
      <c r="AP36" s="22" t="s">
        <v>53</v>
      </c>
      <c r="AQ36" s="22" t="s">
        <v>53</v>
      </c>
      <c r="AR36" s="35">
        <v>0</v>
      </c>
      <c r="AS36" s="35">
        <v>0</v>
      </c>
      <c r="AT36" s="35">
        <v>0</v>
      </c>
      <c r="AU36" s="31" t="str">
        <f t="shared" si="3"/>
        <v>库存为0</v>
      </c>
      <c r="AV36" s="36" t="str">
        <f>IFERROR(时间!$B$4+AU36,"上周无销量")</f>
        <v>上周无销量</v>
      </c>
    </row>
    <row r="37" spans="1:48">
      <c r="A37" s="20" t="s">
        <v>120</v>
      </c>
      <c r="B37" t="s">
        <v>121</v>
      </c>
      <c r="C37" t="s">
        <v>122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0</v>
      </c>
      <c r="AK37">
        <v>0</v>
      </c>
      <c r="AL37">
        <v>0</v>
      </c>
      <c r="AM37">
        <v>0</v>
      </c>
      <c r="AN37" s="22" t="s">
        <v>53</v>
      </c>
      <c r="AO37" s="22" t="s">
        <v>53</v>
      </c>
      <c r="AP37" s="22" t="s">
        <v>53</v>
      </c>
      <c r="AQ37" s="22" t="s">
        <v>53</v>
      </c>
      <c r="AR37" s="35">
        <v>0</v>
      </c>
      <c r="AS37" s="35">
        <v>0</v>
      </c>
      <c r="AT37" s="35">
        <v>0</v>
      </c>
      <c r="AU37" s="31" t="str">
        <f t="shared" si="3"/>
        <v>库存为0</v>
      </c>
      <c r="AV37" s="36" t="str">
        <f>IFERROR(时间!$B$4+AU37,"上周无销量")</f>
        <v>上周无销量</v>
      </c>
    </row>
    <row r="38" spans="1:48">
      <c r="A38" s="20" t="s">
        <v>123</v>
      </c>
      <c r="B38" t="s">
        <v>124</v>
      </c>
      <c r="C38" t="s">
        <v>125</v>
      </c>
      <c r="D38" s="31">
        <v>1</v>
      </c>
      <c r="E38" s="31">
        <v>0</v>
      </c>
      <c r="F38" s="31">
        <v>0</v>
      </c>
      <c r="G38" s="31">
        <v>0</v>
      </c>
      <c r="H38" s="32">
        <v>18.99</v>
      </c>
      <c r="I38">
        <v>4</v>
      </c>
      <c r="J38" s="33">
        <v>0</v>
      </c>
      <c r="K38" s="33">
        <v>0</v>
      </c>
      <c r="L38" s="33">
        <v>0</v>
      </c>
      <c r="M38">
        <v>4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2</v>
      </c>
      <c r="AK38">
        <v>2</v>
      </c>
      <c r="AL38">
        <v>2</v>
      </c>
      <c r="AM38">
        <v>2</v>
      </c>
      <c r="AN38" s="22">
        <v>0.5</v>
      </c>
      <c r="AO38" s="22">
        <v>0</v>
      </c>
      <c r="AP38" s="22">
        <v>0</v>
      </c>
      <c r="AQ38" s="22">
        <v>0</v>
      </c>
      <c r="AR38" s="35">
        <v>0.142857142857143</v>
      </c>
      <c r="AS38" s="35">
        <v>8.57142857142857</v>
      </c>
      <c r="AT38" s="35">
        <v>-4.57142857142857</v>
      </c>
      <c r="AU38" s="31">
        <f t="shared" si="3"/>
        <v>28</v>
      </c>
      <c r="AV38" s="36">
        <f>IFERROR(时间!$B$4+AU38,"上周无销量")</f>
        <v>43346</v>
      </c>
    </row>
    <row r="39" spans="1:48">
      <c r="A39" s="20" t="s">
        <v>126</v>
      </c>
      <c r="B39" t="s">
        <v>127</v>
      </c>
      <c r="C39" t="s">
        <v>125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3</v>
      </c>
      <c r="J39" s="33">
        <v>0</v>
      </c>
      <c r="K39" s="33">
        <v>0</v>
      </c>
      <c r="L39" s="33">
        <v>0</v>
      </c>
      <c r="M39">
        <v>3</v>
      </c>
      <c r="N39">
        <v>0</v>
      </c>
      <c r="O39">
        <v>3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2</v>
      </c>
      <c r="AK39">
        <v>0</v>
      </c>
      <c r="AL39">
        <v>0</v>
      </c>
      <c r="AM39">
        <v>1</v>
      </c>
      <c r="AN39" s="22">
        <v>0</v>
      </c>
      <c r="AO39" s="22" t="s">
        <v>53</v>
      </c>
      <c r="AP39" s="22" t="s">
        <v>53</v>
      </c>
      <c r="AQ39" s="22">
        <v>0</v>
      </c>
      <c r="AR39" s="35">
        <v>0</v>
      </c>
      <c r="AS39" s="35">
        <v>0</v>
      </c>
      <c r="AT39" s="35">
        <v>3</v>
      </c>
      <c r="AU39" s="31" t="str">
        <f t="shared" si="3"/>
        <v>库存为3</v>
      </c>
      <c r="AV39" s="36" t="str">
        <f>IFERROR(时间!$B$4+AU39,"上周无销量")</f>
        <v>上周无销量</v>
      </c>
    </row>
    <row r="40" spans="1:48">
      <c r="A40" s="20" t="s">
        <v>128</v>
      </c>
      <c r="B40" t="s">
        <v>129</v>
      </c>
      <c r="C40" t="s">
        <v>125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0</v>
      </c>
      <c r="AM40">
        <v>0</v>
      </c>
      <c r="AN40" s="22" t="s">
        <v>53</v>
      </c>
      <c r="AO40" s="22" t="s">
        <v>53</v>
      </c>
      <c r="AP40" s="22" t="s">
        <v>53</v>
      </c>
      <c r="AQ40" s="22" t="s">
        <v>53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130</v>
      </c>
      <c r="B41" t="s">
        <v>131</v>
      </c>
      <c r="C41" t="s">
        <v>132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0</v>
      </c>
      <c r="AL41">
        <v>0</v>
      </c>
      <c r="AM41">
        <v>0</v>
      </c>
      <c r="AN41" s="22" t="s">
        <v>53</v>
      </c>
      <c r="AO41" s="22" t="s">
        <v>53</v>
      </c>
      <c r="AP41" s="22" t="s">
        <v>53</v>
      </c>
      <c r="AQ41" s="22" t="s">
        <v>53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133</v>
      </c>
      <c r="B42" t="s">
        <v>134</v>
      </c>
      <c r="C42" t="s">
        <v>132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1</v>
      </c>
      <c r="AL42">
        <v>0</v>
      </c>
      <c r="AM42">
        <v>0</v>
      </c>
      <c r="AN42" s="22" t="s">
        <v>53</v>
      </c>
      <c r="AO42" s="22">
        <v>0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135</v>
      </c>
      <c r="B43" t="s">
        <v>136</v>
      </c>
      <c r="C43" t="s">
        <v>132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1</v>
      </c>
      <c r="M43">
        <v>1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1</v>
      </c>
      <c r="AL43">
        <v>0</v>
      </c>
      <c r="AM43">
        <v>0</v>
      </c>
      <c r="AN43" s="22" t="s">
        <v>53</v>
      </c>
      <c r="AO43" s="22">
        <v>0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1</v>
      </c>
      <c r="AU43" s="31" t="str">
        <f t="shared" si="3"/>
        <v>库存为1</v>
      </c>
      <c r="AV43" s="36" t="str">
        <f>IFERROR(时间!$B$4+AU43,"上周无销量")</f>
        <v>上周无销量</v>
      </c>
    </row>
    <row r="44" spans="1:48">
      <c r="A44" s="20" t="s">
        <v>137</v>
      </c>
      <c r="B44" t="s">
        <v>138</v>
      </c>
      <c r="C44" t="s">
        <v>132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1</v>
      </c>
      <c r="AL44">
        <v>0</v>
      </c>
      <c r="AM44">
        <v>0</v>
      </c>
      <c r="AN44" s="22" t="s">
        <v>53</v>
      </c>
      <c r="AO44" s="22">
        <v>0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139</v>
      </c>
      <c r="B45" t="s">
        <v>140</v>
      </c>
      <c r="C45" t="s">
        <v>132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1</v>
      </c>
      <c r="AL45">
        <v>0</v>
      </c>
      <c r="AM45">
        <v>0</v>
      </c>
      <c r="AN45" s="22" t="s">
        <v>53</v>
      </c>
      <c r="AO45" s="22">
        <v>0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141</v>
      </c>
      <c r="B46" t="s">
        <v>142</v>
      </c>
      <c r="C46" t="s">
        <v>132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143</v>
      </c>
      <c r="B47" t="s">
        <v>131</v>
      </c>
      <c r="C47" t="s">
        <v>144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145</v>
      </c>
      <c r="B48" t="s">
        <v>134</v>
      </c>
      <c r="C48" t="s">
        <v>144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1</v>
      </c>
      <c r="AL48">
        <v>0</v>
      </c>
      <c r="AM48">
        <v>0</v>
      </c>
      <c r="AN48" s="22" t="s">
        <v>53</v>
      </c>
      <c r="AO48" s="22">
        <v>0</v>
      </c>
      <c r="AP48" s="22" t="s">
        <v>53</v>
      </c>
      <c r="AQ48" s="22" t="s">
        <v>53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146</v>
      </c>
      <c r="B49" t="s">
        <v>136</v>
      </c>
      <c r="C49" t="s">
        <v>144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1</v>
      </c>
      <c r="AL49">
        <v>0</v>
      </c>
      <c r="AM49">
        <v>0</v>
      </c>
      <c r="AN49" s="22" t="s">
        <v>53</v>
      </c>
      <c r="AO49" s="22">
        <v>0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147</v>
      </c>
      <c r="B50" t="s">
        <v>138</v>
      </c>
      <c r="C50" t="s">
        <v>144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1</v>
      </c>
      <c r="AL50">
        <v>0</v>
      </c>
      <c r="AM50">
        <v>0</v>
      </c>
      <c r="AN50" s="22" t="s">
        <v>53</v>
      </c>
      <c r="AO50" s="22">
        <v>0</v>
      </c>
      <c r="AP50" s="22" t="s">
        <v>53</v>
      </c>
      <c r="AQ50" s="22" t="s">
        <v>53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148</v>
      </c>
      <c r="B51" t="s">
        <v>140</v>
      </c>
      <c r="C51" t="s">
        <v>144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1</v>
      </c>
      <c r="AL51">
        <v>0</v>
      </c>
      <c r="AM51">
        <v>0</v>
      </c>
      <c r="AN51" s="22" t="s">
        <v>53</v>
      </c>
      <c r="AO51" s="22">
        <v>0</v>
      </c>
      <c r="AP51" s="22" t="s">
        <v>53</v>
      </c>
      <c r="AQ51" s="22" t="s">
        <v>53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149</v>
      </c>
      <c r="B52" t="s">
        <v>142</v>
      </c>
      <c r="C52" t="s">
        <v>144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0</v>
      </c>
      <c r="AL52">
        <v>0</v>
      </c>
      <c r="AM52">
        <v>0</v>
      </c>
      <c r="AN52" s="22" t="s">
        <v>53</v>
      </c>
      <c r="AO52" s="22" t="s">
        <v>53</v>
      </c>
      <c r="AP52" s="22" t="s">
        <v>53</v>
      </c>
      <c r="AQ52" s="22" t="s">
        <v>53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150</v>
      </c>
      <c r="B53" t="s">
        <v>151</v>
      </c>
      <c r="C53" t="s">
        <v>150</v>
      </c>
      <c r="D53" s="31">
        <v>4</v>
      </c>
      <c r="E53" s="31">
        <v>1</v>
      </c>
      <c r="F53" s="31">
        <v>1</v>
      </c>
      <c r="G53" s="31">
        <v>2</v>
      </c>
      <c r="H53" s="32">
        <v>9.99</v>
      </c>
      <c r="I53">
        <v>57</v>
      </c>
      <c r="J53" s="33">
        <v>0</v>
      </c>
      <c r="K53" s="33">
        <v>0</v>
      </c>
      <c r="L53" s="33">
        <v>3</v>
      </c>
      <c r="M53">
        <v>60</v>
      </c>
      <c r="N53">
        <v>0</v>
      </c>
      <c r="O53">
        <v>60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30</v>
      </c>
      <c r="AK53">
        <v>22</v>
      </c>
      <c r="AL53">
        <v>14</v>
      </c>
      <c r="AM53">
        <v>11</v>
      </c>
      <c r="AN53" s="22">
        <v>0.133333333333333</v>
      </c>
      <c r="AO53" s="22">
        <v>0.0454545454545455</v>
      </c>
      <c r="AP53" s="22">
        <v>0.0714285714285714</v>
      </c>
      <c r="AQ53" s="22">
        <v>0.181818181818182</v>
      </c>
      <c r="AR53" s="35">
        <v>0.571428571428571</v>
      </c>
      <c r="AS53" s="35">
        <v>34.2857142857143</v>
      </c>
      <c r="AT53" s="35">
        <v>25.7142857142857</v>
      </c>
      <c r="AU53" s="31">
        <f t="shared" si="3"/>
        <v>105</v>
      </c>
      <c r="AV53" s="36">
        <f>IFERROR(时间!$B$4+AU53,"上周无销量")</f>
        <v>43423</v>
      </c>
    </row>
    <row r="54" spans="1:48">
      <c r="A54" s="20" t="s">
        <v>152</v>
      </c>
      <c r="B54" t="s">
        <v>153</v>
      </c>
      <c r="C54" t="s">
        <v>154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3</v>
      </c>
      <c r="J54" s="33">
        <v>0</v>
      </c>
      <c r="K54" s="33">
        <v>0</v>
      </c>
      <c r="L54" s="33">
        <v>0</v>
      </c>
      <c r="M54">
        <v>3</v>
      </c>
      <c r="N54">
        <v>0</v>
      </c>
      <c r="O54">
        <v>3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1</v>
      </c>
      <c r="AK54">
        <v>4</v>
      </c>
      <c r="AL54">
        <v>1</v>
      </c>
      <c r="AM54">
        <v>2</v>
      </c>
      <c r="AN54" s="22">
        <v>0</v>
      </c>
      <c r="AO54" s="22">
        <v>0</v>
      </c>
      <c r="AP54" s="22">
        <v>0</v>
      </c>
      <c r="AQ54" s="22">
        <v>0</v>
      </c>
      <c r="AR54" s="35">
        <v>0</v>
      </c>
      <c r="AS54" s="35">
        <v>0</v>
      </c>
      <c r="AT54" s="35">
        <v>3</v>
      </c>
      <c r="AU54" s="31" t="str">
        <f t="shared" si="3"/>
        <v>库存为3</v>
      </c>
      <c r="AV54" s="36" t="str">
        <f>IFERROR(时间!$B$4+AU54,"上周无销量")</f>
        <v>上周无销量</v>
      </c>
    </row>
    <row r="55" spans="1:48">
      <c r="A55" s="20" t="s">
        <v>155</v>
      </c>
      <c r="B55" t="s">
        <v>156</v>
      </c>
      <c r="C55" t="s">
        <v>154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3</v>
      </c>
      <c r="J55" s="33">
        <v>0</v>
      </c>
      <c r="K55" s="33">
        <v>0</v>
      </c>
      <c r="L55" s="33">
        <v>0</v>
      </c>
      <c r="M55">
        <v>3</v>
      </c>
      <c r="N55">
        <v>0</v>
      </c>
      <c r="O55">
        <v>3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1</v>
      </c>
      <c r="AK55">
        <v>2</v>
      </c>
      <c r="AL55">
        <v>2</v>
      </c>
      <c r="AM55">
        <v>2</v>
      </c>
      <c r="AN55" s="22">
        <v>0</v>
      </c>
      <c r="AO55" s="22">
        <v>0</v>
      </c>
      <c r="AP55" s="22">
        <v>0</v>
      </c>
      <c r="AQ55" s="22">
        <v>0</v>
      </c>
      <c r="AR55" s="35">
        <v>0</v>
      </c>
      <c r="AS55" s="35">
        <v>0</v>
      </c>
      <c r="AT55" s="35">
        <v>3</v>
      </c>
      <c r="AU55" s="31" t="str">
        <f t="shared" si="3"/>
        <v>库存为3</v>
      </c>
      <c r="AV55" s="36" t="str">
        <f>IFERROR(时间!$B$4+AU55,"上周无销量")</f>
        <v>上周无销量</v>
      </c>
    </row>
    <row r="56" spans="1:48">
      <c r="A56" s="20" t="s">
        <v>157</v>
      </c>
      <c r="B56" t="s">
        <v>158</v>
      </c>
      <c r="C56" t="s">
        <v>154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3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2</v>
      </c>
      <c r="AK56">
        <v>5</v>
      </c>
      <c r="AL56">
        <v>3</v>
      </c>
      <c r="AM56">
        <v>2</v>
      </c>
      <c r="AN56" s="22">
        <v>0</v>
      </c>
      <c r="AO56" s="22">
        <v>0</v>
      </c>
      <c r="AP56" s="22">
        <v>0</v>
      </c>
      <c r="AQ56" s="22">
        <v>0</v>
      </c>
      <c r="AR56" s="35">
        <v>0</v>
      </c>
      <c r="AS56" s="35">
        <v>0</v>
      </c>
      <c r="AT56" s="35">
        <v>3</v>
      </c>
      <c r="AU56" s="31" t="str">
        <f t="shared" si="3"/>
        <v>库存为3</v>
      </c>
      <c r="AV56" s="36" t="str">
        <f>IFERROR(时间!$B$4+AU56,"上周无销量")</f>
        <v>上周无销量</v>
      </c>
    </row>
    <row r="57" spans="1:48">
      <c r="A57" s="20" t="s">
        <v>159</v>
      </c>
      <c r="B57" t="s">
        <v>160</v>
      </c>
      <c r="C57" t="s">
        <v>154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3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1</v>
      </c>
      <c r="AK57">
        <v>2</v>
      </c>
      <c r="AL57">
        <v>1</v>
      </c>
      <c r="AM57">
        <v>3</v>
      </c>
      <c r="AN57" s="22">
        <v>0</v>
      </c>
      <c r="AO57" s="22">
        <v>0</v>
      </c>
      <c r="AP57" s="22">
        <v>0</v>
      </c>
      <c r="AQ57" s="22">
        <v>0</v>
      </c>
      <c r="AR57" s="35">
        <v>0</v>
      </c>
      <c r="AS57" s="35">
        <v>0</v>
      </c>
      <c r="AT57" s="35">
        <v>3</v>
      </c>
      <c r="AU57" s="31" t="str">
        <f t="shared" si="3"/>
        <v>库存为3</v>
      </c>
      <c r="AV57" s="36" t="str">
        <f>IFERROR(时间!$B$4+AU57,"上周无销量")</f>
        <v>上周无销量</v>
      </c>
    </row>
    <row r="58" spans="1:48">
      <c r="A58" s="20" t="s">
        <v>161</v>
      </c>
      <c r="B58" t="s">
        <v>162</v>
      </c>
      <c r="C58" t="s">
        <v>154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3</v>
      </c>
      <c r="J58" s="33">
        <v>0</v>
      </c>
      <c r="K58" s="33">
        <v>0</v>
      </c>
      <c r="L58" s="33">
        <v>0</v>
      </c>
      <c r="M58">
        <v>3</v>
      </c>
      <c r="N58">
        <v>0</v>
      </c>
      <c r="O58">
        <v>3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2</v>
      </c>
      <c r="AK58">
        <v>1</v>
      </c>
      <c r="AL58">
        <v>3</v>
      </c>
      <c r="AM58">
        <v>2</v>
      </c>
      <c r="AN58" s="22">
        <v>0</v>
      </c>
      <c r="AO58" s="22">
        <v>0</v>
      </c>
      <c r="AP58" s="22">
        <v>0</v>
      </c>
      <c r="AQ58" s="22">
        <v>0</v>
      </c>
      <c r="AR58" s="35">
        <v>0</v>
      </c>
      <c r="AS58" s="35">
        <v>0</v>
      </c>
      <c r="AT58" s="35">
        <v>3</v>
      </c>
      <c r="AU58" s="31" t="str">
        <f t="shared" si="3"/>
        <v>库存为3</v>
      </c>
      <c r="AV58" s="36" t="str">
        <f>IFERROR(时间!$B$4+AU58,"上周无销量")</f>
        <v>上周无销量</v>
      </c>
    </row>
    <row r="59" spans="1:48">
      <c r="A59" s="20" t="s">
        <v>163</v>
      </c>
      <c r="B59" t="s">
        <v>164</v>
      </c>
      <c r="C59" t="s">
        <v>154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3</v>
      </c>
      <c r="J59" s="33">
        <v>0</v>
      </c>
      <c r="K59" s="33">
        <v>0</v>
      </c>
      <c r="L59" s="33">
        <v>0</v>
      </c>
      <c r="M59">
        <v>3</v>
      </c>
      <c r="N59">
        <v>0</v>
      </c>
      <c r="O59">
        <v>3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1</v>
      </c>
      <c r="AK59">
        <v>4</v>
      </c>
      <c r="AL59">
        <v>2</v>
      </c>
      <c r="AM59">
        <v>1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3</v>
      </c>
      <c r="AU59" s="31" t="str">
        <f t="shared" si="3"/>
        <v>库存为3</v>
      </c>
      <c r="AV59" s="36" t="str">
        <f>IFERROR(时间!$B$4+AU59,"上周无销量")</f>
        <v>上周无销量</v>
      </c>
    </row>
    <row r="60" spans="1:48">
      <c r="A60" s="20" t="s">
        <v>165</v>
      </c>
      <c r="B60" t="s">
        <v>166</v>
      </c>
      <c r="C60" t="s">
        <v>154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3</v>
      </c>
      <c r="J60" s="33">
        <v>0</v>
      </c>
      <c r="K60" s="33">
        <v>0</v>
      </c>
      <c r="L60" s="33">
        <v>0</v>
      </c>
      <c r="M60">
        <v>3</v>
      </c>
      <c r="N60">
        <v>0</v>
      </c>
      <c r="O60">
        <v>3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1</v>
      </c>
      <c r="AK60">
        <v>5</v>
      </c>
      <c r="AL60">
        <v>3</v>
      </c>
      <c r="AM60">
        <v>4</v>
      </c>
      <c r="AN60" s="22">
        <v>0</v>
      </c>
      <c r="AO60" s="22">
        <v>0</v>
      </c>
      <c r="AP60" s="22">
        <v>0</v>
      </c>
      <c r="AQ60" s="22">
        <v>0</v>
      </c>
      <c r="AR60" s="35">
        <v>0</v>
      </c>
      <c r="AS60" s="35">
        <v>0</v>
      </c>
      <c r="AT60" s="35">
        <v>3</v>
      </c>
      <c r="AU60" s="31" t="str">
        <f t="shared" si="3"/>
        <v>库存为3</v>
      </c>
      <c r="AV60" s="36" t="str">
        <f>IFERROR(时间!$B$4+AU60,"上周无销量")</f>
        <v>上周无销量</v>
      </c>
    </row>
    <row r="61" spans="1:48">
      <c r="A61" s="20" t="s">
        <v>167</v>
      </c>
      <c r="B61" t="s">
        <v>168</v>
      </c>
      <c r="C61" t="s">
        <v>154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2</v>
      </c>
      <c r="J61" s="33">
        <v>0</v>
      </c>
      <c r="K61" s="33">
        <v>0</v>
      </c>
      <c r="L61" s="33">
        <v>0</v>
      </c>
      <c r="M61">
        <v>2</v>
      </c>
      <c r="N61">
        <v>0</v>
      </c>
      <c r="O61">
        <v>2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2</v>
      </c>
      <c r="AK61">
        <v>2</v>
      </c>
      <c r="AL61">
        <v>3</v>
      </c>
      <c r="AM61">
        <v>2</v>
      </c>
      <c r="AN61" s="22">
        <v>0</v>
      </c>
      <c r="AO61" s="22">
        <v>0</v>
      </c>
      <c r="AP61" s="22">
        <v>0</v>
      </c>
      <c r="AQ61" s="22">
        <v>0</v>
      </c>
      <c r="AR61" s="35">
        <v>0</v>
      </c>
      <c r="AS61" s="35">
        <v>0</v>
      </c>
      <c r="AT61" s="35">
        <v>2</v>
      </c>
      <c r="AU61" s="31" t="str">
        <f t="shared" si="3"/>
        <v>库存为2</v>
      </c>
      <c r="AV61" s="36" t="str">
        <f>IFERROR(时间!$B$4+AU61,"上周无销量")</f>
        <v>上周无销量</v>
      </c>
    </row>
    <row r="62" spans="1:48">
      <c r="A62" s="20" t="s">
        <v>169</v>
      </c>
      <c r="B62" t="s">
        <v>170</v>
      </c>
      <c r="C62" t="s">
        <v>154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3</v>
      </c>
      <c r="J62" s="33">
        <v>0</v>
      </c>
      <c r="K62" s="33">
        <v>0</v>
      </c>
      <c r="L62" s="33">
        <v>0</v>
      </c>
      <c r="M62">
        <v>3</v>
      </c>
      <c r="N62">
        <v>0</v>
      </c>
      <c r="O62">
        <v>3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2</v>
      </c>
      <c r="AK62">
        <v>4</v>
      </c>
      <c r="AL62">
        <v>2</v>
      </c>
      <c r="AM62">
        <v>1</v>
      </c>
      <c r="AN62" s="22">
        <v>0</v>
      </c>
      <c r="AO62" s="22">
        <v>0</v>
      </c>
      <c r="AP62" s="22">
        <v>0</v>
      </c>
      <c r="AQ62" s="22">
        <v>0</v>
      </c>
      <c r="AR62" s="35">
        <v>0</v>
      </c>
      <c r="AS62" s="35">
        <v>0</v>
      </c>
      <c r="AT62" s="35">
        <v>3</v>
      </c>
      <c r="AU62" s="31" t="str">
        <f t="shared" si="3"/>
        <v>库存为3</v>
      </c>
      <c r="AV62" s="36" t="str">
        <f>IFERROR(时间!$B$4+AU62,"上周无销量")</f>
        <v>上周无销量</v>
      </c>
    </row>
    <row r="63" spans="1:48">
      <c r="A63" s="20" t="s">
        <v>171</v>
      </c>
      <c r="B63" t="s">
        <v>172</v>
      </c>
      <c r="C63" t="s">
        <v>173</v>
      </c>
      <c r="D63" s="31">
        <v>0</v>
      </c>
      <c r="E63" s="31">
        <v>1</v>
      </c>
      <c r="F63" s="31">
        <v>0</v>
      </c>
      <c r="G63" s="31">
        <v>0</v>
      </c>
      <c r="H63" s="32">
        <v>16.44</v>
      </c>
      <c r="I63">
        <v>16</v>
      </c>
      <c r="J63" s="33">
        <v>0</v>
      </c>
      <c r="K63" s="33">
        <v>0</v>
      </c>
      <c r="L63" s="33">
        <v>0</v>
      </c>
      <c r="M63">
        <v>16</v>
      </c>
      <c r="N63">
        <v>0</v>
      </c>
      <c r="O63">
        <v>15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7</v>
      </c>
      <c r="AK63">
        <v>5</v>
      </c>
      <c r="AL63">
        <v>2</v>
      </c>
      <c r="AM63">
        <v>2</v>
      </c>
      <c r="AN63" s="22">
        <v>0</v>
      </c>
      <c r="AO63" s="22">
        <v>0.2</v>
      </c>
      <c r="AP63" s="22">
        <v>0</v>
      </c>
      <c r="AQ63" s="22">
        <v>0</v>
      </c>
      <c r="AR63" s="35">
        <v>0</v>
      </c>
      <c r="AS63" s="35">
        <v>0</v>
      </c>
      <c r="AT63" s="35">
        <v>16</v>
      </c>
      <c r="AU63" s="31" t="str">
        <f t="shared" si="3"/>
        <v>库存为16</v>
      </c>
      <c r="AV63" s="36" t="str">
        <f>IFERROR(时间!$B$4+AU63,"上周无销量")</f>
        <v>上周无销量</v>
      </c>
    </row>
    <row r="64" spans="1:48">
      <c r="A64" s="20" t="s">
        <v>174</v>
      </c>
      <c r="B64" t="s">
        <v>175</v>
      </c>
      <c r="C64" t="s">
        <v>173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15</v>
      </c>
      <c r="J64" s="33">
        <v>0</v>
      </c>
      <c r="K64" s="33">
        <v>0</v>
      </c>
      <c r="L64" s="33">
        <v>0</v>
      </c>
      <c r="M64">
        <v>15</v>
      </c>
      <c r="N64">
        <v>0</v>
      </c>
      <c r="O64">
        <v>15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4</v>
      </c>
      <c r="AK64">
        <v>5</v>
      </c>
      <c r="AL64">
        <v>5</v>
      </c>
      <c r="AM64">
        <v>5</v>
      </c>
      <c r="AN64" s="22">
        <v>0</v>
      </c>
      <c r="AO64" s="22">
        <v>0</v>
      </c>
      <c r="AP64" s="22">
        <v>0</v>
      </c>
      <c r="AQ64" s="22">
        <v>0</v>
      </c>
      <c r="AR64" s="35">
        <v>0</v>
      </c>
      <c r="AS64" s="35">
        <v>0</v>
      </c>
      <c r="AT64" s="35">
        <v>15</v>
      </c>
      <c r="AU64" s="31" t="str">
        <f t="shared" si="3"/>
        <v>库存为15</v>
      </c>
      <c r="AV64" s="36" t="str">
        <f>IFERROR(时间!$B$4+AU64,"上周无销量")</f>
        <v>上周无销量</v>
      </c>
    </row>
    <row r="65" spans="1:48">
      <c r="A65" s="20" t="s">
        <v>176</v>
      </c>
      <c r="B65" t="s">
        <v>177</v>
      </c>
      <c r="C65" t="s">
        <v>173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18</v>
      </c>
      <c r="J65" s="33">
        <v>0</v>
      </c>
      <c r="K65" s="33">
        <v>0</v>
      </c>
      <c r="L65" s="33">
        <v>0</v>
      </c>
      <c r="M65">
        <v>18</v>
      </c>
      <c r="N65">
        <v>0</v>
      </c>
      <c r="O65">
        <v>18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7</v>
      </c>
      <c r="AK65">
        <v>6</v>
      </c>
      <c r="AL65">
        <v>3</v>
      </c>
      <c r="AM65">
        <v>2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18</v>
      </c>
      <c r="AU65" s="31" t="str">
        <f t="shared" si="3"/>
        <v>库存为18</v>
      </c>
      <c r="AV65" s="36" t="str">
        <f>IFERROR(时间!$B$4+AU65,"上周无销量")</f>
        <v>上周无销量</v>
      </c>
    </row>
    <row r="66" spans="1:48">
      <c r="A66" s="20" t="s">
        <v>178</v>
      </c>
      <c r="B66" t="s">
        <v>179</v>
      </c>
      <c r="C66" t="s">
        <v>173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18</v>
      </c>
      <c r="J66" s="33">
        <v>0</v>
      </c>
      <c r="K66" s="33">
        <v>0</v>
      </c>
      <c r="L66" s="33">
        <v>0</v>
      </c>
      <c r="M66">
        <v>18</v>
      </c>
      <c r="N66">
        <v>0</v>
      </c>
      <c r="O66">
        <v>18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6</v>
      </c>
      <c r="AK66">
        <v>6</v>
      </c>
      <c r="AL66">
        <v>5</v>
      </c>
      <c r="AM66">
        <v>3</v>
      </c>
      <c r="AN66" s="22">
        <v>0</v>
      </c>
      <c r="AO66" s="22">
        <v>0</v>
      </c>
      <c r="AP66" s="22">
        <v>0</v>
      </c>
      <c r="AQ66" s="22">
        <v>0</v>
      </c>
      <c r="AR66" s="35">
        <v>0</v>
      </c>
      <c r="AS66" s="35">
        <v>0</v>
      </c>
      <c r="AT66" s="35">
        <v>18</v>
      </c>
      <c r="AU66" s="31" t="str">
        <f t="shared" si="3"/>
        <v>库存为18</v>
      </c>
      <c r="AV66" s="36" t="str">
        <f>IFERROR(时间!$B$4+AU66,"上周无销量")</f>
        <v>上周无销量</v>
      </c>
    </row>
    <row r="67" spans="1:48">
      <c r="A67" s="20" t="s">
        <v>180</v>
      </c>
      <c r="B67" t="s">
        <v>181</v>
      </c>
      <c r="C67" t="s">
        <v>173</v>
      </c>
      <c r="D67" s="31">
        <v>0</v>
      </c>
      <c r="E67" s="31">
        <v>1</v>
      </c>
      <c r="F67" s="31">
        <v>1</v>
      </c>
      <c r="G67" s="31">
        <v>0</v>
      </c>
      <c r="H67" s="32">
        <v>29.31</v>
      </c>
      <c r="I67">
        <v>13</v>
      </c>
      <c r="J67" s="33">
        <v>0</v>
      </c>
      <c r="K67" s="33">
        <v>0</v>
      </c>
      <c r="L67" s="33">
        <v>0</v>
      </c>
      <c r="M67">
        <v>13</v>
      </c>
      <c r="N67">
        <v>0</v>
      </c>
      <c r="O67">
        <v>13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4</v>
      </c>
      <c r="AK67">
        <v>4</v>
      </c>
      <c r="AL67">
        <v>3</v>
      </c>
      <c r="AM67">
        <v>1</v>
      </c>
      <c r="AN67" s="22">
        <v>0</v>
      </c>
      <c r="AO67" s="22">
        <v>0.25</v>
      </c>
      <c r="AP67" s="22">
        <v>0.333333333333333</v>
      </c>
      <c r="AQ67" s="22">
        <v>0</v>
      </c>
      <c r="AR67" s="35">
        <v>0</v>
      </c>
      <c r="AS67" s="35">
        <v>0</v>
      </c>
      <c r="AT67" s="35">
        <v>13</v>
      </c>
      <c r="AU67" s="31" t="str">
        <f t="shared" si="3"/>
        <v>库存为13</v>
      </c>
      <c r="AV67" s="36" t="str">
        <f>IFERROR(时间!$B$4+AU67,"上周无销量")</f>
        <v>上周无销量</v>
      </c>
    </row>
    <row r="68" spans="1:48">
      <c r="A68" s="20" t="s">
        <v>182</v>
      </c>
      <c r="B68" t="s">
        <v>183</v>
      </c>
      <c r="C68" t="s">
        <v>173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17</v>
      </c>
      <c r="J68" s="33">
        <v>0</v>
      </c>
      <c r="K68" s="33">
        <v>0</v>
      </c>
      <c r="L68" s="33">
        <v>1</v>
      </c>
      <c r="M68">
        <v>18</v>
      </c>
      <c r="N68">
        <v>0</v>
      </c>
      <c r="O68">
        <v>18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5</v>
      </c>
      <c r="AK68">
        <v>6</v>
      </c>
      <c r="AL68">
        <v>6</v>
      </c>
      <c r="AM68">
        <v>2</v>
      </c>
      <c r="AN68" s="22">
        <v>0</v>
      </c>
      <c r="AO68" s="22">
        <v>0</v>
      </c>
      <c r="AP68" s="22">
        <v>0</v>
      </c>
      <c r="AQ68" s="22">
        <v>0</v>
      </c>
      <c r="AR68" s="35">
        <v>0</v>
      </c>
      <c r="AS68" s="35">
        <v>0</v>
      </c>
      <c r="AT68" s="35">
        <v>18</v>
      </c>
      <c r="AU68" s="31" t="str">
        <f t="shared" si="3"/>
        <v>库存为18</v>
      </c>
      <c r="AV68" s="36" t="str">
        <f>IFERROR(时间!$B$4+AU68,"上周无销量")</f>
        <v>上周无销量</v>
      </c>
    </row>
    <row r="69" spans="1:48">
      <c r="A69" s="20" t="s">
        <v>184</v>
      </c>
      <c r="B69" t="s">
        <v>185</v>
      </c>
      <c r="C69" t="s">
        <v>173</v>
      </c>
      <c r="D69" s="31">
        <v>1</v>
      </c>
      <c r="E69" s="31">
        <v>0</v>
      </c>
      <c r="F69" s="31">
        <v>0</v>
      </c>
      <c r="G69" s="31">
        <v>0</v>
      </c>
      <c r="H69" s="32">
        <v>15.85</v>
      </c>
      <c r="I69">
        <v>12</v>
      </c>
      <c r="J69" s="33">
        <v>0</v>
      </c>
      <c r="K69" s="33">
        <v>0</v>
      </c>
      <c r="L69" s="33">
        <v>1</v>
      </c>
      <c r="M69">
        <v>13</v>
      </c>
      <c r="N69">
        <v>0</v>
      </c>
      <c r="O69">
        <v>14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13</v>
      </c>
      <c r="AK69">
        <v>5</v>
      </c>
      <c r="AL69">
        <v>5</v>
      </c>
      <c r="AM69">
        <v>4</v>
      </c>
      <c r="AN69" s="22">
        <v>0.0769230769230769</v>
      </c>
      <c r="AO69" s="22">
        <v>0</v>
      </c>
      <c r="AP69" s="22">
        <v>0</v>
      </c>
      <c r="AQ69" s="22">
        <v>0</v>
      </c>
      <c r="AR69" s="35">
        <v>0.142857142857143</v>
      </c>
      <c r="AS69" s="35">
        <v>8.57142857142857</v>
      </c>
      <c r="AT69" s="35">
        <v>4.42857142857143</v>
      </c>
      <c r="AU69" s="31">
        <f t="shared" ref="AU69:AU132" si="5">IF(AR69="","库存为"&amp;M69,IF(AS69=0,"库存为"&amp;M69,INT(M69/AR69)))</f>
        <v>91</v>
      </c>
      <c r="AV69" s="36">
        <f>IFERROR(时间!$B$4+AU69,"上周无销量")</f>
        <v>43409</v>
      </c>
    </row>
    <row r="70" spans="1:48">
      <c r="A70" s="20" t="s">
        <v>186</v>
      </c>
      <c r="B70" t="s">
        <v>187</v>
      </c>
      <c r="C70" t="s">
        <v>173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11</v>
      </c>
      <c r="J70" s="33">
        <v>0</v>
      </c>
      <c r="K70" s="33">
        <v>0</v>
      </c>
      <c r="L70" s="33">
        <v>1</v>
      </c>
      <c r="M70">
        <v>12</v>
      </c>
      <c r="N70">
        <v>0</v>
      </c>
      <c r="O70">
        <v>12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13</v>
      </c>
      <c r="AK70">
        <v>9</v>
      </c>
      <c r="AL70">
        <v>13</v>
      </c>
      <c r="AM70">
        <v>1</v>
      </c>
      <c r="AN70" s="22">
        <v>0</v>
      </c>
      <c r="AO70" s="22">
        <v>0</v>
      </c>
      <c r="AP70" s="22">
        <v>0</v>
      </c>
      <c r="AQ70" s="22">
        <v>0</v>
      </c>
      <c r="AR70" s="35">
        <v>0</v>
      </c>
      <c r="AS70" s="35">
        <v>0</v>
      </c>
      <c r="AT70" s="35">
        <v>12</v>
      </c>
      <c r="AU70" s="31" t="str">
        <f t="shared" si="5"/>
        <v>库存为12</v>
      </c>
      <c r="AV70" s="36" t="str">
        <f>IFERROR(时间!$B$4+AU70,"上周无销量")</f>
        <v>上周无销量</v>
      </c>
    </row>
    <row r="71" spans="1:48">
      <c r="A71" s="20" t="s">
        <v>188</v>
      </c>
      <c r="B71" t="s">
        <v>189</v>
      </c>
      <c r="C71" t="s">
        <v>190</v>
      </c>
      <c r="D71" s="31">
        <v>1</v>
      </c>
      <c r="E71" s="31">
        <v>1</v>
      </c>
      <c r="F71" s="31">
        <v>0</v>
      </c>
      <c r="G71" s="31">
        <v>0</v>
      </c>
      <c r="H71" s="32">
        <v>19.99</v>
      </c>
      <c r="I71">
        <v>24</v>
      </c>
      <c r="J71" s="33">
        <v>0</v>
      </c>
      <c r="K71" s="33">
        <v>0</v>
      </c>
      <c r="L71" s="33">
        <v>0</v>
      </c>
      <c r="M71">
        <v>24</v>
      </c>
      <c r="N71">
        <v>0</v>
      </c>
      <c r="O71">
        <v>24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13</v>
      </c>
      <c r="AK71">
        <v>11</v>
      </c>
      <c r="AL71">
        <v>7</v>
      </c>
      <c r="AM71">
        <v>5</v>
      </c>
      <c r="AN71" s="22">
        <v>0.0769230769230769</v>
      </c>
      <c r="AO71" s="22">
        <v>0.0909090909090909</v>
      </c>
      <c r="AP71" s="22">
        <v>0</v>
      </c>
      <c r="AQ71" s="22">
        <v>0</v>
      </c>
      <c r="AR71" s="35">
        <v>0.142857142857143</v>
      </c>
      <c r="AS71" s="35">
        <v>8.57142857142857</v>
      </c>
      <c r="AT71" s="35">
        <v>15.4285714285714</v>
      </c>
      <c r="AU71" s="31">
        <f t="shared" si="5"/>
        <v>168</v>
      </c>
      <c r="AV71" s="36">
        <f>IFERROR(时间!$B$4+AU71,"上周无销量")</f>
        <v>43486</v>
      </c>
    </row>
    <row r="72" spans="1:48">
      <c r="A72" s="20" t="s">
        <v>191</v>
      </c>
      <c r="B72" t="s">
        <v>192</v>
      </c>
      <c r="C72" t="s">
        <v>190</v>
      </c>
      <c r="D72" s="31">
        <v>0</v>
      </c>
      <c r="E72" s="31">
        <v>0</v>
      </c>
      <c r="F72" s="31">
        <v>1</v>
      </c>
      <c r="G72" s="31">
        <v>0</v>
      </c>
      <c r="H72" s="32">
        <v>23.99</v>
      </c>
      <c r="I72">
        <v>25</v>
      </c>
      <c r="J72" s="33">
        <v>0</v>
      </c>
      <c r="K72" s="33">
        <v>0</v>
      </c>
      <c r="L72" s="33">
        <v>0</v>
      </c>
      <c r="M72">
        <v>25</v>
      </c>
      <c r="N72">
        <v>0</v>
      </c>
      <c r="O72">
        <v>24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18</v>
      </c>
      <c r="AK72">
        <v>16</v>
      </c>
      <c r="AL72">
        <v>14</v>
      </c>
      <c r="AM72">
        <v>11</v>
      </c>
      <c r="AN72" s="22">
        <v>0</v>
      </c>
      <c r="AO72" s="22">
        <v>0</v>
      </c>
      <c r="AP72" s="22">
        <v>0.0714285714285714</v>
      </c>
      <c r="AQ72" s="22">
        <v>0</v>
      </c>
      <c r="AR72" s="35">
        <v>0</v>
      </c>
      <c r="AS72" s="35">
        <v>0</v>
      </c>
      <c r="AT72" s="35">
        <v>25</v>
      </c>
      <c r="AU72" s="31" t="str">
        <f t="shared" si="5"/>
        <v>库存为25</v>
      </c>
      <c r="AV72" s="36" t="str">
        <f>IFERROR(时间!$B$4+AU72,"上周无销量")</f>
        <v>上周无销量</v>
      </c>
    </row>
    <row r="73" spans="1:48">
      <c r="A73" s="20" t="s">
        <v>193</v>
      </c>
      <c r="B73" t="s">
        <v>194</v>
      </c>
      <c r="C73" t="s">
        <v>190</v>
      </c>
      <c r="D73" s="31">
        <v>0</v>
      </c>
      <c r="E73" s="31">
        <v>0</v>
      </c>
      <c r="F73" s="31">
        <v>1</v>
      </c>
      <c r="G73" s="31">
        <v>1</v>
      </c>
      <c r="H73" s="32">
        <v>25.99</v>
      </c>
      <c r="I73">
        <v>8</v>
      </c>
      <c r="J73" s="33">
        <v>0</v>
      </c>
      <c r="K73" s="33">
        <v>0</v>
      </c>
      <c r="L73" s="33">
        <v>0</v>
      </c>
      <c r="M73">
        <v>8</v>
      </c>
      <c r="N73">
        <v>0</v>
      </c>
      <c r="O73">
        <v>7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11</v>
      </c>
      <c r="AK73">
        <v>9</v>
      </c>
      <c r="AL73">
        <v>7</v>
      </c>
      <c r="AM73">
        <v>7</v>
      </c>
      <c r="AN73" s="22">
        <v>0</v>
      </c>
      <c r="AO73" s="22">
        <v>0</v>
      </c>
      <c r="AP73" s="22">
        <v>0.142857142857143</v>
      </c>
      <c r="AQ73" s="22">
        <v>0.142857142857143</v>
      </c>
      <c r="AR73" s="35">
        <v>0</v>
      </c>
      <c r="AS73" s="35">
        <v>0</v>
      </c>
      <c r="AT73" s="35">
        <v>8</v>
      </c>
      <c r="AU73" s="31" t="str">
        <f t="shared" si="5"/>
        <v>库存为8</v>
      </c>
      <c r="AV73" s="36" t="str">
        <f>IFERROR(时间!$B$4+AU73,"上周无销量")</f>
        <v>上周无销量</v>
      </c>
    </row>
    <row r="74" spans="1:48">
      <c r="A74" s="20" t="s">
        <v>195</v>
      </c>
      <c r="B74" t="s">
        <v>196</v>
      </c>
      <c r="C74" t="s">
        <v>190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8</v>
      </c>
      <c r="J74" s="33">
        <v>0</v>
      </c>
      <c r="K74" s="33">
        <v>0</v>
      </c>
      <c r="L74" s="33">
        <v>0</v>
      </c>
      <c r="M74">
        <v>8</v>
      </c>
      <c r="N74">
        <v>0</v>
      </c>
      <c r="O74">
        <v>8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5</v>
      </c>
      <c r="AK74">
        <v>9</v>
      </c>
      <c r="AL74">
        <v>3</v>
      </c>
      <c r="AM74">
        <v>4</v>
      </c>
      <c r="AN74" s="22">
        <v>0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8</v>
      </c>
      <c r="AU74" s="31" t="str">
        <f t="shared" si="5"/>
        <v>库存为8</v>
      </c>
      <c r="AV74" s="36" t="str">
        <f>IFERROR(时间!$B$4+AU74,"上周无销量")</f>
        <v>上周无销量</v>
      </c>
    </row>
    <row r="75" spans="1:48">
      <c r="A75" s="20" t="s">
        <v>197</v>
      </c>
      <c r="B75" t="s">
        <v>198</v>
      </c>
      <c r="C75" t="s">
        <v>190</v>
      </c>
      <c r="D75" s="31">
        <v>0</v>
      </c>
      <c r="E75" s="31">
        <v>0</v>
      </c>
      <c r="F75" s="31">
        <v>0</v>
      </c>
      <c r="G75" s="31">
        <v>1</v>
      </c>
      <c r="H75" s="32">
        <v>30.99</v>
      </c>
      <c r="I75">
        <v>5</v>
      </c>
      <c r="J75" s="33">
        <v>0</v>
      </c>
      <c r="K75" s="33">
        <v>0</v>
      </c>
      <c r="L75" s="33">
        <v>0</v>
      </c>
      <c r="M75">
        <v>5</v>
      </c>
      <c r="N75">
        <v>0</v>
      </c>
      <c r="O75">
        <v>1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11</v>
      </c>
      <c r="AK75">
        <v>10</v>
      </c>
      <c r="AL75">
        <v>5</v>
      </c>
      <c r="AM75">
        <v>7</v>
      </c>
      <c r="AN75" s="22">
        <v>0</v>
      </c>
      <c r="AO75" s="22">
        <v>0</v>
      </c>
      <c r="AP75" s="22">
        <v>0</v>
      </c>
      <c r="AQ75" s="22">
        <v>0.142857142857143</v>
      </c>
      <c r="AR75" s="35">
        <v>0</v>
      </c>
      <c r="AS75" s="35">
        <v>0</v>
      </c>
      <c r="AT75" s="35">
        <v>5</v>
      </c>
      <c r="AU75" s="31" t="str">
        <f t="shared" si="5"/>
        <v>库存为5</v>
      </c>
      <c r="AV75" s="36" t="str">
        <f>IFERROR(时间!$B$4+AU75,"上周无销量")</f>
        <v>上周无销量</v>
      </c>
    </row>
    <row r="76" spans="1:48">
      <c r="A76" s="20" t="s">
        <v>199</v>
      </c>
      <c r="B76" t="s">
        <v>200</v>
      </c>
      <c r="C76" t="s">
        <v>190</v>
      </c>
      <c r="D76" s="31">
        <v>0</v>
      </c>
      <c r="E76" s="31">
        <v>0</v>
      </c>
      <c r="F76" s="31">
        <v>2</v>
      </c>
      <c r="G76" s="31">
        <v>0</v>
      </c>
      <c r="H76" s="32">
        <v>8.99</v>
      </c>
      <c r="I76">
        <v>21</v>
      </c>
      <c r="J76" s="33">
        <v>0</v>
      </c>
      <c r="K76" s="33">
        <v>0</v>
      </c>
      <c r="L76" s="33">
        <v>0</v>
      </c>
      <c r="M76">
        <v>21</v>
      </c>
      <c r="N76">
        <v>0</v>
      </c>
      <c r="O76">
        <v>21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14</v>
      </c>
      <c r="AK76">
        <v>17</v>
      </c>
      <c r="AL76">
        <v>7</v>
      </c>
      <c r="AM76">
        <v>7</v>
      </c>
      <c r="AN76" s="22">
        <v>0</v>
      </c>
      <c r="AO76" s="22">
        <v>0</v>
      </c>
      <c r="AP76" s="22">
        <v>0.285714285714286</v>
      </c>
      <c r="AQ76" s="22">
        <v>0</v>
      </c>
      <c r="AR76" s="35">
        <v>0</v>
      </c>
      <c r="AS76" s="35">
        <v>0</v>
      </c>
      <c r="AT76" s="35">
        <v>21</v>
      </c>
      <c r="AU76" s="31" t="str">
        <f t="shared" si="5"/>
        <v>库存为21</v>
      </c>
      <c r="AV76" s="36" t="str">
        <f>IFERROR(时间!$B$4+AU76,"上周无销量")</f>
        <v>上周无销量</v>
      </c>
    </row>
    <row r="77" spans="1:48">
      <c r="A77" s="20" t="s">
        <v>201</v>
      </c>
      <c r="B77" t="s">
        <v>202</v>
      </c>
      <c r="C77" t="s">
        <v>190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11</v>
      </c>
      <c r="J77" s="33">
        <v>0</v>
      </c>
      <c r="K77" s="33">
        <v>1</v>
      </c>
      <c r="L77" s="33">
        <v>0</v>
      </c>
      <c r="M77">
        <v>12</v>
      </c>
      <c r="N77">
        <v>0</v>
      </c>
      <c r="O77">
        <v>0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9</v>
      </c>
      <c r="AK77">
        <v>10</v>
      </c>
      <c r="AL77">
        <v>11</v>
      </c>
      <c r="AM77">
        <v>15</v>
      </c>
      <c r="AN77" s="22">
        <v>0</v>
      </c>
      <c r="AO77" s="22">
        <v>0</v>
      </c>
      <c r="AP77" s="22">
        <v>0</v>
      </c>
      <c r="AQ77" s="22">
        <v>0</v>
      </c>
      <c r="AR77" s="35">
        <v>0</v>
      </c>
      <c r="AS77" s="35">
        <v>0</v>
      </c>
      <c r="AT77" s="35">
        <v>12</v>
      </c>
      <c r="AU77" s="31" t="str">
        <f t="shared" si="5"/>
        <v>库存为12</v>
      </c>
      <c r="AV77" s="36" t="str">
        <f>IFERROR(时间!$B$4+AU77,"上周无销量")</f>
        <v>上周无销量</v>
      </c>
    </row>
    <row r="78" spans="1:48">
      <c r="A78" s="20" t="s">
        <v>203</v>
      </c>
      <c r="B78" t="s">
        <v>204</v>
      </c>
      <c r="C78" t="s">
        <v>190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23</v>
      </c>
      <c r="J78" s="33">
        <v>0</v>
      </c>
      <c r="K78" s="33">
        <v>0</v>
      </c>
      <c r="L78" s="33">
        <v>0</v>
      </c>
      <c r="M78">
        <v>23</v>
      </c>
      <c r="N78">
        <v>1</v>
      </c>
      <c r="O78">
        <v>23</v>
      </c>
      <c r="P78" t="s">
        <v>53</v>
      </c>
      <c r="Q78" t="s">
        <v>53</v>
      </c>
      <c r="R78" t="s">
        <v>53</v>
      </c>
      <c r="S78" t="s">
        <v>53</v>
      </c>
      <c r="T78" t="s">
        <v>53</v>
      </c>
      <c r="U78" t="s">
        <v>53</v>
      </c>
      <c r="V78" t="s">
        <v>53</v>
      </c>
      <c r="W78" t="s">
        <v>53</v>
      </c>
      <c r="X78" s="22" t="s">
        <v>53</v>
      </c>
      <c r="Y78" s="22" t="s">
        <v>53</v>
      </c>
      <c r="Z78" s="22" t="s">
        <v>53</v>
      </c>
      <c r="AA78" s="22" t="s">
        <v>53</v>
      </c>
      <c r="AB78" t="s">
        <v>53</v>
      </c>
      <c r="AC78" t="s">
        <v>53</v>
      </c>
      <c r="AD78" t="s">
        <v>53</v>
      </c>
      <c r="AE78" t="s">
        <v>53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31</v>
      </c>
      <c r="AK78">
        <v>18</v>
      </c>
      <c r="AL78">
        <v>16</v>
      </c>
      <c r="AM78">
        <v>16</v>
      </c>
      <c r="AN78" s="22">
        <v>0</v>
      </c>
      <c r="AO78" s="22">
        <v>0</v>
      </c>
      <c r="AP78" s="22">
        <v>0</v>
      </c>
      <c r="AQ78" s="22">
        <v>0</v>
      </c>
      <c r="AR78" s="35">
        <v>0</v>
      </c>
      <c r="AS78" s="35">
        <v>0</v>
      </c>
      <c r="AT78" s="35">
        <v>23</v>
      </c>
      <c r="AU78" s="31" t="str">
        <f t="shared" si="5"/>
        <v>库存为23</v>
      </c>
      <c r="AV78" s="36" t="str">
        <f>IFERROR(时间!$B$4+AU78,"上周无销量")</f>
        <v>上周无销量</v>
      </c>
    </row>
    <row r="79" spans="1:48">
      <c r="A79" s="20" t="s">
        <v>205</v>
      </c>
      <c r="B79" t="s">
        <v>206</v>
      </c>
      <c r="C79" t="s">
        <v>207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11</v>
      </c>
      <c r="J79" s="33">
        <v>0</v>
      </c>
      <c r="K79" s="33">
        <v>0</v>
      </c>
      <c r="L79" s="33">
        <v>1</v>
      </c>
      <c r="M79">
        <v>12</v>
      </c>
      <c r="N79">
        <v>0</v>
      </c>
      <c r="O79">
        <v>12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0</v>
      </c>
      <c r="AK79">
        <v>2</v>
      </c>
      <c r="AL79">
        <v>2</v>
      </c>
      <c r="AM79">
        <v>5</v>
      </c>
      <c r="AN79" s="22" t="s">
        <v>53</v>
      </c>
      <c r="AO79" s="22">
        <v>0</v>
      </c>
      <c r="AP79" s="22">
        <v>0</v>
      </c>
      <c r="AQ79" s="22">
        <v>0</v>
      </c>
      <c r="AR79" s="35">
        <v>0</v>
      </c>
      <c r="AS79" s="35">
        <v>0</v>
      </c>
      <c r="AT79" s="35">
        <v>12</v>
      </c>
      <c r="AU79" s="31" t="str">
        <f t="shared" si="5"/>
        <v>库存为12</v>
      </c>
      <c r="AV79" s="36" t="str">
        <f>IFERROR(时间!$B$4+AU79,"上周无销量")</f>
        <v>上周无销量</v>
      </c>
    </row>
    <row r="80" spans="1:48">
      <c r="A80" s="20" t="s">
        <v>208</v>
      </c>
      <c r="B80" t="s">
        <v>209</v>
      </c>
      <c r="C80" t="s">
        <v>207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12</v>
      </c>
      <c r="J80" s="33">
        <v>0</v>
      </c>
      <c r="K80" s="33">
        <v>0</v>
      </c>
      <c r="L80" s="33">
        <v>0</v>
      </c>
      <c r="M80">
        <v>12</v>
      </c>
      <c r="N80">
        <v>0</v>
      </c>
      <c r="O80">
        <v>12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4</v>
      </c>
      <c r="AK80">
        <v>2</v>
      </c>
      <c r="AL80">
        <v>2</v>
      </c>
      <c r="AM80">
        <v>6</v>
      </c>
      <c r="AN80" s="22">
        <v>0</v>
      </c>
      <c r="AO80" s="22">
        <v>0</v>
      </c>
      <c r="AP80" s="22">
        <v>0</v>
      </c>
      <c r="AQ80" s="22">
        <v>0</v>
      </c>
      <c r="AR80" s="35">
        <v>0</v>
      </c>
      <c r="AS80" s="35">
        <v>0</v>
      </c>
      <c r="AT80" s="35">
        <v>12</v>
      </c>
      <c r="AU80" s="31" t="str">
        <f t="shared" si="5"/>
        <v>库存为12</v>
      </c>
      <c r="AV80" s="36" t="str">
        <f>IFERROR(时间!$B$4+AU80,"上周无销量")</f>
        <v>上周无销量</v>
      </c>
    </row>
    <row r="81" spans="1:48">
      <c r="A81" s="20" t="s">
        <v>210</v>
      </c>
      <c r="B81" t="s">
        <v>211</v>
      </c>
      <c r="C81" t="s">
        <v>207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9</v>
      </c>
      <c r="J81" s="33">
        <v>0</v>
      </c>
      <c r="K81" s="33">
        <v>0</v>
      </c>
      <c r="L81" s="33">
        <v>0</v>
      </c>
      <c r="M81">
        <v>9</v>
      </c>
      <c r="N81">
        <v>0</v>
      </c>
      <c r="O81">
        <v>9</v>
      </c>
      <c r="P81">
        <v>117</v>
      </c>
      <c r="Q81">
        <v>144</v>
      </c>
      <c r="R81">
        <v>0</v>
      </c>
      <c r="S81">
        <v>0</v>
      </c>
      <c r="T81">
        <v>0</v>
      </c>
      <c r="U81">
        <v>1</v>
      </c>
      <c r="V81">
        <v>0</v>
      </c>
      <c r="W81">
        <v>0</v>
      </c>
      <c r="X81" s="22">
        <v>0</v>
      </c>
      <c r="Y81" s="22">
        <v>0.00694444444444444</v>
      </c>
      <c r="Z81" s="22" t="s">
        <v>53</v>
      </c>
      <c r="AA81" s="22" t="s">
        <v>53</v>
      </c>
      <c r="AB81">
        <v>0</v>
      </c>
      <c r="AC81">
        <v>0.45</v>
      </c>
      <c r="AD81">
        <v>0</v>
      </c>
      <c r="AE81">
        <v>0</v>
      </c>
      <c r="AF81" s="22" t="s">
        <v>53</v>
      </c>
      <c r="AG81" s="22" t="s">
        <v>212</v>
      </c>
      <c r="AH81" s="22" t="s">
        <v>53</v>
      </c>
      <c r="AI81" s="22" t="s">
        <v>53</v>
      </c>
      <c r="AJ81">
        <v>1</v>
      </c>
      <c r="AK81">
        <v>3</v>
      </c>
      <c r="AL81">
        <v>5</v>
      </c>
      <c r="AM81">
        <v>2</v>
      </c>
      <c r="AN81" s="22">
        <v>0</v>
      </c>
      <c r="AO81" s="22">
        <v>0</v>
      </c>
      <c r="AP81" s="22">
        <v>0</v>
      </c>
      <c r="AQ81" s="22">
        <v>0</v>
      </c>
      <c r="AR81" s="35">
        <v>0</v>
      </c>
      <c r="AS81" s="35">
        <v>0</v>
      </c>
      <c r="AT81" s="35">
        <v>9</v>
      </c>
      <c r="AU81" s="31" t="str">
        <f t="shared" si="5"/>
        <v>库存为9</v>
      </c>
      <c r="AV81" s="36" t="str">
        <f>IFERROR(时间!$B$4+AU81,"上周无销量")</f>
        <v>上周无销量</v>
      </c>
    </row>
    <row r="82" spans="1:48">
      <c r="A82" s="20" t="s">
        <v>213</v>
      </c>
      <c r="B82" t="s">
        <v>214</v>
      </c>
      <c r="C82" t="s">
        <v>215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3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3</v>
      </c>
      <c r="AK82">
        <v>4</v>
      </c>
      <c r="AL82">
        <v>0</v>
      </c>
      <c r="AM82">
        <v>4</v>
      </c>
      <c r="AN82" s="22">
        <v>0</v>
      </c>
      <c r="AO82" s="22">
        <v>0</v>
      </c>
      <c r="AP82" s="22" t="s">
        <v>53</v>
      </c>
      <c r="AQ82" s="22">
        <v>0</v>
      </c>
      <c r="AR82" s="35">
        <v>0</v>
      </c>
      <c r="AS82" s="35">
        <v>0</v>
      </c>
      <c r="AT82" s="35">
        <v>3</v>
      </c>
      <c r="AU82" s="31" t="str">
        <f t="shared" si="5"/>
        <v>库存为3</v>
      </c>
      <c r="AV82" s="36" t="str">
        <f>IFERROR(时间!$B$4+AU82,"上周无销量")</f>
        <v>上周无销量</v>
      </c>
    </row>
    <row r="83" spans="1:48">
      <c r="A83" s="20" t="s">
        <v>216</v>
      </c>
      <c r="B83" t="s">
        <v>217</v>
      </c>
      <c r="C83" t="s">
        <v>215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3</v>
      </c>
      <c r="J83" s="33">
        <v>0</v>
      </c>
      <c r="K83" s="33">
        <v>0</v>
      </c>
      <c r="L83" s="33">
        <v>0</v>
      </c>
      <c r="M83">
        <v>3</v>
      </c>
      <c r="N83">
        <v>0</v>
      </c>
      <c r="O83">
        <v>3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1</v>
      </c>
      <c r="AK83">
        <v>4</v>
      </c>
      <c r="AL83">
        <v>0</v>
      </c>
      <c r="AM83">
        <v>2</v>
      </c>
      <c r="AN83" s="22">
        <v>0</v>
      </c>
      <c r="AO83" s="22">
        <v>0</v>
      </c>
      <c r="AP83" s="22" t="s">
        <v>53</v>
      </c>
      <c r="AQ83" s="22">
        <v>0</v>
      </c>
      <c r="AR83" s="35">
        <v>0</v>
      </c>
      <c r="AS83" s="35">
        <v>0</v>
      </c>
      <c r="AT83" s="35">
        <v>3</v>
      </c>
      <c r="AU83" s="31" t="str">
        <f t="shared" si="5"/>
        <v>库存为3</v>
      </c>
      <c r="AV83" s="36" t="str">
        <f>IFERROR(时间!$B$4+AU83,"上周无销量")</f>
        <v>上周无销量</v>
      </c>
    </row>
    <row r="84" spans="1:48">
      <c r="A84" s="20" t="s">
        <v>218</v>
      </c>
      <c r="B84" t="s">
        <v>219</v>
      </c>
      <c r="C84" t="s">
        <v>215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2</v>
      </c>
      <c r="J84" s="33">
        <v>0</v>
      </c>
      <c r="K84" s="33">
        <v>0</v>
      </c>
      <c r="L84" s="33">
        <v>0</v>
      </c>
      <c r="M84">
        <v>2</v>
      </c>
      <c r="N84">
        <v>0</v>
      </c>
      <c r="O84">
        <v>2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1</v>
      </c>
      <c r="AK84">
        <v>1</v>
      </c>
      <c r="AL84">
        <v>0</v>
      </c>
      <c r="AM84">
        <v>2</v>
      </c>
      <c r="AN84" s="22">
        <v>0</v>
      </c>
      <c r="AO84" s="22">
        <v>0</v>
      </c>
      <c r="AP84" s="22" t="s">
        <v>53</v>
      </c>
      <c r="AQ84" s="22">
        <v>0</v>
      </c>
      <c r="AR84" s="35">
        <v>0</v>
      </c>
      <c r="AS84" s="35">
        <v>0</v>
      </c>
      <c r="AT84" s="35">
        <v>2</v>
      </c>
      <c r="AU84" s="31" t="str">
        <f t="shared" si="5"/>
        <v>库存为2</v>
      </c>
      <c r="AV84" s="36" t="str">
        <f>IFERROR(时间!$B$4+AU84,"上周无销量")</f>
        <v>上周无销量</v>
      </c>
    </row>
    <row r="85" spans="1:48">
      <c r="A85" s="20" t="s">
        <v>220</v>
      </c>
      <c r="B85" t="s">
        <v>221</v>
      </c>
      <c r="C85" t="s">
        <v>215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3</v>
      </c>
      <c r="J85" s="33">
        <v>0</v>
      </c>
      <c r="K85" s="33">
        <v>0</v>
      </c>
      <c r="L85" s="33">
        <v>0</v>
      </c>
      <c r="M85">
        <v>3</v>
      </c>
      <c r="N85">
        <v>0</v>
      </c>
      <c r="O85">
        <v>3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1</v>
      </c>
      <c r="AK85">
        <v>5</v>
      </c>
      <c r="AL85">
        <v>0</v>
      </c>
      <c r="AM85">
        <v>2</v>
      </c>
      <c r="AN85" s="22">
        <v>0</v>
      </c>
      <c r="AO85" s="22">
        <v>0</v>
      </c>
      <c r="AP85" s="22" t="s">
        <v>53</v>
      </c>
      <c r="AQ85" s="22">
        <v>0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20" t="s">
        <v>222</v>
      </c>
      <c r="B86" t="s">
        <v>223</v>
      </c>
      <c r="C86" t="s">
        <v>215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3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1</v>
      </c>
      <c r="AK86">
        <v>2</v>
      </c>
      <c r="AL86">
        <v>4</v>
      </c>
      <c r="AM86">
        <v>3</v>
      </c>
      <c r="AN86" s="22">
        <v>0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0" t="s">
        <v>224</v>
      </c>
      <c r="B87" t="s">
        <v>225</v>
      </c>
      <c r="C87" t="s">
        <v>215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3</v>
      </c>
      <c r="J87" s="33">
        <v>0</v>
      </c>
      <c r="K87" s="33">
        <v>0</v>
      </c>
      <c r="L87" s="33">
        <v>0</v>
      </c>
      <c r="M87">
        <v>3</v>
      </c>
      <c r="N87">
        <v>0</v>
      </c>
      <c r="O87">
        <v>3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1</v>
      </c>
      <c r="AK87">
        <v>2</v>
      </c>
      <c r="AL87">
        <v>3</v>
      </c>
      <c r="AM87">
        <v>3</v>
      </c>
      <c r="AN87" s="22">
        <v>0</v>
      </c>
      <c r="AO87" s="22">
        <v>0</v>
      </c>
      <c r="AP87" s="22">
        <v>0</v>
      </c>
      <c r="AQ87" s="22">
        <v>0</v>
      </c>
      <c r="AR87" s="35">
        <v>0</v>
      </c>
      <c r="AS87" s="35">
        <v>0</v>
      </c>
      <c r="AT87" s="35">
        <v>3</v>
      </c>
      <c r="AU87" s="31" t="str">
        <f t="shared" si="5"/>
        <v>库存为3</v>
      </c>
      <c r="AV87" s="36" t="str">
        <f>IFERROR(时间!$B$4+AU87,"上周无销量")</f>
        <v>上周无销量</v>
      </c>
    </row>
    <row r="88" spans="1:48">
      <c r="A88" s="20" t="s">
        <v>226</v>
      </c>
      <c r="B88" t="s">
        <v>227</v>
      </c>
      <c r="C88" t="s">
        <v>215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3</v>
      </c>
      <c r="J88" s="33">
        <v>0</v>
      </c>
      <c r="K88" s="33">
        <v>0</v>
      </c>
      <c r="L88" s="33">
        <v>0</v>
      </c>
      <c r="M88">
        <v>3</v>
      </c>
      <c r="N88">
        <v>0</v>
      </c>
      <c r="O88">
        <v>3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3</v>
      </c>
      <c r="AK88">
        <v>4</v>
      </c>
      <c r="AL88">
        <v>0</v>
      </c>
      <c r="AM88">
        <v>3</v>
      </c>
      <c r="AN88" s="22">
        <v>0</v>
      </c>
      <c r="AO88" s="22">
        <v>0</v>
      </c>
      <c r="AP88" s="22" t="s">
        <v>53</v>
      </c>
      <c r="AQ88" s="22">
        <v>0</v>
      </c>
      <c r="AR88" s="35">
        <v>0</v>
      </c>
      <c r="AS88" s="35">
        <v>0</v>
      </c>
      <c r="AT88" s="35">
        <v>3</v>
      </c>
      <c r="AU88" s="31" t="str">
        <f t="shared" si="5"/>
        <v>库存为3</v>
      </c>
      <c r="AV88" s="36" t="str">
        <f>IFERROR(时间!$B$4+AU88,"上周无销量")</f>
        <v>上周无销量</v>
      </c>
    </row>
    <row r="89" spans="1:48">
      <c r="A89" s="20" t="s">
        <v>228</v>
      </c>
      <c r="B89" t="s">
        <v>229</v>
      </c>
      <c r="C89" t="s">
        <v>215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3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1</v>
      </c>
      <c r="AK89">
        <v>4</v>
      </c>
      <c r="AL89">
        <v>3</v>
      </c>
      <c r="AM89">
        <v>2</v>
      </c>
      <c r="AN89" s="22">
        <v>0</v>
      </c>
      <c r="AO89" s="22">
        <v>0</v>
      </c>
      <c r="AP89" s="22">
        <v>0</v>
      </c>
      <c r="AQ89" s="22">
        <v>0</v>
      </c>
      <c r="AR89" s="35">
        <v>0</v>
      </c>
      <c r="AS89" s="35">
        <v>0</v>
      </c>
      <c r="AT89" s="35">
        <v>3</v>
      </c>
      <c r="AU89" s="31" t="str">
        <f t="shared" si="5"/>
        <v>库存为3</v>
      </c>
      <c r="AV89" s="36" t="str">
        <f>IFERROR(时间!$B$4+AU89,"上周无销量")</f>
        <v>上周无销量</v>
      </c>
    </row>
    <row r="90" spans="1:48">
      <c r="A90" s="20" t="s">
        <v>230</v>
      </c>
      <c r="B90" t="s">
        <v>231</v>
      </c>
      <c r="C90" t="s">
        <v>215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3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1</v>
      </c>
      <c r="AK90">
        <v>3</v>
      </c>
      <c r="AL90">
        <v>1</v>
      </c>
      <c r="AM90">
        <v>2</v>
      </c>
      <c r="AN90" s="22">
        <v>0</v>
      </c>
      <c r="AO90" s="22">
        <v>0</v>
      </c>
      <c r="AP90" s="22">
        <v>0</v>
      </c>
      <c r="AQ90" s="22">
        <v>0</v>
      </c>
      <c r="AR90" s="35">
        <v>0</v>
      </c>
      <c r="AS90" s="35">
        <v>0</v>
      </c>
      <c r="AT90" s="35">
        <v>3</v>
      </c>
      <c r="AU90" s="31" t="str">
        <f t="shared" si="5"/>
        <v>库存为3</v>
      </c>
      <c r="AV90" s="36" t="str">
        <f>IFERROR(时间!$B$4+AU90,"上周无销量")</f>
        <v>上周无销量</v>
      </c>
    </row>
    <row r="91" spans="1:48">
      <c r="A91" s="20" t="s">
        <v>232</v>
      </c>
      <c r="B91" t="s">
        <v>233</v>
      </c>
      <c r="C91" t="s">
        <v>215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3</v>
      </c>
      <c r="J91" s="33">
        <v>0</v>
      </c>
      <c r="K91" s="33">
        <v>0</v>
      </c>
      <c r="L91" s="33">
        <v>0</v>
      </c>
      <c r="M91">
        <v>3</v>
      </c>
      <c r="N91">
        <v>0</v>
      </c>
      <c r="O91">
        <v>3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1</v>
      </c>
      <c r="AK91">
        <v>3</v>
      </c>
      <c r="AL91">
        <v>0</v>
      </c>
      <c r="AM91">
        <v>2</v>
      </c>
      <c r="AN91" s="22">
        <v>0</v>
      </c>
      <c r="AO91" s="22">
        <v>0</v>
      </c>
      <c r="AP91" s="22" t="s">
        <v>53</v>
      </c>
      <c r="AQ91" s="22">
        <v>0</v>
      </c>
      <c r="AR91" s="35">
        <v>0</v>
      </c>
      <c r="AS91" s="35">
        <v>0</v>
      </c>
      <c r="AT91" s="35">
        <v>3</v>
      </c>
      <c r="AU91" s="31" t="str">
        <f t="shared" si="5"/>
        <v>库存为3</v>
      </c>
      <c r="AV91" s="36" t="str">
        <f>IFERROR(时间!$B$4+AU91,"上周无销量")</f>
        <v>上周无销量</v>
      </c>
    </row>
    <row r="92" spans="1:48">
      <c r="A92" s="20" t="s">
        <v>234</v>
      </c>
      <c r="B92" t="s">
        <v>235</v>
      </c>
      <c r="C92" t="s">
        <v>215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3</v>
      </c>
      <c r="J92" s="33">
        <v>0</v>
      </c>
      <c r="K92" s="33">
        <v>0</v>
      </c>
      <c r="L92" s="33">
        <v>0</v>
      </c>
      <c r="M92">
        <v>3</v>
      </c>
      <c r="N92">
        <v>0</v>
      </c>
      <c r="O92">
        <v>3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1</v>
      </c>
      <c r="AK92">
        <v>0</v>
      </c>
      <c r="AL92">
        <v>0</v>
      </c>
      <c r="AM92">
        <v>2</v>
      </c>
      <c r="AN92" s="22">
        <v>0</v>
      </c>
      <c r="AO92" s="22" t="s">
        <v>53</v>
      </c>
      <c r="AP92" s="22" t="s">
        <v>53</v>
      </c>
      <c r="AQ92" s="22">
        <v>0</v>
      </c>
      <c r="AR92" s="35">
        <v>0</v>
      </c>
      <c r="AS92" s="35">
        <v>0</v>
      </c>
      <c r="AT92" s="35">
        <v>3</v>
      </c>
      <c r="AU92" s="31" t="str">
        <f t="shared" si="5"/>
        <v>库存为3</v>
      </c>
      <c r="AV92" s="36" t="str">
        <f>IFERROR(时间!$B$4+AU92,"上周无销量")</f>
        <v>上周无销量</v>
      </c>
    </row>
    <row r="93" spans="1:48">
      <c r="A93" s="20" t="s">
        <v>236</v>
      </c>
      <c r="B93" t="s">
        <v>237</v>
      </c>
      <c r="C93" t="s">
        <v>215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3</v>
      </c>
      <c r="J93" s="33">
        <v>0</v>
      </c>
      <c r="K93" s="33">
        <v>0</v>
      </c>
      <c r="L93" s="33">
        <v>0</v>
      </c>
      <c r="M93">
        <v>3</v>
      </c>
      <c r="N93">
        <v>0</v>
      </c>
      <c r="O93">
        <v>3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0</v>
      </c>
      <c r="AK93">
        <v>0</v>
      </c>
      <c r="AL93">
        <v>0</v>
      </c>
      <c r="AM93">
        <v>0</v>
      </c>
      <c r="AN93" s="22" t="s">
        <v>53</v>
      </c>
      <c r="AO93" s="22" t="s">
        <v>53</v>
      </c>
      <c r="AP93" s="22" t="s">
        <v>53</v>
      </c>
      <c r="AQ93" s="22" t="s">
        <v>53</v>
      </c>
      <c r="AR93" s="35">
        <v>0</v>
      </c>
      <c r="AS93" s="35">
        <v>0</v>
      </c>
      <c r="AT93" s="35">
        <v>3</v>
      </c>
      <c r="AU93" s="31" t="str">
        <f t="shared" si="5"/>
        <v>库存为3</v>
      </c>
      <c r="AV93" s="36" t="str">
        <f>IFERROR(时间!$B$4+AU93,"上周无销量")</f>
        <v>上周无销量</v>
      </c>
    </row>
    <row r="94" spans="1:48">
      <c r="A94" s="20" t="s">
        <v>238</v>
      </c>
      <c r="B94" t="s">
        <v>239</v>
      </c>
      <c r="C94" t="s">
        <v>215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3</v>
      </c>
      <c r="J94" s="33">
        <v>0</v>
      </c>
      <c r="K94" s="33">
        <v>0</v>
      </c>
      <c r="L94" s="33">
        <v>0</v>
      </c>
      <c r="M94">
        <v>3</v>
      </c>
      <c r="N94">
        <v>0</v>
      </c>
      <c r="O94">
        <v>3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1</v>
      </c>
      <c r="AK94">
        <v>2</v>
      </c>
      <c r="AL94">
        <v>1</v>
      </c>
      <c r="AM94">
        <v>2</v>
      </c>
      <c r="AN94" s="22">
        <v>0</v>
      </c>
      <c r="AO94" s="22">
        <v>0</v>
      </c>
      <c r="AP94" s="22">
        <v>0</v>
      </c>
      <c r="AQ94" s="22">
        <v>0</v>
      </c>
      <c r="AR94" s="35">
        <v>0</v>
      </c>
      <c r="AS94" s="35">
        <v>0</v>
      </c>
      <c r="AT94" s="35">
        <v>3</v>
      </c>
      <c r="AU94" s="31" t="str">
        <f t="shared" si="5"/>
        <v>库存为3</v>
      </c>
      <c r="AV94" s="36" t="str">
        <f>IFERROR(时间!$B$4+AU94,"上周无销量")</f>
        <v>上周无销量</v>
      </c>
    </row>
    <row r="95" spans="1:48">
      <c r="A95" s="20" t="s">
        <v>240</v>
      </c>
      <c r="B95" t="s">
        <v>241</v>
      </c>
      <c r="C95" t="s">
        <v>215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3</v>
      </c>
      <c r="J95" s="33">
        <v>0</v>
      </c>
      <c r="K95" s="33">
        <v>0</v>
      </c>
      <c r="L95" s="33">
        <v>0</v>
      </c>
      <c r="M95">
        <v>3</v>
      </c>
      <c r="N95">
        <v>0</v>
      </c>
      <c r="O95">
        <v>3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1</v>
      </c>
      <c r="AK95">
        <v>2</v>
      </c>
      <c r="AL95">
        <v>3</v>
      </c>
      <c r="AM95">
        <v>2</v>
      </c>
      <c r="AN95" s="22">
        <v>0</v>
      </c>
      <c r="AO95" s="22">
        <v>0</v>
      </c>
      <c r="AP95" s="22">
        <v>0</v>
      </c>
      <c r="AQ95" s="22">
        <v>0</v>
      </c>
      <c r="AR95" s="35">
        <v>0</v>
      </c>
      <c r="AS95" s="35">
        <v>0</v>
      </c>
      <c r="AT95" s="35">
        <v>3</v>
      </c>
      <c r="AU95" s="31" t="str">
        <f t="shared" si="5"/>
        <v>库存为3</v>
      </c>
      <c r="AV95" s="36" t="str">
        <f>IFERROR(时间!$B$4+AU95,"上周无销量")</f>
        <v>上周无销量</v>
      </c>
    </row>
    <row r="96" spans="1:48">
      <c r="A96" s="20" t="s">
        <v>242</v>
      </c>
      <c r="B96" t="s">
        <v>243</v>
      </c>
      <c r="C96" t="s">
        <v>215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3</v>
      </c>
      <c r="J96" s="33">
        <v>0</v>
      </c>
      <c r="K96" s="33">
        <v>0</v>
      </c>
      <c r="L96" s="33">
        <v>0</v>
      </c>
      <c r="M96">
        <v>3</v>
      </c>
      <c r="N96">
        <v>0</v>
      </c>
      <c r="O96">
        <v>2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0</v>
      </c>
      <c r="AK96">
        <v>2</v>
      </c>
      <c r="AL96">
        <v>4</v>
      </c>
      <c r="AM96">
        <v>3</v>
      </c>
      <c r="AN96" s="22" t="s">
        <v>53</v>
      </c>
      <c r="AO96" s="22">
        <v>0</v>
      </c>
      <c r="AP96" s="22">
        <v>0</v>
      </c>
      <c r="AQ96" s="22">
        <v>0</v>
      </c>
      <c r="AR96" s="35">
        <v>0</v>
      </c>
      <c r="AS96" s="35">
        <v>0</v>
      </c>
      <c r="AT96" s="35">
        <v>3</v>
      </c>
      <c r="AU96" s="31" t="str">
        <f t="shared" si="5"/>
        <v>库存为3</v>
      </c>
      <c r="AV96" s="36" t="str">
        <f>IFERROR(时间!$B$4+AU96,"上周无销量")</f>
        <v>上周无销量</v>
      </c>
    </row>
    <row r="97" spans="1:48">
      <c r="A97" s="20" t="s">
        <v>244</v>
      </c>
      <c r="B97" t="s">
        <v>245</v>
      </c>
      <c r="C97" t="s">
        <v>215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3</v>
      </c>
      <c r="J97" s="33">
        <v>0</v>
      </c>
      <c r="K97" s="33">
        <v>0</v>
      </c>
      <c r="L97" s="33">
        <v>0</v>
      </c>
      <c r="M97">
        <v>3</v>
      </c>
      <c r="N97">
        <v>0</v>
      </c>
      <c r="O97">
        <v>3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2</v>
      </c>
      <c r="AK97">
        <v>3</v>
      </c>
      <c r="AL97">
        <v>2</v>
      </c>
      <c r="AM97">
        <v>4</v>
      </c>
      <c r="AN97" s="22">
        <v>0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3</v>
      </c>
      <c r="AU97" s="31" t="str">
        <f t="shared" si="5"/>
        <v>库存为3</v>
      </c>
      <c r="AV97" s="36" t="str">
        <f>IFERROR(时间!$B$4+AU97,"上周无销量")</f>
        <v>上周无销量</v>
      </c>
    </row>
    <row r="98" spans="1:48">
      <c r="A98" s="20" t="s">
        <v>246</v>
      </c>
      <c r="B98" t="s">
        <v>247</v>
      </c>
      <c r="C98" t="s">
        <v>215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9</v>
      </c>
      <c r="J98" s="33">
        <v>0</v>
      </c>
      <c r="K98" s="33">
        <v>0</v>
      </c>
      <c r="L98" s="33">
        <v>0</v>
      </c>
      <c r="M98">
        <v>9</v>
      </c>
      <c r="N98">
        <v>0</v>
      </c>
      <c r="O98">
        <v>9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1</v>
      </c>
      <c r="AK98">
        <v>3</v>
      </c>
      <c r="AL98">
        <v>2</v>
      </c>
      <c r="AM98">
        <v>3</v>
      </c>
      <c r="AN98" s="22">
        <v>0</v>
      </c>
      <c r="AO98" s="22">
        <v>0</v>
      </c>
      <c r="AP98" s="22">
        <v>0</v>
      </c>
      <c r="AQ98" s="22">
        <v>0</v>
      </c>
      <c r="AR98" s="35">
        <v>0</v>
      </c>
      <c r="AS98" s="35">
        <v>0</v>
      </c>
      <c r="AT98" s="35">
        <v>9</v>
      </c>
      <c r="AU98" s="31" t="str">
        <f t="shared" si="5"/>
        <v>库存为9</v>
      </c>
      <c r="AV98" s="36" t="str">
        <f>IFERROR(时间!$B$4+AU98,"上周无销量")</f>
        <v>上周无销量</v>
      </c>
    </row>
    <row r="99" spans="1:48">
      <c r="A99" s="20" t="s">
        <v>248</v>
      </c>
      <c r="B99" t="s">
        <v>249</v>
      </c>
      <c r="C99" t="s">
        <v>215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9</v>
      </c>
      <c r="J99" s="33">
        <v>0</v>
      </c>
      <c r="K99" s="33">
        <v>0</v>
      </c>
      <c r="L99" s="33">
        <v>1</v>
      </c>
      <c r="M99">
        <v>10</v>
      </c>
      <c r="N99">
        <v>0</v>
      </c>
      <c r="O99">
        <v>10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1</v>
      </c>
      <c r="AK99">
        <v>2</v>
      </c>
      <c r="AL99">
        <v>0</v>
      </c>
      <c r="AM99">
        <v>3</v>
      </c>
      <c r="AN99" s="22">
        <v>0</v>
      </c>
      <c r="AO99" s="22">
        <v>0</v>
      </c>
      <c r="AP99" s="22" t="s">
        <v>53</v>
      </c>
      <c r="AQ99" s="22">
        <v>0</v>
      </c>
      <c r="AR99" s="35">
        <v>0</v>
      </c>
      <c r="AS99" s="35">
        <v>0</v>
      </c>
      <c r="AT99" s="35">
        <v>10</v>
      </c>
      <c r="AU99" s="31" t="str">
        <f t="shared" si="5"/>
        <v>库存为10</v>
      </c>
      <c r="AV99" s="36" t="str">
        <f>IFERROR(时间!$B$4+AU99,"上周无销量")</f>
        <v>上周无销量</v>
      </c>
    </row>
    <row r="100" spans="1:48">
      <c r="A100" s="20" t="s">
        <v>250</v>
      </c>
      <c r="B100" t="s">
        <v>251</v>
      </c>
      <c r="C100" t="s">
        <v>215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10</v>
      </c>
      <c r="J100" s="33">
        <v>0</v>
      </c>
      <c r="K100" s="33">
        <v>0</v>
      </c>
      <c r="L100" s="33">
        <v>0</v>
      </c>
      <c r="M100">
        <v>10</v>
      </c>
      <c r="N100">
        <v>0</v>
      </c>
      <c r="O100">
        <v>10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1</v>
      </c>
      <c r="AK100">
        <v>3</v>
      </c>
      <c r="AL100">
        <v>2</v>
      </c>
      <c r="AM100">
        <v>4</v>
      </c>
      <c r="AN100" s="22">
        <v>0</v>
      </c>
      <c r="AO100" s="22">
        <v>0</v>
      </c>
      <c r="AP100" s="22">
        <v>0</v>
      </c>
      <c r="AQ100" s="22">
        <v>0</v>
      </c>
      <c r="AR100" s="35">
        <v>0</v>
      </c>
      <c r="AS100" s="35">
        <v>0</v>
      </c>
      <c r="AT100" s="35">
        <v>10</v>
      </c>
      <c r="AU100" s="31" t="str">
        <f t="shared" si="5"/>
        <v>库存为10</v>
      </c>
      <c r="AV100" s="36" t="str">
        <f>IFERROR(时间!$B$4+AU100,"上周无销量")</f>
        <v>上周无销量</v>
      </c>
    </row>
    <row r="101" spans="1:48">
      <c r="A101" s="20" t="s">
        <v>252</v>
      </c>
      <c r="B101" t="s">
        <v>253</v>
      </c>
      <c r="C101" t="s">
        <v>215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9</v>
      </c>
      <c r="J101" s="33">
        <v>0</v>
      </c>
      <c r="K101" s="33">
        <v>0</v>
      </c>
      <c r="L101" s="33">
        <v>1</v>
      </c>
      <c r="M101">
        <v>10</v>
      </c>
      <c r="N101">
        <v>0</v>
      </c>
      <c r="O101">
        <v>10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3</v>
      </c>
      <c r="AL101">
        <v>1</v>
      </c>
      <c r="AM101">
        <v>3</v>
      </c>
      <c r="AN101" s="22" t="s">
        <v>53</v>
      </c>
      <c r="AO101" s="22">
        <v>0</v>
      </c>
      <c r="AP101" s="22">
        <v>0</v>
      </c>
      <c r="AQ101" s="22">
        <v>0</v>
      </c>
      <c r="AR101" s="35">
        <v>0</v>
      </c>
      <c r="AS101" s="35">
        <v>0</v>
      </c>
      <c r="AT101" s="35">
        <v>10</v>
      </c>
      <c r="AU101" s="31" t="str">
        <f t="shared" si="5"/>
        <v>库存为10</v>
      </c>
      <c r="AV101" s="36" t="str">
        <f>IFERROR(时间!$B$4+AU101,"上周无销量")</f>
        <v>上周无销量</v>
      </c>
    </row>
    <row r="102" spans="1:48">
      <c r="A102" s="20" t="s">
        <v>254</v>
      </c>
      <c r="B102" t="s">
        <v>255</v>
      </c>
      <c r="C102" t="s">
        <v>215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10</v>
      </c>
      <c r="J102" s="33">
        <v>0</v>
      </c>
      <c r="K102" s="33">
        <v>0</v>
      </c>
      <c r="L102" s="33">
        <v>0</v>
      </c>
      <c r="M102">
        <v>10</v>
      </c>
      <c r="N102">
        <v>0</v>
      </c>
      <c r="O102">
        <v>10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3</v>
      </c>
      <c r="AL102">
        <v>1</v>
      </c>
      <c r="AM102">
        <v>2</v>
      </c>
      <c r="AN102" s="22" t="s">
        <v>53</v>
      </c>
      <c r="AO102" s="22">
        <v>0</v>
      </c>
      <c r="AP102" s="22">
        <v>0</v>
      </c>
      <c r="AQ102" s="22">
        <v>0</v>
      </c>
      <c r="AR102" s="35">
        <v>0</v>
      </c>
      <c r="AS102" s="35">
        <v>0</v>
      </c>
      <c r="AT102" s="35">
        <v>10</v>
      </c>
      <c r="AU102" s="31" t="str">
        <f t="shared" si="5"/>
        <v>库存为10</v>
      </c>
      <c r="AV102" s="36" t="str">
        <f>IFERROR(时间!$B$4+AU102,"上周无销量")</f>
        <v>上周无销量</v>
      </c>
    </row>
    <row r="103" spans="1:48">
      <c r="A103" s="20" t="s">
        <v>256</v>
      </c>
      <c r="B103" t="s">
        <v>257</v>
      </c>
      <c r="C103" t="s">
        <v>215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10</v>
      </c>
      <c r="J103" s="33">
        <v>0</v>
      </c>
      <c r="K103" s="33">
        <v>0</v>
      </c>
      <c r="L103" s="33">
        <v>0</v>
      </c>
      <c r="M103">
        <v>10</v>
      </c>
      <c r="N103">
        <v>0</v>
      </c>
      <c r="O103">
        <v>10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3</v>
      </c>
      <c r="AL103">
        <v>1</v>
      </c>
      <c r="AM103">
        <v>3</v>
      </c>
      <c r="AN103" s="22" t="s">
        <v>53</v>
      </c>
      <c r="AO103" s="22">
        <v>0</v>
      </c>
      <c r="AP103" s="22">
        <v>0</v>
      </c>
      <c r="AQ103" s="22">
        <v>0</v>
      </c>
      <c r="AR103" s="35">
        <v>0</v>
      </c>
      <c r="AS103" s="35">
        <v>0</v>
      </c>
      <c r="AT103" s="35">
        <v>10</v>
      </c>
      <c r="AU103" s="31" t="str">
        <f t="shared" si="5"/>
        <v>库存为10</v>
      </c>
      <c r="AV103" s="36" t="str">
        <f>IFERROR(时间!$B$4+AU103,"上周无销量")</f>
        <v>上周无销量</v>
      </c>
    </row>
    <row r="104" spans="1:48">
      <c r="A104" s="20" t="s">
        <v>258</v>
      </c>
      <c r="B104" t="s">
        <v>259</v>
      </c>
      <c r="C104" t="s">
        <v>215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10</v>
      </c>
      <c r="J104" s="33">
        <v>0</v>
      </c>
      <c r="K104" s="33">
        <v>0</v>
      </c>
      <c r="L104" s="33">
        <v>0</v>
      </c>
      <c r="M104">
        <v>10</v>
      </c>
      <c r="N104">
        <v>0</v>
      </c>
      <c r="O104">
        <v>10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2</v>
      </c>
      <c r="AK104">
        <v>1</v>
      </c>
      <c r="AL104">
        <v>0</v>
      </c>
      <c r="AM104">
        <v>5</v>
      </c>
      <c r="AN104" s="22">
        <v>0</v>
      </c>
      <c r="AO104" s="22">
        <v>0</v>
      </c>
      <c r="AP104" s="22" t="s">
        <v>53</v>
      </c>
      <c r="AQ104" s="22">
        <v>0</v>
      </c>
      <c r="AR104" s="35">
        <v>0</v>
      </c>
      <c r="AS104" s="35">
        <v>0</v>
      </c>
      <c r="AT104" s="35">
        <v>10</v>
      </c>
      <c r="AU104" s="31" t="str">
        <f t="shared" si="5"/>
        <v>库存为10</v>
      </c>
      <c r="AV104" s="36" t="str">
        <f>IFERROR(时间!$B$4+AU104,"上周无销量")</f>
        <v>上周无销量</v>
      </c>
    </row>
    <row r="105" spans="1:48">
      <c r="A105" s="20" t="s">
        <v>260</v>
      </c>
      <c r="B105" t="s">
        <v>261</v>
      </c>
      <c r="C105" t="s">
        <v>215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9</v>
      </c>
      <c r="J105" s="33">
        <v>0</v>
      </c>
      <c r="K105" s="33">
        <v>0</v>
      </c>
      <c r="L105" s="33">
        <v>1</v>
      </c>
      <c r="M105">
        <v>10</v>
      </c>
      <c r="N105">
        <v>0</v>
      </c>
      <c r="O105">
        <v>10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3</v>
      </c>
      <c r="AK105">
        <v>4</v>
      </c>
      <c r="AL105">
        <v>1</v>
      </c>
      <c r="AM105">
        <v>2</v>
      </c>
      <c r="AN105" s="22">
        <v>0</v>
      </c>
      <c r="AO105" s="22">
        <v>0</v>
      </c>
      <c r="AP105" s="22">
        <v>0</v>
      </c>
      <c r="AQ105" s="22">
        <v>0</v>
      </c>
      <c r="AR105" s="35">
        <v>0</v>
      </c>
      <c r="AS105" s="35">
        <v>0</v>
      </c>
      <c r="AT105" s="35">
        <v>10</v>
      </c>
      <c r="AU105" s="31" t="str">
        <f t="shared" si="5"/>
        <v>库存为10</v>
      </c>
      <c r="AV105" s="36" t="str">
        <f>IFERROR(时间!$B$4+AU105,"上周无销量")</f>
        <v>上周无销量</v>
      </c>
    </row>
    <row r="106" spans="1:48">
      <c r="A106" s="20" t="s">
        <v>262</v>
      </c>
      <c r="B106" t="s">
        <v>263</v>
      </c>
      <c r="C106" t="s">
        <v>262</v>
      </c>
      <c r="D106" s="31">
        <v>1</v>
      </c>
      <c r="E106" s="31">
        <v>1</v>
      </c>
      <c r="F106" s="31">
        <v>0</v>
      </c>
      <c r="G106" s="31">
        <v>2</v>
      </c>
      <c r="H106" s="32">
        <v>8.99</v>
      </c>
      <c r="I106">
        <v>81</v>
      </c>
      <c r="J106" s="33">
        <v>0</v>
      </c>
      <c r="K106" s="33">
        <v>0</v>
      </c>
      <c r="L106" s="33">
        <v>0</v>
      </c>
      <c r="M106">
        <v>81</v>
      </c>
      <c r="N106">
        <v>0</v>
      </c>
      <c r="O106">
        <v>78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2</v>
      </c>
      <c r="AK106">
        <v>5</v>
      </c>
      <c r="AL106">
        <v>7</v>
      </c>
      <c r="AM106">
        <v>8</v>
      </c>
      <c r="AN106" s="22">
        <v>0.5</v>
      </c>
      <c r="AO106" s="22">
        <v>0.2</v>
      </c>
      <c r="AP106" s="22">
        <v>0</v>
      </c>
      <c r="AQ106" s="22">
        <v>0.25</v>
      </c>
      <c r="AR106" s="35">
        <v>0.142857142857143</v>
      </c>
      <c r="AS106" s="35">
        <v>8.57142857142857</v>
      </c>
      <c r="AT106" s="35">
        <v>72.4285714285714</v>
      </c>
      <c r="AU106" s="31">
        <f t="shared" si="5"/>
        <v>567</v>
      </c>
      <c r="AV106" s="36">
        <f>IFERROR(时间!$B$4+AU106,"上周无销量")</f>
        <v>43885</v>
      </c>
    </row>
    <row r="107" spans="1:48">
      <c r="A107" s="20" t="s">
        <v>264</v>
      </c>
      <c r="B107" t="s">
        <v>265</v>
      </c>
      <c r="C107" t="s">
        <v>266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267</v>
      </c>
      <c r="B108" t="s">
        <v>268</v>
      </c>
      <c r="C108" t="s">
        <v>266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0</v>
      </c>
      <c r="AM108">
        <v>0</v>
      </c>
      <c r="AN108" s="22" t="s">
        <v>53</v>
      </c>
      <c r="AO108" s="22" t="s">
        <v>53</v>
      </c>
      <c r="AP108" s="22" t="s">
        <v>53</v>
      </c>
      <c r="AQ108" s="22" t="s">
        <v>53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269</v>
      </c>
      <c r="B109" t="s">
        <v>270</v>
      </c>
      <c r="C109" t="s">
        <v>266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0</v>
      </c>
      <c r="AN109" s="22" t="s">
        <v>53</v>
      </c>
      <c r="AO109" s="22" t="s">
        <v>53</v>
      </c>
      <c r="AP109" s="22" t="s">
        <v>53</v>
      </c>
      <c r="AQ109" s="22" t="s">
        <v>53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271</v>
      </c>
      <c r="B110" t="s">
        <v>272</v>
      </c>
      <c r="C110" t="s">
        <v>266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0</v>
      </c>
      <c r="AL110">
        <v>0</v>
      </c>
      <c r="AM110">
        <v>0</v>
      </c>
      <c r="AN110" s="22" t="s">
        <v>53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273</v>
      </c>
      <c r="B111" t="s">
        <v>274</v>
      </c>
      <c r="C111" t="s">
        <v>275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4</v>
      </c>
      <c r="J111" s="33">
        <v>0</v>
      </c>
      <c r="K111" s="33">
        <v>0</v>
      </c>
      <c r="L111" s="33">
        <v>0</v>
      </c>
      <c r="M111">
        <v>4</v>
      </c>
      <c r="N111">
        <v>0</v>
      </c>
      <c r="O111">
        <v>4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3</v>
      </c>
      <c r="AK111">
        <v>2</v>
      </c>
      <c r="AL111">
        <v>7</v>
      </c>
      <c r="AM111">
        <v>2</v>
      </c>
      <c r="AN111" s="22">
        <v>0</v>
      </c>
      <c r="AO111" s="22">
        <v>0</v>
      </c>
      <c r="AP111" s="22">
        <v>0</v>
      </c>
      <c r="AQ111" s="22">
        <v>0</v>
      </c>
      <c r="AR111" s="35">
        <v>0</v>
      </c>
      <c r="AS111" s="35">
        <v>0</v>
      </c>
      <c r="AT111" s="35">
        <v>4</v>
      </c>
      <c r="AU111" s="31" t="str">
        <f t="shared" si="5"/>
        <v>库存为4</v>
      </c>
      <c r="AV111" s="36" t="str">
        <f>IFERROR(时间!$B$4+AU111,"上周无销量")</f>
        <v>上周无销量</v>
      </c>
    </row>
    <row r="112" spans="1:48">
      <c r="A112" s="20" t="s">
        <v>276</v>
      </c>
      <c r="B112" t="s">
        <v>277</v>
      </c>
      <c r="C112" t="s">
        <v>275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5</v>
      </c>
      <c r="J112" s="33">
        <v>0</v>
      </c>
      <c r="K112" s="33">
        <v>0</v>
      </c>
      <c r="L112" s="33">
        <v>0</v>
      </c>
      <c r="M112">
        <v>5</v>
      </c>
      <c r="N112">
        <v>0</v>
      </c>
      <c r="O112">
        <v>5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1</v>
      </c>
      <c r="AK112">
        <v>2</v>
      </c>
      <c r="AL112">
        <v>5</v>
      </c>
      <c r="AM112">
        <v>2</v>
      </c>
      <c r="AN112" s="22">
        <v>0</v>
      </c>
      <c r="AO112" s="22">
        <v>0</v>
      </c>
      <c r="AP112" s="22">
        <v>0</v>
      </c>
      <c r="AQ112" s="22">
        <v>0</v>
      </c>
      <c r="AR112" s="35">
        <v>0</v>
      </c>
      <c r="AS112" s="35">
        <v>0</v>
      </c>
      <c r="AT112" s="35">
        <v>5</v>
      </c>
      <c r="AU112" s="31" t="str">
        <f t="shared" si="5"/>
        <v>库存为5</v>
      </c>
      <c r="AV112" s="36" t="str">
        <f>IFERROR(时间!$B$4+AU112,"上周无销量")</f>
        <v>上周无销量</v>
      </c>
    </row>
    <row r="113" spans="1:48">
      <c r="A113" s="20" t="s">
        <v>278</v>
      </c>
      <c r="B113" t="s">
        <v>279</v>
      </c>
      <c r="C113" t="s">
        <v>275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5</v>
      </c>
      <c r="J113" s="33">
        <v>0</v>
      </c>
      <c r="K113" s="33">
        <v>0</v>
      </c>
      <c r="L113" s="33">
        <v>0</v>
      </c>
      <c r="M113">
        <v>5</v>
      </c>
      <c r="N113">
        <v>0</v>
      </c>
      <c r="O113">
        <v>5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2</v>
      </c>
      <c r="AK113">
        <v>4</v>
      </c>
      <c r="AL113">
        <v>1</v>
      </c>
      <c r="AM113">
        <v>5</v>
      </c>
      <c r="AN113" s="22">
        <v>0</v>
      </c>
      <c r="AO113" s="22">
        <v>0</v>
      </c>
      <c r="AP113" s="22">
        <v>0</v>
      </c>
      <c r="AQ113" s="22">
        <v>0</v>
      </c>
      <c r="AR113" s="35">
        <v>0</v>
      </c>
      <c r="AS113" s="35">
        <v>0</v>
      </c>
      <c r="AT113" s="35">
        <v>5</v>
      </c>
      <c r="AU113" s="31" t="str">
        <f t="shared" si="5"/>
        <v>库存为5</v>
      </c>
      <c r="AV113" s="36" t="str">
        <f>IFERROR(时间!$B$4+AU113,"上周无销量")</f>
        <v>上周无销量</v>
      </c>
    </row>
    <row r="114" spans="1:48">
      <c r="A114" s="20" t="s">
        <v>280</v>
      </c>
      <c r="B114" t="s">
        <v>281</v>
      </c>
      <c r="C114" t="s">
        <v>275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5</v>
      </c>
      <c r="J114" s="33">
        <v>0</v>
      </c>
      <c r="K114" s="33">
        <v>0</v>
      </c>
      <c r="L114" s="33">
        <v>0</v>
      </c>
      <c r="M114">
        <v>5</v>
      </c>
      <c r="N114">
        <v>0</v>
      </c>
      <c r="O114">
        <v>5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3</v>
      </c>
      <c r="AK114">
        <v>3</v>
      </c>
      <c r="AL114">
        <v>5</v>
      </c>
      <c r="AM114">
        <v>3</v>
      </c>
      <c r="AN114" s="22">
        <v>0</v>
      </c>
      <c r="AO114" s="22">
        <v>0</v>
      </c>
      <c r="AP114" s="22">
        <v>0</v>
      </c>
      <c r="AQ114" s="22">
        <v>0</v>
      </c>
      <c r="AR114" s="35">
        <v>0</v>
      </c>
      <c r="AS114" s="35">
        <v>0</v>
      </c>
      <c r="AT114" s="35">
        <v>5</v>
      </c>
      <c r="AU114" s="31" t="str">
        <f t="shared" si="5"/>
        <v>库存为5</v>
      </c>
      <c r="AV114" s="36" t="str">
        <f>IFERROR(时间!$B$4+AU114,"上周无销量")</f>
        <v>上周无销量</v>
      </c>
    </row>
    <row r="115" spans="1:48">
      <c r="A115" s="20" t="s">
        <v>282</v>
      </c>
      <c r="B115" t="s">
        <v>283</v>
      </c>
      <c r="C115" t="s">
        <v>284</v>
      </c>
      <c r="D115" s="31">
        <v>0</v>
      </c>
      <c r="E115" s="31">
        <v>0</v>
      </c>
      <c r="F115" s="31">
        <v>0</v>
      </c>
      <c r="G115" s="31">
        <v>2</v>
      </c>
      <c r="H115" s="32">
        <v>18.445</v>
      </c>
      <c r="I115">
        <v>9</v>
      </c>
      <c r="J115" s="33">
        <v>0</v>
      </c>
      <c r="K115" s="33">
        <v>0</v>
      </c>
      <c r="L115" s="33">
        <v>0</v>
      </c>
      <c r="M115">
        <v>9</v>
      </c>
      <c r="N115">
        <v>0</v>
      </c>
      <c r="O115">
        <v>9</v>
      </c>
      <c r="P115">
        <v>8684</v>
      </c>
      <c r="Q115">
        <v>6443</v>
      </c>
      <c r="R115">
        <v>0</v>
      </c>
      <c r="S115">
        <v>0</v>
      </c>
      <c r="T115">
        <v>49</v>
      </c>
      <c r="U115">
        <v>24</v>
      </c>
      <c r="V115">
        <v>0</v>
      </c>
      <c r="W115">
        <v>0</v>
      </c>
      <c r="X115" s="22">
        <v>0.00564256103178259</v>
      </c>
      <c r="Y115" s="22">
        <v>0.00372497283873972</v>
      </c>
      <c r="Z115" s="22" t="s">
        <v>53</v>
      </c>
      <c r="AA115" s="22" t="s">
        <v>53</v>
      </c>
      <c r="AB115">
        <v>34.07</v>
      </c>
      <c r="AC115">
        <v>15.09</v>
      </c>
      <c r="AD115">
        <v>0</v>
      </c>
      <c r="AE115">
        <v>0</v>
      </c>
      <c r="AF115" s="22" t="s">
        <v>285</v>
      </c>
      <c r="AG115" s="22" t="s">
        <v>286</v>
      </c>
      <c r="AH115" s="22" t="s">
        <v>53</v>
      </c>
      <c r="AI115" s="22" t="s">
        <v>53</v>
      </c>
      <c r="AJ115">
        <v>55</v>
      </c>
      <c r="AK115">
        <v>35</v>
      </c>
      <c r="AL115">
        <v>12</v>
      </c>
      <c r="AM115">
        <v>3</v>
      </c>
      <c r="AN115" s="22">
        <v>0</v>
      </c>
      <c r="AO115" s="22">
        <v>0</v>
      </c>
      <c r="AP115" s="22">
        <v>0</v>
      </c>
      <c r="AQ115" s="22">
        <v>0.666666666666667</v>
      </c>
      <c r="AR115" s="35">
        <v>0</v>
      </c>
      <c r="AS115" s="35">
        <v>0</v>
      </c>
      <c r="AT115" s="35">
        <v>9</v>
      </c>
      <c r="AU115" s="31" t="str">
        <f t="shared" si="5"/>
        <v>库存为9</v>
      </c>
      <c r="AV115" s="36" t="str">
        <f>IFERROR(时间!$B$4+AU115,"上周无销量")</f>
        <v>上周无销量</v>
      </c>
    </row>
    <row r="116" spans="1:48">
      <c r="A116" s="20" t="s">
        <v>287</v>
      </c>
      <c r="B116" t="s">
        <v>288</v>
      </c>
      <c r="C116" t="s">
        <v>284</v>
      </c>
      <c r="D116" s="31">
        <v>0</v>
      </c>
      <c r="E116" s="31">
        <v>6</v>
      </c>
      <c r="F116" s="31">
        <v>1</v>
      </c>
      <c r="G116" s="31">
        <v>0</v>
      </c>
      <c r="H116" s="32">
        <v>22.99</v>
      </c>
      <c r="I116">
        <v>2</v>
      </c>
      <c r="J116" s="33">
        <v>0</v>
      </c>
      <c r="K116" s="33">
        <v>0</v>
      </c>
      <c r="L116" s="33">
        <v>0</v>
      </c>
      <c r="M116">
        <v>2</v>
      </c>
      <c r="N116">
        <v>0</v>
      </c>
      <c r="O116">
        <v>3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23</v>
      </c>
      <c r="AK116">
        <v>31</v>
      </c>
      <c r="AL116">
        <v>6</v>
      </c>
      <c r="AM116">
        <v>9</v>
      </c>
      <c r="AN116" s="22">
        <v>0</v>
      </c>
      <c r="AO116" s="22">
        <v>0.193548387096774</v>
      </c>
      <c r="AP116" s="22">
        <v>0.166666666666667</v>
      </c>
      <c r="AQ116" s="22">
        <v>0</v>
      </c>
      <c r="AR116" s="35">
        <v>0</v>
      </c>
      <c r="AS116" s="35">
        <v>0</v>
      </c>
      <c r="AT116" s="35">
        <v>2</v>
      </c>
      <c r="AU116" s="31" t="str">
        <f t="shared" si="5"/>
        <v>库存为2</v>
      </c>
      <c r="AV116" s="36" t="str">
        <f>IFERROR(时间!$B$4+AU116,"上周无销量")</f>
        <v>上周无销量</v>
      </c>
    </row>
    <row r="117" spans="1:48">
      <c r="A117" s="20" t="s">
        <v>289</v>
      </c>
      <c r="B117" t="s">
        <v>290</v>
      </c>
      <c r="C117" t="s">
        <v>284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0</v>
      </c>
      <c r="AL117">
        <v>0</v>
      </c>
      <c r="AM117">
        <v>0</v>
      </c>
      <c r="AN117" s="22" t="s">
        <v>53</v>
      </c>
      <c r="AO117" s="22" t="s">
        <v>53</v>
      </c>
      <c r="AP117" s="22" t="s">
        <v>53</v>
      </c>
      <c r="AQ117" s="22" t="s">
        <v>53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291</v>
      </c>
      <c r="B118" t="s">
        <v>292</v>
      </c>
      <c r="C118" t="s">
        <v>284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0</v>
      </c>
      <c r="AK118">
        <v>0</v>
      </c>
      <c r="AL118">
        <v>0</v>
      </c>
      <c r="AM118">
        <v>0</v>
      </c>
      <c r="AN118" s="22" t="s">
        <v>53</v>
      </c>
      <c r="AO118" s="22" t="s">
        <v>53</v>
      </c>
      <c r="AP118" s="22" t="s">
        <v>53</v>
      </c>
      <c r="AQ118" s="22" t="s">
        <v>53</v>
      </c>
      <c r="AR118" s="35">
        <v>0</v>
      </c>
      <c r="AS118" s="35">
        <v>0</v>
      </c>
      <c r="AT118" s="35">
        <v>0</v>
      </c>
      <c r="AU118" s="31" t="str">
        <f t="shared" si="5"/>
        <v>库存为0</v>
      </c>
      <c r="AV118" s="36" t="str">
        <f>IFERROR(时间!$B$4+AU118,"上周无销量")</f>
        <v>上周无销量</v>
      </c>
    </row>
    <row r="119" spans="1:48">
      <c r="A119" s="20" t="s">
        <v>293</v>
      </c>
      <c r="B119" t="s">
        <v>294</v>
      </c>
      <c r="C119" t="s">
        <v>284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0</v>
      </c>
      <c r="AK119">
        <v>0</v>
      </c>
      <c r="AL119">
        <v>0</v>
      </c>
      <c r="AM119">
        <v>0</v>
      </c>
      <c r="AN119" s="22" t="s">
        <v>53</v>
      </c>
      <c r="AO119" s="22" t="s">
        <v>53</v>
      </c>
      <c r="AP119" s="22" t="s">
        <v>53</v>
      </c>
      <c r="AQ119" s="22" t="s">
        <v>53</v>
      </c>
      <c r="AR119" s="35">
        <v>0</v>
      </c>
      <c r="AS119" s="35">
        <v>0</v>
      </c>
      <c r="AT119" s="35">
        <v>0</v>
      </c>
      <c r="AU119" s="31" t="str">
        <f t="shared" si="5"/>
        <v>库存为0</v>
      </c>
      <c r="AV119" s="36" t="str">
        <f>IFERROR(时间!$B$4+AU119,"上周无销量")</f>
        <v>上周无销量</v>
      </c>
    </row>
    <row r="120" spans="1:48">
      <c r="A120" s="20" t="s">
        <v>295</v>
      </c>
      <c r="B120" t="s">
        <v>296</v>
      </c>
      <c r="C120" t="s">
        <v>295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9</v>
      </c>
      <c r="J120" s="33">
        <v>0</v>
      </c>
      <c r="K120" s="33">
        <v>0</v>
      </c>
      <c r="L120" s="33">
        <v>0</v>
      </c>
      <c r="M120">
        <v>9</v>
      </c>
      <c r="N120">
        <v>0</v>
      </c>
      <c r="O120">
        <v>9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1</v>
      </c>
      <c r="AK120">
        <v>3</v>
      </c>
      <c r="AL120">
        <v>1</v>
      </c>
      <c r="AM120">
        <v>4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9</v>
      </c>
      <c r="AU120" s="31" t="str">
        <f t="shared" si="5"/>
        <v>库存为9</v>
      </c>
      <c r="AV120" s="36" t="str">
        <f>IFERROR(时间!$B$4+AU120,"上周无销量")</f>
        <v>上周无销量</v>
      </c>
    </row>
    <row r="121" spans="1:48">
      <c r="A121" s="20" t="s">
        <v>297</v>
      </c>
      <c r="B121" t="s">
        <v>298</v>
      </c>
      <c r="C121" t="s">
        <v>299</v>
      </c>
      <c r="D121" s="31">
        <v>1</v>
      </c>
      <c r="E121" s="31">
        <v>0</v>
      </c>
      <c r="F121" s="31">
        <v>1</v>
      </c>
      <c r="G121" s="31">
        <v>0</v>
      </c>
      <c r="H121" s="32">
        <v>13.3</v>
      </c>
      <c r="I121">
        <v>4</v>
      </c>
      <c r="J121" s="33">
        <v>0</v>
      </c>
      <c r="K121" s="33">
        <v>0</v>
      </c>
      <c r="L121" s="33">
        <v>0</v>
      </c>
      <c r="M121">
        <v>4</v>
      </c>
      <c r="N121">
        <v>0</v>
      </c>
      <c r="O121">
        <v>5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6</v>
      </c>
      <c r="AK121">
        <v>9</v>
      </c>
      <c r="AL121">
        <v>10</v>
      </c>
      <c r="AM121">
        <v>4</v>
      </c>
      <c r="AN121" s="22">
        <v>0.166666666666667</v>
      </c>
      <c r="AO121" s="22">
        <v>0</v>
      </c>
      <c r="AP121" s="22">
        <v>0.1</v>
      </c>
      <c r="AQ121" s="22">
        <v>0</v>
      </c>
      <c r="AR121" s="35">
        <v>0.142857142857143</v>
      </c>
      <c r="AS121" s="35">
        <v>8.57142857142857</v>
      </c>
      <c r="AT121" s="35">
        <v>-4.57142857142857</v>
      </c>
      <c r="AU121" s="31">
        <f t="shared" si="5"/>
        <v>28</v>
      </c>
      <c r="AV121" s="36">
        <f>IFERROR(时间!$B$4+AU121,"上周无销量")</f>
        <v>43346</v>
      </c>
    </row>
    <row r="122" spans="1:48">
      <c r="A122" s="20" t="s">
        <v>300</v>
      </c>
      <c r="B122" t="s">
        <v>301</v>
      </c>
      <c r="C122" t="s">
        <v>299</v>
      </c>
      <c r="D122" s="31">
        <v>0</v>
      </c>
      <c r="E122" s="31">
        <v>2</v>
      </c>
      <c r="F122" s="31">
        <v>0</v>
      </c>
      <c r="G122" s="31">
        <v>0</v>
      </c>
      <c r="H122" s="32">
        <v>16.7</v>
      </c>
      <c r="I122">
        <v>9</v>
      </c>
      <c r="J122" s="33">
        <v>0</v>
      </c>
      <c r="K122" s="33">
        <v>0</v>
      </c>
      <c r="L122" s="33">
        <v>0</v>
      </c>
      <c r="M122">
        <v>9</v>
      </c>
      <c r="N122">
        <v>0</v>
      </c>
      <c r="O122">
        <v>10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3</v>
      </c>
      <c r="AK122">
        <v>6</v>
      </c>
      <c r="AL122">
        <v>5</v>
      </c>
      <c r="AM122">
        <v>2</v>
      </c>
      <c r="AN122" s="22">
        <v>0</v>
      </c>
      <c r="AO122" s="22">
        <v>0.333333333333333</v>
      </c>
      <c r="AP122" s="22">
        <v>0</v>
      </c>
      <c r="AQ122" s="22">
        <v>0</v>
      </c>
      <c r="AR122" s="35">
        <v>0</v>
      </c>
      <c r="AS122" s="35">
        <v>0</v>
      </c>
      <c r="AT122" s="35">
        <v>9</v>
      </c>
      <c r="AU122" s="31" t="str">
        <f t="shared" si="5"/>
        <v>库存为9</v>
      </c>
      <c r="AV122" s="36" t="str">
        <f>IFERROR(时间!$B$4+AU122,"上周无销量")</f>
        <v>上周无销量</v>
      </c>
    </row>
    <row r="123" spans="1:48">
      <c r="A123" s="20" t="s">
        <v>302</v>
      </c>
      <c r="B123" t="s">
        <v>303</v>
      </c>
      <c r="C123" t="s">
        <v>299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7</v>
      </c>
      <c r="J123" s="33">
        <v>0</v>
      </c>
      <c r="K123" s="33">
        <v>0</v>
      </c>
      <c r="L123" s="33">
        <v>0</v>
      </c>
      <c r="M123">
        <v>7</v>
      </c>
      <c r="N123">
        <v>0</v>
      </c>
      <c r="O123">
        <v>7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1</v>
      </c>
      <c r="AK123">
        <v>1</v>
      </c>
      <c r="AL123">
        <v>3</v>
      </c>
      <c r="AM123">
        <v>2</v>
      </c>
      <c r="AN123" s="22">
        <v>0</v>
      </c>
      <c r="AO123" s="22">
        <v>0</v>
      </c>
      <c r="AP123" s="22">
        <v>0</v>
      </c>
      <c r="AQ123" s="22">
        <v>0</v>
      </c>
      <c r="AR123" s="35">
        <v>0</v>
      </c>
      <c r="AS123" s="35">
        <v>0</v>
      </c>
      <c r="AT123" s="35">
        <v>7</v>
      </c>
      <c r="AU123" s="31" t="str">
        <f t="shared" si="5"/>
        <v>库存为7</v>
      </c>
      <c r="AV123" s="36" t="str">
        <f>IFERROR(时间!$B$4+AU123,"上周无销量")</f>
        <v>上周无销量</v>
      </c>
    </row>
    <row r="124" spans="1:48">
      <c r="A124" s="20" t="s">
        <v>304</v>
      </c>
      <c r="B124" t="s">
        <v>305</v>
      </c>
      <c r="C124" t="s">
        <v>299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7</v>
      </c>
      <c r="J124" s="33">
        <v>0</v>
      </c>
      <c r="K124" s="33">
        <v>0</v>
      </c>
      <c r="L124" s="33">
        <v>0</v>
      </c>
      <c r="M124">
        <v>7</v>
      </c>
      <c r="N124">
        <v>0</v>
      </c>
      <c r="O124">
        <v>7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1</v>
      </c>
      <c r="AK124">
        <v>2</v>
      </c>
      <c r="AL124">
        <v>5</v>
      </c>
      <c r="AM124">
        <v>2</v>
      </c>
      <c r="AN124" s="22">
        <v>0</v>
      </c>
      <c r="AO124" s="22">
        <v>0</v>
      </c>
      <c r="AP124" s="22">
        <v>0</v>
      </c>
      <c r="AQ124" s="22">
        <v>0</v>
      </c>
      <c r="AR124" s="35">
        <v>0</v>
      </c>
      <c r="AS124" s="35">
        <v>0</v>
      </c>
      <c r="AT124" s="35">
        <v>7</v>
      </c>
      <c r="AU124" s="31" t="str">
        <f t="shared" si="5"/>
        <v>库存为7</v>
      </c>
      <c r="AV124" s="36" t="str">
        <f>IFERROR(时间!$B$4+AU124,"上周无销量")</f>
        <v>上周无销量</v>
      </c>
    </row>
    <row r="125" spans="1:48">
      <c r="A125" s="20" t="s">
        <v>306</v>
      </c>
      <c r="B125" t="s">
        <v>307</v>
      </c>
      <c r="C125" t="s">
        <v>299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5</v>
      </c>
      <c r="J125" s="33">
        <v>0</v>
      </c>
      <c r="K125" s="33">
        <v>0</v>
      </c>
      <c r="L125" s="33">
        <v>0</v>
      </c>
      <c r="M125">
        <v>5</v>
      </c>
      <c r="N125">
        <v>0</v>
      </c>
      <c r="O125">
        <v>2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3</v>
      </c>
      <c r="AK125">
        <v>3</v>
      </c>
      <c r="AL125">
        <v>4</v>
      </c>
      <c r="AM125">
        <v>5</v>
      </c>
      <c r="AN125" s="22">
        <v>0</v>
      </c>
      <c r="AO125" s="22">
        <v>0</v>
      </c>
      <c r="AP125" s="22">
        <v>0</v>
      </c>
      <c r="AQ125" s="22">
        <v>0</v>
      </c>
      <c r="AR125" s="35">
        <v>0</v>
      </c>
      <c r="AS125" s="35">
        <v>0</v>
      </c>
      <c r="AT125" s="35">
        <v>5</v>
      </c>
      <c r="AU125" s="31" t="str">
        <f t="shared" si="5"/>
        <v>库存为5</v>
      </c>
      <c r="AV125" s="36" t="str">
        <f>IFERROR(时间!$B$4+AU125,"上周无销量")</f>
        <v>上周无销量</v>
      </c>
    </row>
    <row r="126" spans="1:48">
      <c r="A126" s="20" t="s">
        <v>308</v>
      </c>
      <c r="B126" t="s">
        <v>309</v>
      </c>
      <c r="C126" t="s">
        <v>299</v>
      </c>
      <c r="D126" s="31">
        <v>0</v>
      </c>
      <c r="E126" s="31">
        <v>1</v>
      </c>
      <c r="F126" s="31">
        <v>0</v>
      </c>
      <c r="G126" s="31">
        <v>0</v>
      </c>
      <c r="H126" s="32">
        <v>10.5</v>
      </c>
      <c r="I126">
        <v>12</v>
      </c>
      <c r="J126" s="33">
        <v>0</v>
      </c>
      <c r="K126" s="33">
        <v>0</v>
      </c>
      <c r="L126" s="33">
        <v>0</v>
      </c>
      <c r="M126">
        <v>12</v>
      </c>
      <c r="N126">
        <v>0</v>
      </c>
      <c r="O126">
        <v>12</v>
      </c>
      <c r="P126">
        <v>206</v>
      </c>
      <c r="Q126">
        <v>144</v>
      </c>
      <c r="R126">
        <v>0</v>
      </c>
      <c r="S126">
        <v>0</v>
      </c>
      <c r="T126">
        <v>1</v>
      </c>
      <c r="U126">
        <v>3</v>
      </c>
      <c r="V126">
        <v>0</v>
      </c>
      <c r="W126">
        <v>0</v>
      </c>
      <c r="X126" s="22">
        <v>0.00485436893203883</v>
      </c>
      <c r="Y126" s="22">
        <v>0.0208333333333333</v>
      </c>
      <c r="Z126" s="22" t="s">
        <v>53</v>
      </c>
      <c r="AA126" s="22" t="s">
        <v>53</v>
      </c>
      <c r="AB126">
        <v>0.78</v>
      </c>
      <c r="AC126">
        <v>1.49</v>
      </c>
      <c r="AD126">
        <v>0</v>
      </c>
      <c r="AE126">
        <v>0</v>
      </c>
      <c r="AF126" s="22" t="s">
        <v>310</v>
      </c>
      <c r="AG126" s="22">
        <v>0.141904761904762</v>
      </c>
      <c r="AH126" s="22" t="s">
        <v>53</v>
      </c>
      <c r="AI126" s="22" t="s">
        <v>53</v>
      </c>
      <c r="AJ126">
        <v>2</v>
      </c>
      <c r="AK126">
        <v>4</v>
      </c>
      <c r="AL126">
        <v>12</v>
      </c>
      <c r="AM126">
        <v>3</v>
      </c>
      <c r="AN126" s="22">
        <v>0</v>
      </c>
      <c r="AO126" s="22">
        <v>0.25</v>
      </c>
      <c r="AP126" s="22">
        <v>0</v>
      </c>
      <c r="AQ126" s="22">
        <v>0</v>
      </c>
      <c r="AR126" s="35">
        <v>0</v>
      </c>
      <c r="AS126" s="35">
        <v>0</v>
      </c>
      <c r="AT126" s="35">
        <v>12</v>
      </c>
      <c r="AU126" s="31" t="str">
        <f t="shared" si="5"/>
        <v>库存为12</v>
      </c>
      <c r="AV126" s="36" t="str">
        <f>IFERROR(时间!$B$4+AU126,"上周无销量")</f>
        <v>上周无销量</v>
      </c>
    </row>
    <row r="127" spans="1:48">
      <c r="A127" s="20" t="s">
        <v>311</v>
      </c>
      <c r="B127" t="s">
        <v>312</v>
      </c>
      <c r="C127" t="s">
        <v>313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0</v>
      </c>
      <c r="AN127" s="22" t="s">
        <v>53</v>
      </c>
      <c r="AO127" s="22" t="s">
        <v>53</v>
      </c>
      <c r="AP127" s="22" t="s">
        <v>53</v>
      </c>
      <c r="AQ127" s="22" t="s">
        <v>53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0" t="s">
        <v>314</v>
      </c>
      <c r="B128" t="s">
        <v>315</v>
      </c>
      <c r="C128" t="s">
        <v>313</v>
      </c>
      <c r="D128" s="31">
        <v>0</v>
      </c>
      <c r="E128" s="31">
        <v>1</v>
      </c>
      <c r="F128" s="31">
        <v>0</v>
      </c>
      <c r="G128" s="31">
        <v>0</v>
      </c>
      <c r="H128" s="32">
        <v>23.5</v>
      </c>
      <c r="I128">
        <v>1</v>
      </c>
      <c r="J128" s="33">
        <v>0</v>
      </c>
      <c r="K128" s="33">
        <v>0</v>
      </c>
      <c r="L128" s="33">
        <v>0</v>
      </c>
      <c r="M128">
        <v>1</v>
      </c>
      <c r="N128">
        <v>0</v>
      </c>
      <c r="O128">
        <v>0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15</v>
      </c>
      <c r="AK128">
        <v>22</v>
      </c>
      <c r="AL128">
        <v>17</v>
      </c>
      <c r="AM128">
        <v>8</v>
      </c>
      <c r="AN128" s="22">
        <v>0</v>
      </c>
      <c r="AO128" s="22">
        <v>0.0454545454545455</v>
      </c>
      <c r="AP128" s="22">
        <v>0</v>
      </c>
      <c r="AQ128" s="22">
        <v>0</v>
      </c>
      <c r="AR128" s="35">
        <v>0</v>
      </c>
      <c r="AS128" s="35">
        <v>0</v>
      </c>
      <c r="AT128" s="35">
        <v>1</v>
      </c>
      <c r="AU128" s="31" t="str">
        <f t="shared" si="5"/>
        <v>库存为1</v>
      </c>
      <c r="AV128" s="36" t="str">
        <f>IFERROR(时间!$B$4+AU128,"上周无销量")</f>
        <v>上周无销量</v>
      </c>
    </row>
    <row r="129" spans="1:48">
      <c r="A129" s="20" t="s">
        <v>316</v>
      </c>
      <c r="B129" t="s">
        <v>317</v>
      </c>
      <c r="C129" t="s">
        <v>313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0</v>
      </c>
      <c r="AM129">
        <v>0</v>
      </c>
      <c r="AN129" s="22" t="s">
        <v>53</v>
      </c>
      <c r="AO129" s="22" t="s">
        <v>53</v>
      </c>
      <c r="AP129" s="22" t="s">
        <v>53</v>
      </c>
      <c r="AQ129" s="22" t="s">
        <v>53</v>
      </c>
      <c r="AR129" s="35">
        <v>0</v>
      </c>
      <c r="AS129" s="35">
        <v>0</v>
      </c>
      <c r="AT129" s="35">
        <v>0</v>
      </c>
      <c r="AU129" s="31" t="str">
        <f t="shared" si="5"/>
        <v>库存为0</v>
      </c>
      <c r="AV129" s="36" t="str">
        <f>IFERROR(时间!$B$4+AU129,"上周无销量")</f>
        <v>上周无销量</v>
      </c>
    </row>
    <row r="130" spans="1:48">
      <c r="A130" s="20" t="s">
        <v>318</v>
      </c>
      <c r="B130" t="s">
        <v>319</v>
      </c>
      <c r="C130" t="s">
        <v>320</v>
      </c>
      <c r="D130" s="31">
        <v>0</v>
      </c>
      <c r="E130" s="31">
        <v>1</v>
      </c>
      <c r="F130" s="31">
        <v>0</v>
      </c>
      <c r="G130" s="31">
        <v>0</v>
      </c>
      <c r="H130" s="32">
        <v>37.99</v>
      </c>
      <c r="I130">
        <v>2</v>
      </c>
      <c r="J130" s="33">
        <v>0</v>
      </c>
      <c r="K130" s="33">
        <v>0</v>
      </c>
      <c r="L130" s="33">
        <v>0</v>
      </c>
      <c r="M130">
        <v>2</v>
      </c>
      <c r="N130">
        <v>1</v>
      </c>
      <c r="O130">
        <v>2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6</v>
      </c>
      <c r="AK130">
        <v>7</v>
      </c>
      <c r="AL130">
        <v>4</v>
      </c>
      <c r="AM130">
        <v>1</v>
      </c>
      <c r="AN130" s="22">
        <v>0</v>
      </c>
      <c r="AO130" s="22">
        <v>0.142857142857143</v>
      </c>
      <c r="AP130" s="22">
        <v>0</v>
      </c>
      <c r="AQ130" s="22">
        <v>0</v>
      </c>
      <c r="AR130" s="35">
        <v>0</v>
      </c>
      <c r="AS130" s="35">
        <v>0</v>
      </c>
      <c r="AT130" s="35">
        <v>2</v>
      </c>
      <c r="AU130" s="31" t="str">
        <f t="shared" si="5"/>
        <v>库存为2</v>
      </c>
      <c r="AV130" s="36" t="str">
        <f>IFERROR(时间!$B$4+AU130,"上周无销量")</f>
        <v>上周无销量</v>
      </c>
    </row>
    <row r="131" spans="1:48">
      <c r="A131" s="20" t="s">
        <v>321</v>
      </c>
      <c r="B131" t="s">
        <v>322</v>
      </c>
      <c r="C131" t="s">
        <v>320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0</v>
      </c>
      <c r="AK131">
        <v>0</v>
      </c>
      <c r="AL131">
        <v>0</v>
      </c>
      <c r="AM131">
        <v>0</v>
      </c>
      <c r="AN131" s="22" t="s">
        <v>53</v>
      </c>
      <c r="AO131" s="22" t="s">
        <v>53</v>
      </c>
      <c r="AP131" s="22" t="s">
        <v>53</v>
      </c>
      <c r="AQ131" s="22" t="s">
        <v>53</v>
      </c>
      <c r="AR131" s="35">
        <v>0</v>
      </c>
      <c r="AS131" s="35">
        <v>0</v>
      </c>
      <c r="AT131" s="35">
        <v>0</v>
      </c>
      <c r="AU131" s="31" t="str">
        <f t="shared" si="5"/>
        <v>库存为0</v>
      </c>
      <c r="AV131" s="36" t="str">
        <f>IFERROR(时间!$B$4+AU131,"上周无销量")</f>
        <v>上周无销量</v>
      </c>
    </row>
    <row r="132" spans="1:48">
      <c r="A132" s="20" t="s">
        <v>323</v>
      </c>
      <c r="B132" t="s">
        <v>324</v>
      </c>
      <c r="C132" t="s">
        <v>325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5</v>
      </c>
      <c r="J132" s="33">
        <v>0</v>
      </c>
      <c r="K132" s="33">
        <v>0</v>
      </c>
      <c r="L132" s="33">
        <v>0</v>
      </c>
      <c r="M132">
        <v>5</v>
      </c>
      <c r="N132">
        <v>0</v>
      </c>
      <c r="O132">
        <v>5</v>
      </c>
      <c r="P132">
        <v>1014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 s="22">
        <v>0</v>
      </c>
      <c r="Y132" s="22" t="s">
        <v>53</v>
      </c>
      <c r="Z132" s="22" t="s">
        <v>53</v>
      </c>
      <c r="AA132" s="22" t="s">
        <v>53</v>
      </c>
      <c r="AB132">
        <v>0</v>
      </c>
      <c r="AC132">
        <v>0</v>
      </c>
      <c r="AD132">
        <v>0</v>
      </c>
      <c r="AE132">
        <v>0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2</v>
      </c>
      <c r="AK132">
        <v>4</v>
      </c>
      <c r="AL132">
        <v>1</v>
      </c>
      <c r="AM132">
        <v>7</v>
      </c>
      <c r="AN132" s="22">
        <v>0</v>
      </c>
      <c r="AO132" s="22">
        <v>0</v>
      </c>
      <c r="AP132" s="22">
        <v>0</v>
      </c>
      <c r="AQ132" s="22">
        <v>0</v>
      </c>
      <c r="AR132" s="35">
        <v>0</v>
      </c>
      <c r="AS132" s="35">
        <v>0</v>
      </c>
      <c r="AT132" s="35">
        <v>5</v>
      </c>
      <c r="AU132" s="31" t="str">
        <f t="shared" si="5"/>
        <v>库存为5</v>
      </c>
      <c r="AV132" s="36" t="str">
        <f>IFERROR(时间!$B$4+AU132,"上周无销量")</f>
        <v>上周无销量</v>
      </c>
    </row>
    <row r="133" spans="1:48">
      <c r="A133" s="20" t="s">
        <v>326</v>
      </c>
      <c r="B133" t="s">
        <v>327</v>
      </c>
      <c r="C133" t="s">
        <v>328</v>
      </c>
      <c r="D133" s="31">
        <v>4</v>
      </c>
      <c r="E133" s="31">
        <v>6</v>
      </c>
      <c r="F133" s="31">
        <v>5</v>
      </c>
      <c r="G133" s="31">
        <v>1</v>
      </c>
      <c r="H133" s="32">
        <v>15.99</v>
      </c>
      <c r="I133">
        <v>10</v>
      </c>
      <c r="J133" s="33">
        <v>0</v>
      </c>
      <c r="K133" s="33">
        <v>0</v>
      </c>
      <c r="L133" s="33">
        <v>0</v>
      </c>
      <c r="M133">
        <v>10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19</v>
      </c>
      <c r="AK133">
        <v>23</v>
      </c>
      <c r="AL133">
        <v>23</v>
      </c>
      <c r="AM133">
        <v>8</v>
      </c>
      <c r="AN133" s="22">
        <v>0.210526315789474</v>
      </c>
      <c r="AO133" s="22">
        <v>0.260869565217391</v>
      </c>
      <c r="AP133" s="22">
        <v>0.217391304347826</v>
      </c>
      <c r="AQ133" s="22">
        <v>0.125</v>
      </c>
      <c r="AR133" s="35">
        <v>0.571428571428571</v>
      </c>
      <c r="AS133" s="35">
        <v>34.2857142857143</v>
      </c>
      <c r="AT133" s="35">
        <v>-24.2857142857143</v>
      </c>
      <c r="AU133" s="31">
        <f t="shared" ref="AU133:AU196" si="6">IF(AR133="","库存为"&amp;M133,IF(AS133=0,"库存为"&amp;M133,INT(M133/AR133)))</f>
        <v>17</v>
      </c>
      <c r="AV133" s="36">
        <f>IFERROR(时间!$B$4+AU133,"上周无销量")</f>
        <v>43335</v>
      </c>
    </row>
    <row r="134" spans="1:48">
      <c r="A134" s="20" t="s">
        <v>329</v>
      </c>
      <c r="B134" t="s">
        <v>330</v>
      </c>
      <c r="C134" t="s">
        <v>328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12</v>
      </c>
      <c r="J134" s="33">
        <v>0</v>
      </c>
      <c r="K134" s="33">
        <v>0</v>
      </c>
      <c r="L134" s="33">
        <v>0</v>
      </c>
      <c r="M134">
        <v>12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0</v>
      </c>
      <c r="AK134">
        <v>0</v>
      </c>
      <c r="AL134">
        <v>0</v>
      </c>
      <c r="AM134">
        <v>0</v>
      </c>
      <c r="AN134" s="22" t="s">
        <v>53</v>
      </c>
      <c r="AO134" s="22" t="s">
        <v>53</v>
      </c>
      <c r="AP134" s="22" t="s">
        <v>53</v>
      </c>
      <c r="AQ134" s="22" t="s">
        <v>53</v>
      </c>
      <c r="AR134" s="35">
        <v>0</v>
      </c>
      <c r="AS134" s="35">
        <v>0</v>
      </c>
      <c r="AT134" s="35">
        <v>12</v>
      </c>
      <c r="AU134" s="31" t="str">
        <f t="shared" si="6"/>
        <v>库存为12</v>
      </c>
      <c r="AV134" s="36" t="str">
        <f>IFERROR(时间!$B$4+AU134,"上周无销量")</f>
        <v>上周无销量</v>
      </c>
    </row>
    <row r="135" spans="1:48">
      <c r="A135" s="20" t="s">
        <v>331</v>
      </c>
      <c r="B135" t="s">
        <v>332</v>
      </c>
      <c r="C135" t="s">
        <v>328</v>
      </c>
      <c r="D135" s="31">
        <v>3</v>
      </c>
      <c r="E135" s="31">
        <v>11</v>
      </c>
      <c r="F135" s="31">
        <v>5</v>
      </c>
      <c r="G135" s="31">
        <v>1</v>
      </c>
      <c r="H135" s="32">
        <v>15.99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>
        <v>17</v>
      </c>
      <c r="Q135">
        <v>6</v>
      </c>
      <c r="R135">
        <v>0</v>
      </c>
      <c r="S135">
        <v>0</v>
      </c>
      <c r="T135">
        <v>1</v>
      </c>
      <c r="U135">
        <v>0</v>
      </c>
      <c r="V135">
        <v>0</v>
      </c>
      <c r="W135">
        <v>0</v>
      </c>
      <c r="X135" s="22">
        <v>0.0588235294117647</v>
      </c>
      <c r="Y135" s="22">
        <v>0</v>
      </c>
      <c r="Z135" s="22" t="s">
        <v>53</v>
      </c>
      <c r="AA135" s="22" t="s">
        <v>53</v>
      </c>
      <c r="AB135">
        <v>0.26</v>
      </c>
      <c r="AC135">
        <v>0</v>
      </c>
      <c r="AD135">
        <v>0</v>
      </c>
      <c r="AE135">
        <v>0</v>
      </c>
      <c r="AF135" s="22">
        <v>0.00542005420054201</v>
      </c>
      <c r="AG135" s="22" t="s">
        <v>53</v>
      </c>
      <c r="AH135" s="22" t="s">
        <v>53</v>
      </c>
      <c r="AI135" s="22" t="s">
        <v>53</v>
      </c>
      <c r="AJ135">
        <v>20</v>
      </c>
      <c r="AK135">
        <v>22</v>
      </c>
      <c r="AL135">
        <v>8</v>
      </c>
      <c r="AM135">
        <v>3</v>
      </c>
      <c r="AN135" s="22">
        <v>0.15</v>
      </c>
      <c r="AO135" s="22">
        <v>0.5</v>
      </c>
      <c r="AP135" s="22">
        <v>0.625</v>
      </c>
      <c r="AQ135" s="22">
        <v>0.333333333333333</v>
      </c>
      <c r="AR135" s="35">
        <v>0.428571428571429</v>
      </c>
      <c r="AS135" s="35">
        <v>25.7142857142857</v>
      </c>
      <c r="AT135" s="35">
        <v>-25.7142857142857</v>
      </c>
      <c r="AU135" s="31">
        <f t="shared" si="6"/>
        <v>0</v>
      </c>
      <c r="AV135" s="36">
        <f>IFERROR(时间!$B$4+AU135,"上周无销量")</f>
        <v>43318</v>
      </c>
    </row>
    <row r="136" spans="1:48">
      <c r="A136" s="20" t="s">
        <v>333</v>
      </c>
      <c r="B136" t="s">
        <v>334</v>
      </c>
      <c r="C136" t="s">
        <v>328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11</v>
      </c>
      <c r="J136" s="33">
        <v>0</v>
      </c>
      <c r="K136" s="33">
        <v>0</v>
      </c>
      <c r="L136" s="33">
        <v>0</v>
      </c>
      <c r="M136">
        <v>11</v>
      </c>
      <c r="N136">
        <v>0</v>
      </c>
      <c r="O136">
        <v>1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0</v>
      </c>
      <c r="AK136">
        <v>0</v>
      </c>
      <c r="AL136">
        <v>0</v>
      </c>
      <c r="AM136">
        <v>0</v>
      </c>
      <c r="AN136" s="22" t="s">
        <v>53</v>
      </c>
      <c r="AO136" s="22" t="s">
        <v>53</v>
      </c>
      <c r="AP136" s="22" t="s">
        <v>53</v>
      </c>
      <c r="AQ136" s="22" t="s">
        <v>53</v>
      </c>
      <c r="AR136" s="35">
        <v>0</v>
      </c>
      <c r="AS136" s="35">
        <v>0</v>
      </c>
      <c r="AT136" s="35">
        <v>11</v>
      </c>
      <c r="AU136" s="31" t="str">
        <f t="shared" si="6"/>
        <v>库存为11</v>
      </c>
      <c r="AV136" s="36" t="str">
        <f>IFERROR(时间!$B$4+AU136,"上周无销量")</f>
        <v>上周无销量</v>
      </c>
    </row>
    <row r="137" spans="1:48">
      <c r="A137" s="20" t="s">
        <v>335</v>
      </c>
      <c r="B137" t="s">
        <v>336</v>
      </c>
      <c r="C137" t="s">
        <v>328</v>
      </c>
      <c r="D137" s="31">
        <v>5</v>
      </c>
      <c r="E137" s="31">
        <v>3</v>
      </c>
      <c r="F137" s="31">
        <v>2</v>
      </c>
      <c r="G137" s="31">
        <v>0</v>
      </c>
      <c r="H137" s="32">
        <v>15.99</v>
      </c>
      <c r="I137">
        <v>5</v>
      </c>
      <c r="J137" s="33">
        <v>0</v>
      </c>
      <c r="K137" s="33">
        <v>0</v>
      </c>
      <c r="L137" s="33">
        <v>1</v>
      </c>
      <c r="M137">
        <v>6</v>
      </c>
      <c r="N137">
        <v>0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34</v>
      </c>
      <c r="AK137">
        <v>50</v>
      </c>
      <c r="AL137">
        <v>19</v>
      </c>
      <c r="AM137">
        <v>4</v>
      </c>
      <c r="AN137" s="22">
        <v>0.147058823529412</v>
      </c>
      <c r="AO137" s="22">
        <v>0.06</v>
      </c>
      <c r="AP137" s="22">
        <v>0.105263157894737</v>
      </c>
      <c r="AQ137" s="22">
        <v>0</v>
      </c>
      <c r="AR137" s="35">
        <v>0.714285714285714</v>
      </c>
      <c r="AS137" s="35">
        <v>42.8571428571429</v>
      </c>
      <c r="AT137" s="35">
        <v>-36.8571428571429</v>
      </c>
      <c r="AU137" s="31">
        <f t="shared" si="6"/>
        <v>8</v>
      </c>
      <c r="AV137" s="36">
        <f>IFERROR(时间!$B$4+AU137,"上周无销量")</f>
        <v>43326</v>
      </c>
    </row>
    <row r="138" spans="1:48">
      <c r="A138" s="20" t="s">
        <v>337</v>
      </c>
      <c r="B138" t="s">
        <v>338</v>
      </c>
      <c r="C138" t="s">
        <v>328</v>
      </c>
      <c r="D138" s="31">
        <v>3</v>
      </c>
      <c r="E138" s="31">
        <v>7</v>
      </c>
      <c r="F138" s="31">
        <v>2</v>
      </c>
      <c r="G138" s="31">
        <v>1</v>
      </c>
      <c r="H138" s="32">
        <v>15.99</v>
      </c>
      <c r="I138">
        <v>18</v>
      </c>
      <c r="J138" s="33">
        <v>0</v>
      </c>
      <c r="K138" s="33">
        <v>0</v>
      </c>
      <c r="L138" s="33">
        <v>0</v>
      </c>
      <c r="M138">
        <v>18</v>
      </c>
      <c r="N138">
        <v>0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14</v>
      </c>
      <c r="AK138">
        <v>13</v>
      </c>
      <c r="AL138">
        <v>14</v>
      </c>
      <c r="AM138">
        <v>2</v>
      </c>
      <c r="AN138" s="22">
        <v>0.214285714285714</v>
      </c>
      <c r="AO138" s="22">
        <v>0.538461538461538</v>
      </c>
      <c r="AP138" s="22">
        <v>0.142857142857143</v>
      </c>
      <c r="AQ138" s="22">
        <v>0.5</v>
      </c>
      <c r="AR138" s="35">
        <v>0.428571428571429</v>
      </c>
      <c r="AS138" s="35">
        <v>25.7142857142857</v>
      </c>
      <c r="AT138" s="35">
        <v>-7.71428571428571</v>
      </c>
      <c r="AU138" s="31">
        <f t="shared" si="6"/>
        <v>42</v>
      </c>
      <c r="AV138" s="36">
        <f>IFERROR(时间!$B$4+AU138,"上周无销量")</f>
        <v>43360</v>
      </c>
    </row>
    <row r="139" spans="1:48">
      <c r="A139" s="20" t="s">
        <v>339</v>
      </c>
      <c r="B139" t="s">
        <v>340</v>
      </c>
      <c r="C139" t="s">
        <v>341</v>
      </c>
      <c r="D139" s="31">
        <v>1</v>
      </c>
      <c r="E139" s="31">
        <v>1</v>
      </c>
      <c r="F139" s="31">
        <v>2</v>
      </c>
      <c r="G139" s="31">
        <v>0</v>
      </c>
      <c r="H139" s="32">
        <v>15.99</v>
      </c>
      <c r="I139">
        <v>22</v>
      </c>
      <c r="J139" s="33">
        <v>0</v>
      </c>
      <c r="K139" s="33">
        <v>0</v>
      </c>
      <c r="L139" s="33">
        <v>1</v>
      </c>
      <c r="M139">
        <v>23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23</v>
      </c>
      <c r="AK139">
        <v>18</v>
      </c>
      <c r="AL139">
        <v>17</v>
      </c>
      <c r="AM139">
        <v>1</v>
      </c>
      <c r="AN139" s="22">
        <v>0.0434782608695652</v>
      </c>
      <c r="AO139" s="22">
        <v>0.0555555555555556</v>
      </c>
      <c r="AP139" s="22">
        <v>0.117647058823529</v>
      </c>
      <c r="AQ139" s="22">
        <v>0</v>
      </c>
      <c r="AR139" s="35">
        <v>0.142857142857143</v>
      </c>
      <c r="AS139" s="35">
        <v>8.57142857142857</v>
      </c>
      <c r="AT139" s="35">
        <v>14.4285714285714</v>
      </c>
      <c r="AU139" s="31">
        <f t="shared" si="6"/>
        <v>161</v>
      </c>
      <c r="AV139" s="36">
        <f>IFERROR(时间!$B$4+AU139,"上周无销量")</f>
        <v>43479</v>
      </c>
    </row>
    <row r="140" spans="1:48">
      <c r="A140" s="20" t="s">
        <v>342</v>
      </c>
      <c r="B140" t="s">
        <v>343</v>
      </c>
      <c r="C140" t="s">
        <v>344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1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0</v>
      </c>
      <c r="AK140">
        <v>0</v>
      </c>
      <c r="AL140">
        <v>0</v>
      </c>
      <c r="AM140">
        <v>0</v>
      </c>
      <c r="AN140" s="22" t="s">
        <v>53</v>
      </c>
      <c r="AO140" s="22" t="s">
        <v>53</v>
      </c>
      <c r="AP140" s="22" t="s">
        <v>53</v>
      </c>
      <c r="AQ140" s="22" t="s">
        <v>53</v>
      </c>
      <c r="AR140" s="35">
        <v>0</v>
      </c>
      <c r="AS140" s="35">
        <v>0</v>
      </c>
      <c r="AT140" s="35">
        <v>0</v>
      </c>
      <c r="AU140" s="31" t="str">
        <f t="shared" si="6"/>
        <v>库存为0</v>
      </c>
      <c r="AV140" s="36" t="str">
        <f>IFERROR(时间!$B$4+AU140,"上周无销量")</f>
        <v>上周无销量</v>
      </c>
    </row>
    <row r="141" spans="1:48">
      <c r="A141" s="20" t="s">
        <v>345</v>
      </c>
      <c r="B141" t="s">
        <v>346</v>
      </c>
      <c r="C141" t="s">
        <v>344</v>
      </c>
      <c r="D141" s="31">
        <v>0</v>
      </c>
      <c r="E141" s="31">
        <v>12</v>
      </c>
      <c r="F141" s="31">
        <v>3</v>
      </c>
      <c r="G141" s="31">
        <v>1</v>
      </c>
      <c r="H141" s="32">
        <v>15.99</v>
      </c>
      <c r="I141">
        <v>4</v>
      </c>
      <c r="J141" s="33">
        <v>0</v>
      </c>
      <c r="K141" s="33">
        <v>0</v>
      </c>
      <c r="L141" s="33">
        <v>0</v>
      </c>
      <c r="M141">
        <v>4</v>
      </c>
      <c r="N141">
        <v>0</v>
      </c>
      <c r="O141">
        <v>0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0</v>
      </c>
      <c r="AK141">
        <v>24</v>
      </c>
      <c r="AL141">
        <v>15</v>
      </c>
      <c r="AM141">
        <v>3</v>
      </c>
      <c r="AN141" s="22" t="s">
        <v>53</v>
      </c>
      <c r="AO141" s="22">
        <v>0.5</v>
      </c>
      <c r="AP141" s="22">
        <v>0.2</v>
      </c>
      <c r="AQ141" s="22">
        <v>0.333333333333333</v>
      </c>
      <c r="AR141" s="35">
        <v>0</v>
      </c>
      <c r="AS141" s="35">
        <v>0</v>
      </c>
      <c r="AT141" s="35">
        <v>4</v>
      </c>
      <c r="AU141" s="31" t="str">
        <f t="shared" si="6"/>
        <v>库存为4</v>
      </c>
      <c r="AV141" s="36" t="str">
        <f>IFERROR(时间!$B$4+AU141,"上周无销量")</f>
        <v>上周无销量</v>
      </c>
    </row>
    <row r="142" spans="1:48">
      <c r="A142" s="20" t="s">
        <v>347</v>
      </c>
      <c r="B142" t="s">
        <v>348</v>
      </c>
      <c r="C142" t="s">
        <v>344</v>
      </c>
      <c r="D142" s="31">
        <v>4</v>
      </c>
      <c r="E142" s="31">
        <v>0</v>
      </c>
      <c r="F142" s="31">
        <v>0</v>
      </c>
      <c r="G142" s="31">
        <v>0</v>
      </c>
      <c r="H142" s="32">
        <v>15.99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19</v>
      </c>
      <c r="AK142">
        <v>0</v>
      </c>
      <c r="AL142">
        <v>0</v>
      </c>
      <c r="AM142">
        <v>0</v>
      </c>
      <c r="AN142" s="22">
        <v>0.210526315789474</v>
      </c>
      <c r="AO142" s="22" t="s">
        <v>53</v>
      </c>
      <c r="AP142" s="22" t="s">
        <v>53</v>
      </c>
      <c r="AQ142" s="22" t="s">
        <v>53</v>
      </c>
      <c r="AR142" s="35">
        <v>0.571428571428571</v>
      </c>
      <c r="AS142" s="35">
        <v>34.2857142857143</v>
      </c>
      <c r="AT142" s="35">
        <v>-34.2857142857143</v>
      </c>
      <c r="AU142" s="31">
        <f t="shared" si="6"/>
        <v>0</v>
      </c>
      <c r="AV142" s="36">
        <f>IFERROR(时间!$B$4+AU142,"上周无销量")</f>
        <v>43318</v>
      </c>
    </row>
    <row r="143" spans="1:48">
      <c r="A143" s="20" t="s">
        <v>349</v>
      </c>
      <c r="B143" t="s">
        <v>350</v>
      </c>
      <c r="C143" t="s">
        <v>344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13</v>
      </c>
      <c r="J143" s="33">
        <v>0</v>
      </c>
      <c r="K143" s="33">
        <v>0</v>
      </c>
      <c r="L143" s="33">
        <v>0</v>
      </c>
      <c r="M143">
        <v>13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0</v>
      </c>
      <c r="AK143">
        <v>0</v>
      </c>
      <c r="AL143">
        <v>0</v>
      </c>
      <c r="AM143">
        <v>0</v>
      </c>
      <c r="AN143" s="22" t="s">
        <v>53</v>
      </c>
      <c r="AO143" s="22" t="s">
        <v>53</v>
      </c>
      <c r="AP143" s="22" t="s">
        <v>53</v>
      </c>
      <c r="AQ143" s="22" t="s">
        <v>53</v>
      </c>
      <c r="AR143" s="35">
        <v>0</v>
      </c>
      <c r="AS143" s="35">
        <v>0</v>
      </c>
      <c r="AT143" s="35">
        <v>13</v>
      </c>
      <c r="AU143" s="31" t="str">
        <f t="shared" si="6"/>
        <v>库存为13</v>
      </c>
      <c r="AV143" s="36" t="str">
        <f>IFERROR(时间!$B$4+AU143,"上周无销量")</f>
        <v>上周无销量</v>
      </c>
    </row>
    <row r="144" spans="1:48">
      <c r="A144" s="20" t="s">
        <v>351</v>
      </c>
      <c r="B144" t="s">
        <v>352</v>
      </c>
      <c r="C144" t="s">
        <v>344</v>
      </c>
      <c r="D144" s="31">
        <v>1</v>
      </c>
      <c r="E144" s="31">
        <v>9</v>
      </c>
      <c r="F144" s="31">
        <v>3</v>
      </c>
      <c r="G144" s="31">
        <v>0</v>
      </c>
      <c r="H144" s="32">
        <v>15.99</v>
      </c>
      <c r="I144">
        <v>6</v>
      </c>
      <c r="J144" s="33">
        <v>0</v>
      </c>
      <c r="K144" s="33">
        <v>0</v>
      </c>
      <c r="L144" s="33">
        <v>0</v>
      </c>
      <c r="M144">
        <v>6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15</v>
      </c>
      <c r="AK144">
        <v>14</v>
      </c>
      <c r="AL144">
        <v>8</v>
      </c>
      <c r="AM144">
        <v>2</v>
      </c>
      <c r="AN144" s="22">
        <v>0.0666666666666667</v>
      </c>
      <c r="AO144" s="22">
        <v>0.642857142857143</v>
      </c>
      <c r="AP144" s="22">
        <v>0.375</v>
      </c>
      <c r="AQ144" s="22">
        <v>0</v>
      </c>
      <c r="AR144" s="35">
        <v>0.142857142857143</v>
      </c>
      <c r="AS144" s="35">
        <v>8.57142857142857</v>
      </c>
      <c r="AT144" s="35">
        <v>-2.57142857142857</v>
      </c>
      <c r="AU144" s="31">
        <f t="shared" si="6"/>
        <v>42</v>
      </c>
      <c r="AV144" s="36">
        <f>IFERROR(时间!$B$4+AU144,"上周无销量")</f>
        <v>43360</v>
      </c>
    </row>
    <row r="145" spans="1:48">
      <c r="A145" s="20" t="s">
        <v>353</v>
      </c>
      <c r="B145" t="s">
        <v>354</v>
      </c>
      <c r="C145" t="s">
        <v>344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11</v>
      </c>
      <c r="J145" s="33">
        <v>0</v>
      </c>
      <c r="K145" s="33">
        <v>0</v>
      </c>
      <c r="L145" s="33">
        <v>0</v>
      </c>
      <c r="M145">
        <v>11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0</v>
      </c>
      <c r="AK145">
        <v>0</v>
      </c>
      <c r="AL145">
        <v>0</v>
      </c>
      <c r="AM145">
        <v>0</v>
      </c>
      <c r="AN145" s="22" t="s">
        <v>53</v>
      </c>
      <c r="AO145" s="22" t="s">
        <v>53</v>
      </c>
      <c r="AP145" s="22" t="s">
        <v>53</v>
      </c>
      <c r="AQ145" s="22" t="s">
        <v>53</v>
      </c>
      <c r="AR145" s="35">
        <v>0</v>
      </c>
      <c r="AS145" s="35">
        <v>0</v>
      </c>
      <c r="AT145" s="35">
        <v>11</v>
      </c>
      <c r="AU145" s="31" t="str">
        <f t="shared" si="6"/>
        <v>库存为11</v>
      </c>
      <c r="AV145" s="36" t="str">
        <f>IFERROR(时间!$B$4+AU145,"上周无销量")</f>
        <v>上周无销量</v>
      </c>
    </row>
    <row r="146" spans="1:48">
      <c r="A146" s="20" t="s">
        <v>355</v>
      </c>
      <c r="B146" t="s">
        <v>356</v>
      </c>
      <c r="C146" t="s">
        <v>344</v>
      </c>
      <c r="D146" s="31">
        <v>4</v>
      </c>
      <c r="E146" s="31">
        <v>11</v>
      </c>
      <c r="F146" s="31">
        <v>3</v>
      </c>
      <c r="G146" s="31">
        <v>5</v>
      </c>
      <c r="H146" s="32">
        <v>15.99</v>
      </c>
      <c r="I146">
        <v>10</v>
      </c>
      <c r="J146" s="33">
        <v>5</v>
      </c>
      <c r="K146" s="33">
        <v>0</v>
      </c>
      <c r="L146" s="33">
        <v>0</v>
      </c>
      <c r="M146">
        <v>15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12</v>
      </c>
      <c r="AK146">
        <v>18</v>
      </c>
      <c r="AL146">
        <v>14</v>
      </c>
      <c r="AM146">
        <v>7</v>
      </c>
      <c r="AN146" s="22">
        <v>0.333333333333333</v>
      </c>
      <c r="AO146" s="22">
        <v>0.611111111111111</v>
      </c>
      <c r="AP146" s="22">
        <v>0.214285714285714</v>
      </c>
      <c r="AQ146" s="22">
        <v>0.714285714285714</v>
      </c>
      <c r="AR146" s="35">
        <v>0.571428571428571</v>
      </c>
      <c r="AS146" s="35">
        <v>34.2857142857143</v>
      </c>
      <c r="AT146" s="35">
        <v>-19.2857142857143</v>
      </c>
      <c r="AU146" s="31">
        <f t="shared" si="6"/>
        <v>26</v>
      </c>
      <c r="AV146" s="36">
        <f>IFERROR(时间!$B$4+AU146,"上周无销量")</f>
        <v>43344</v>
      </c>
    </row>
    <row r="147" spans="1:48">
      <c r="A147" s="20" t="s">
        <v>357</v>
      </c>
      <c r="B147" t="s">
        <v>358</v>
      </c>
      <c r="C147" t="s">
        <v>359</v>
      </c>
      <c r="D147" s="31">
        <v>2</v>
      </c>
      <c r="E147" s="31">
        <v>0</v>
      </c>
      <c r="F147" s="31">
        <v>4</v>
      </c>
      <c r="G147" s="31">
        <v>1</v>
      </c>
      <c r="H147" s="32">
        <v>15.99</v>
      </c>
      <c r="I147">
        <v>10</v>
      </c>
      <c r="J147" s="33">
        <v>1</v>
      </c>
      <c r="K147" s="33">
        <v>0</v>
      </c>
      <c r="L147" s="33">
        <v>1</v>
      </c>
      <c r="M147">
        <v>12</v>
      </c>
      <c r="N147">
        <v>0</v>
      </c>
      <c r="O147">
        <v>0</v>
      </c>
      <c r="P147">
        <v>20555</v>
      </c>
      <c r="Q147">
        <v>15682</v>
      </c>
      <c r="R147">
        <v>15148</v>
      </c>
      <c r="S147">
        <v>1966</v>
      </c>
      <c r="T147">
        <v>52</v>
      </c>
      <c r="U147">
        <v>57</v>
      </c>
      <c r="V147">
        <v>49</v>
      </c>
      <c r="W147">
        <v>10</v>
      </c>
      <c r="X147" s="22">
        <v>0.00252979810265142</v>
      </c>
      <c r="Y147" s="22">
        <v>0.0036347404667772</v>
      </c>
      <c r="Z147" s="22">
        <v>0.00323475046210721</v>
      </c>
      <c r="AA147" s="22">
        <v>0.00508646998982706</v>
      </c>
      <c r="AB147">
        <v>22.92</v>
      </c>
      <c r="AC147">
        <v>24.25</v>
      </c>
      <c r="AD147">
        <v>20.83</v>
      </c>
      <c r="AE147">
        <v>4.08</v>
      </c>
      <c r="AF147" s="22">
        <v>0.716697936210131</v>
      </c>
      <c r="AG147" s="22" t="s">
        <v>360</v>
      </c>
      <c r="AH147" s="22">
        <v>0.32567229518449</v>
      </c>
      <c r="AI147" s="22">
        <v>0.25515947467167</v>
      </c>
      <c r="AJ147">
        <v>28</v>
      </c>
      <c r="AK147">
        <v>55</v>
      </c>
      <c r="AL147">
        <v>31</v>
      </c>
      <c r="AM147">
        <v>8</v>
      </c>
      <c r="AN147" s="22">
        <v>0.0714285714285714</v>
      </c>
      <c r="AO147" s="22">
        <v>0</v>
      </c>
      <c r="AP147" s="22">
        <v>0.129032258064516</v>
      </c>
      <c r="AQ147" s="22">
        <v>0.125</v>
      </c>
      <c r="AR147" s="35">
        <v>0.285714285714286</v>
      </c>
      <c r="AS147" s="35">
        <v>17.1428571428571</v>
      </c>
      <c r="AT147" s="35">
        <v>-5.14285714285714</v>
      </c>
      <c r="AU147" s="31">
        <f t="shared" si="6"/>
        <v>42</v>
      </c>
      <c r="AV147" s="36">
        <f>IFERROR(时间!$B$4+AU147,"上周无销量")</f>
        <v>43360</v>
      </c>
    </row>
    <row r="148" spans="1:48">
      <c r="A148" s="20" t="s">
        <v>361</v>
      </c>
      <c r="B148" t="s">
        <v>362</v>
      </c>
      <c r="C148" t="s">
        <v>359</v>
      </c>
      <c r="D148" s="31">
        <v>0</v>
      </c>
      <c r="E148" s="31">
        <v>4</v>
      </c>
      <c r="F148" s="31">
        <v>1</v>
      </c>
      <c r="G148" s="31">
        <v>2</v>
      </c>
      <c r="H148" s="32">
        <v>15.99</v>
      </c>
      <c r="I148">
        <v>10</v>
      </c>
      <c r="J148" s="33">
        <v>0</v>
      </c>
      <c r="K148" s="33">
        <v>0</v>
      </c>
      <c r="L148" s="33">
        <v>0</v>
      </c>
      <c r="M148">
        <v>10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16</v>
      </c>
      <c r="AK148">
        <v>13</v>
      </c>
      <c r="AL148">
        <v>8</v>
      </c>
      <c r="AM148">
        <v>5</v>
      </c>
      <c r="AN148" s="22">
        <v>0</v>
      </c>
      <c r="AO148" s="22">
        <v>0.307692307692308</v>
      </c>
      <c r="AP148" s="22">
        <v>0.125</v>
      </c>
      <c r="AQ148" s="22">
        <v>0.4</v>
      </c>
      <c r="AR148" s="35">
        <v>0</v>
      </c>
      <c r="AS148" s="35">
        <v>0</v>
      </c>
      <c r="AT148" s="35">
        <v>10</v>
      </c>
      <c r="AU148" s="31" t="str">
        <f t="shared" si="6"/>
        <v>库存为10</v>
      </c>
      <c r="AV148" s="36" t="str">
        <f>IFERROR(时间!$B$4+AU148,"上周无销量")</f>
        <v>上周无销量</v>
      </c>
    </row>
    <row r="149" spans="1:48">
      <c r="A149" s="20" t="s">
        <v>363</v>
      </c>
      <c r="B149" t="s">
        <v>364</v>
      </c>
      <c r="C149" t="s">
        <v>359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6</v>
      </c>
      <c r="J149" s="33">
        <v>0</v>
      </c>
      <c r="K149" s="33">
        <v>0</v>
      </c>
      <c r="L149" s="33">
        <v>0</v>
      </c>
      <c r="M149">
        <v>6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0</v>
      </c>
      <c r="AK149">
        <v>0</v>
      </c>
      <c r="AL149">
        <v>0</v>
      </c>
      <c r="AM149">
        <v>0</v>
      </c>
      <c r="AN149" s="22" t="s">
        <v>53</v>
      </c>
      <c r="AO149" s="22" t="s">
        <v>53</v>
      </c>
      <c r="AP149" s="22" t="s">
        <v>53</v>
      </c>
      <c r="AQ149" s="22" t="s">
        <v>53</v>
      </c>
      <c r="AR149" s="35">
        <v>0</v>
      </c>
      <c r="AS149" s="35">
        <v>0</v>
      </c>
      <c r="AT149" s="35">
        <v>6</v>
      </c>
      <c r="AU149" s="31" t="str">
        <f t="shared" si="6"/>
        <v>库存为6</v>
      </c>
      <c r="AV149" s="36" t="str">
        <f>IFERROR(时间!$B$4+AU149,"上周无销量")</f>
        <v>上周无销量</v>
      </c>
    </row>
    <row r="150" spans="1:48">
      <c r="A150" s="20" t="s">
        <v>365</v>
      </c>
      <c r="B150" t="s">
        <v>366</v>
      </c>
      <c r="C150" t="s">
        <v>359</v>
      </c>
      <c r="D150" s="31">
        <v>2</v>
      </c>
      <c r="E150" s="31">
        <v>2</v>
      </c>
      <c r="F150" s="31">
        <v>0</v>
      </c>
      <c r="G150" s="31">
        <v>0</v>
      </c>
      <c r="H150" s="32">
        <v>15.99</v>
      </c>
      <c r="I150">
        <v>25</v>
      </c>
      <c r="J150" s="33">
        <v>0</v>
      </c>
      <c r="K150" s="33">
        <v>0</v>
      </c>
      <c r="L150" s="33">
        <v>0</v>
      </c>
      <c r="M150">
        <v>25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24</v>
      </c>
      <c r="AK150">
        <v>19</v>
      </c>
      <c r="AL150">
        <v>13</v>
      </c>
      <c r="AM150">
        <v>1</v>
      </c>
      <c r="AN150" s="22">
        <v>0.0833333333333333</v>
      </c>
      <c r="AO150" s="22">
        <v>0.105263157894737</v>
      </c>
      <c r="AP150" s="22">
        <v>0</v>
      </c>
      <c r="AQ150" s="22">
        <v>0</v>
      </c>
      <c r="AR150" s="35">
        <v>0.285714285714286</v>
      </c>
      <c r="AS150" s="35">
        <v>17.1428571428571</v>
      </c>
      <c r="AT150" s="35">
        <v>7.85714285714286</v>
      </c>
      <c r="AU150" s="31">
        <f t="shared" si="6"/>
        <v>87</v>
      </c>
      <c r="AV150" s="36">
        <f>IFERROR(时间!$B$4+AU150,"上周无销量")</f>
        <v>43405</v>
      </c>
    </row>
    <row r="151" spans="1:48">
      <c r="A151" s="20" t="s">
        <v>367</v>
      </c>
      <c r="B151" t="s">
        <v>368</v>
      </c>
      <c r="C151" t="s">
        <v>359</v>
      </c>
      <c r="D151" s="31">
        <v>2</v>
      </c>
      <c r="E151" s="31">
        <v>2</v>
      </c>
      <c r="F151" s="31">
        <v>2</v>
      </c>
      <c r="G151" s="31">
        <v>0</v>
      </c>
      <c r="H151" s="32">
        <v>15.99</v>
      </c>
      <c r="I151">
        <v>16</v>
      </c>
      <c r="J151" s="33">
        <v>0</v>
      </c>
      <c r="K151" s="33">
        <v>0</v>
      </c>
      <c r="L151" s="33">
        <v>0</v>
      </c>
      <c r="M151">
        <v>16</v>
      </c>
      <c r="N151">
        <v>0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17</v>
      </c>
      <c r="AK151">
        <v>23</v>
      </c>
      <c r="AL151">
        <v>16</v>
      </c>
      <c r="AM151">
        <v>6</v>
      </c>
      <c r="AN151" s="22">
        <v>0.117647058823529</v>
      </c>
      <c r="AO151" s="22">
        <v>0.0869565217391304</v>
      </c>
      <c r="AP151" s="22">
        <v>0.125</v>
      </c>
      <c r="AQ151" s="22">
        <v>0</v>
      </c>
      <c r="AR151" s="35">
        <v>0.285714285714286</v>
      </c>
      <c r="AS151" s="35">
        <v>17.1428571428571</v>
      </c>
      <c r="AT151" s="35">
        <v>-1.14285714285714</v>
      </c>
      <c r="AU151" s="31">
        <f t="shared" si="6"/>
        <v>56</v>
      </c>
      <c r="AV151" s="36">
        <f>IFERROR(时间!$B$4+AU151,"上周无销量")</f>
        <v>43374</v>
      </c>
    </row>
    <row r="152" spans="1:48">
      <c r="A152" s="20" t="s">
        <v>369</v>
      </c>
      <c r="B152" t="s">
        <v>370</v>
      </c>
      <c r="C152" t="s">
        <v>371</v>
      </c>
      <c r="D152" s="31">
        <v>5</v>
      </c>
      <c r="E152" s="31">
        <v>10</v>
      </c>
      <c r="F152" s="31">
        <v>8</v>
      </c>
      <c r="G152" s="31">
        <v>3</v>
      </c>
      <c r="H152" s="32">
        <v>15.99</v>
      </c>
      <c r="I152">
        <v>0</v>
      </c>
      <c r="J152" s="33">
        <v>16</v>
      </c>
      <c r="K152" s="33">
        <v>0</v>
      </c>
      <c r="L152" s="33">
        <v>0</v>
      </c>
      <c r="M152">
        <v>16</v>
      </c>
      <c r="N152">
        <v>0</v>
      </c>
      <c r="O152">
        <v>0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12</v>
      </c>
      <c r="AK152">
        <v>43</v>
      </c>
      <c r="AL152">
        <v>36</v>
      </c>
      <c r="AM152">
        <v>6</v>
      </c>
      <c r="AN152" s="22">
        <v>0.416666666666667</v>
      </c>
      <c r="AO152" s="22">
        <v>0.232558139534884</v>
      </c>
      <c r="AP152" s="22">
        <v>0.222222222222222</v>
      </c>
      <c r="AQ152" s="22">
        <v>0.5</v>
      </c>
      <c r="AR152" s="35">
        <v>0.714285714285714</v>
      </c>
      <c r="AS152" s="35">
        <v>42.8571428571429</v>
      </c>
      <c r="AT152" s="35">
        <v>-26.8571428571429</v>
      </c>
      <c r="AU152" s="31">
        <f t="shared" si="6"/>
        <v>22</v>
      </c>
      <c r="AV152" s="36">
        <f>IFERROR(时间!$B$4+AU152,"上周无销量")</f>
        <v>43340</v>
      </c>
    </row>
    <row r="153" spans="1:48">
      <c r="A153" s="20" t="s">
        <v>372</v>
      </c>
      <c r="B153" t="s">
        <v>373</v>
      </c>
      <c r="C153" t="s">
        <v>371</v>
      </c>
      <c r="D153" s="31">
        <v>3</v>
      </c>
      <c r="E153" s="31">
        <v>8</v>
      </c>
      <c r="F153" s="31">
        <v>5</v>
      </c>
      <c r="G153" s="31">
        <v>0</v>
      </c>
      <c r="H153" s="32">
        <v>15.99</v>
      </c>
      <c r="I153">
        <v>12</v>
      </c>
      <c r="J153" s="33">
        <v>0</v>
      </c>
      <c r="K153" s="33">
        <v>0</v>
      </c>
      <c r="L153" s="33">
        <v>1</v>
      </c>
      <c r="M153">
        <v>13</v>
      </c>
      <c r="N153">
        <v>0</v>
      </c>
      <c r="O153">
        <v>0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32</v>
      </c>
      <c r="AK153">
        <v>41</v>
      </c>
      <c r="AL153">
        <v>24</v>
      </c>
      <c r="AM153">
        <v>3</v>
      </c>
      <c r="AN153" s="22">
        <v>0.09375</v>
      </c>
      <c r="AO153" s="22">
        <v>0.195121951219512</v>
      </c>
      <c r="AP153" s="22">
        <v>0.208333333333333</v>
      </c>
      <c r="AQ153" s="22">
        <v>0</v>
      </c>
      <c r="AR153" s="35">
        <v>0.428571428571429</v>
      </c>
      <c r="AS153" s="35">
        <v>25.7142857142857</v>
      </c>
      <c r="AT153" s="35">
        <v>-12.7142857142857</v>
      </c>
      <c r="AU153" s="31">
        <f t="shared" si="6"/>
        <v>30</v>
      </c>
      <c r="AV153" s="36">
        <f>IFERROR(时间!$B$4+AU153,"上周无销量")</f>
        <v>43348</v>
      </c>
    </row>
    <row r="154" spans="1:48">
      <c r="A154" s="20" t="s">
        <v>374</v>
      </c>
      <c r="B154" t="s">
        <v>375</v>
      </c>
      <c r="C154" t="s">
        <v>371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10</v>
      </c>
      <c r="J154" s="33">
        <v>0</v>
      </c>
      <c r="K154" s="33">
        <v>0</v>
      </c>
      <c r="L154" s="33">
        <v>0</v>
      </c>
      <c r="M154">
        <v>10</v>
      </c>
      <c r="N154">
        <v>0</v>
      </c>
      <c r="O154">
        <v>1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0</v>
      </c>
      <c r="AK154">
        <v>0</v>
      </c>
      <c r="AL154">
        <v>0</v>
      </c>
      <c r="AM154">
        <v>0</v>
      </c>
      <c r="AN154" s="22" t="s">
        <v>53</v>
      </c>
      <c r="AO154" s="22" t="s">
        <v>53</v>
      </c>
      <c r="AP154" s="22" t="s">
        <v>53</v>
      </c>
      <c r="AQ154" s="22" t="s">
        <v>53</v>
      </c>
      <c r="AR154" s="35">
        <v>0</v>
      </c>
      <c r="AS154" s="35">
        <v>0</v>
      </c>
      <c r="AT154" s="35">
        <v>10</v>
      </c>
      <c r="AU154" s="31" t="str">
        <f t="shared" si="6"/>
        <v>库存为10</v>
      </c>
      <c r="AV154" s="36" t="str">
        <f>IFERROR(时间!$B$4+AU154,"上周无销量")</f>
        <v>上周无销量</v>
      </c>
    </row>
    <row r="155" spans="1:48">
      <c r="A155" s="20" t="s">
        <v>376</v>
      </c>
      <c r="B155" t="s">
        <v>377</v>
      </c>
      <c r="C155" t="s">
        <v>371</v>
      </c>
      <c r="D155" s="31">
        <v>1</v>
      </c>
      <c r="E155" s="31">
        <v>1</v>
      </c>
      <c r="F155" s="31">
        <v>2</v>
      </c>
      <c r="G155" s="31">
        <v>1</v>
      </c>
      <c r="H155" s="32">
        <v>15.99</v>
      </c>
      <c r="I155">
        <v>14</v>
      </c>
      <c r="J155" s="33">
        <v>0</v>
      </c>
      <c r="K155" s="33">
        <v>0</v>
      </c>
      <c r="L155" s="33">
        <v>0</v>
      </c>
      <c r="M155">
        <v>14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39</v>
      </c>
      <c r="AK155">
        <v>40</v>
      </c>
      <c r="AL155">
        <v>27</v>
      </c>
      <c r="AM155">
        <v>5</v>
      </c>
      <c r="AN155" s="22">
        <v>0.0256410256410256</v>
      </c>
      <c r="AO155" s="22">
        <v>0.025</v>
      </c>
      <c r="AP155" s="22">
        <v>0.0740740740740741</v>
      </c>
      <c r="AQ155" s="22">
        <v>0.2</v>
      </c>
      <c r="AR155" s="35">
        <v>0.142857142857143</v>
      </c>
      <c r="AS155" s="35">
        <v>8.57142857142857</v>
      </c>
      <c r="AT155" s="35">
        <v>5.42857142857143</v>
      </c>
      <c r="AU155" s="31">
        <f t="shared" si="6"/>
        <v>98</v>
      </c>
      <c r="AV155" s="36">
        <f>IFERROR(时间!$B$4+AU155,"上周无销量")</f>
        <v>43416</v>
      </c>
    </row>
    <row r="156" spans="1:48">
      <c r="A156" s="20" t="s">
        <v>378</v>
      </c>
      <c r="B156" t="s">
        <v>379</v>
      </c>
      <c r="C156" t="s">
        <v>371</v>
      </c>
      <c r="D156" s="31">
        <v>10</v>
      </c>
      <c r="E156" s="31">
        <v>7</v>
      </c>
      <c r="F156" s="31">
        <v>8</v>
      </c>
      <c r="G156" s="31">
        <v>5</v>
      </c>
      <c r="H156" s="32">
        <v>15.99</v>
      </c>
      <c r="I156">
        <v>6</v>
      </c>
      <c r="J156" s="33">
        <v>5</v>
      </c>
      <c r="K156" s="33">
        <v>0</v>
      </c>
      <c r="L156" s="33">
        <v>1</v>
      </c>
      <c r="M156">
        <v>12</v>
      </c>
      <c r="N156">
        <v>0</v>
      </c>
      <c r="O156">
        <v>0</v>
      </c>
      <c r="P156">
        <v>147</v>
      </c>
      <c r="Q156">
        <v>139</v>
      </c>
      <c r="R156">
        <v>0</v>
      </c>
      <c r="S156">
        <v>0</v>
      </c>
      <c r="T156">
        <v>6</v>
      </c>
      <c r="U156">
        <v>4</v>
      </c>
      <c r="V156">
        <v>0</v>
      </c>
      <c r="W156">
        <v>0</v>
      </c>
      <c r="X156" s="22">
        <v>0.0408163265306122</v>
      </c>
      <c r="Y156" s="22">
        <v>0.0287769784172662</v>
      </c>
      <c r="Z156" s="22" t="s">
        <v>53</v>
      </c>
      <c r="AA156" s="22" t="s">
        <v>53</v>
      </c>
      <c r="AB156">
        <v>0.86</v>
      </c>
      <c r="AC156">
        <v>0.66</v>
      </c>
      <c r="AD156">
        <v>0</v>
      </c>
      <c r="AE156">
        <v>0</v>
      </c>
      <c r="AF156" s="22">
        <v>0.00537836147592245</v>
      </c>
      <c r="AG156" s="22">
        <v>0.00589654248190834</v>
      </c>
      <c r="AH156" s="22" t="s">
        <v>53</v>
      </c>
      <c r="AI156" s="22" t="s">
        <v>53</v>
      </c>
      <c r="AJ156">
        <v>40</v>
      </c>
      <c r="AK156">
        <v>32</v>
      </c>
      <c r="AL156">
        <v>32</v>
      </c>
      <c r="AM156">
        <v>6</v>
      </c>
      <c r="AN156" s="22">
        <v>0.25</v>
      </c>
      <c r="AO156" s="22">
        <v>0.21875</v>
      </c>
      <c r="AP156" s="22">
        <v>0.25</v>
      </c>
      <c r="AQ156" s="22">
        <v>0.833333333333333</v>
      </c>
      <c r="AR156" s="35">
        <v>1.42857142857143</v>
      </c>
      <c r="AS156" s="35">
        <v>85.7142857142857</v>
      </c>
      <c r="AT156" s="35">
        <v>-73.7142857142857</v>
      </c>
      <c r="AU156" s="31">
        <f t="shared" si="6"/>
        <v>8</v>
      </c>
      <c r="AV156" s="36">
        <f>IFERROR(时间!$B$4+AU156,"上周无销量")</f>
        <v>43326</v>
      </c>
    </row>
    <row r="157" spans="1:48">
      <c r="A157" s="20" t="s">
        <v>380</v>
      </c>
      <c r="B157" t="s">
        <v>381</v>
      </c>
      <c r="C157" t="s">
        <v>382</v>
      </c>
      <c r="D157" s="31">
        <v>1</v>
      </c>
      <c r="E157" s="31">
        <v>2</v>
      </c>
      <c r="F157" s="31">
        <v>3</v>
      </c>
      <c r="G157" s="31">
        <v>0</v>
      </c>
      <c r="H157" s="32">
        <v>8.99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1</v>
      </c>
      <c r="O157">
        <v>0</v>
      </c>
      <c r="P157">
        <v>84</v>
      </c>
      <c r="Q157">
        <v>148</v>
      </c>
      <c r="R157">
        <v>0</v>
      </c>
      <c r="S157">
        <v>0</v>
      </c>
      <c r="T157">
        <v>1</v>
      </c>
      <c r="U157">
        <v>3</v>
      </c>
      <c r="V157">
        <v>0</v>
      </c>
      <c r="W157">
        <v>0</v>
      </c>
      <c r="X157" s="22">
        <v>0.0119047619047619</v>
      </c>
      <c r="Y157" s="22">
        <v>0.0202702702702703</v>
      </c>
      <c r="Z157" s="22" t="s">
        <v>53</v>
      </c>
      <c r="AA157" s="22" t="s">
        <v>53</v>
      </c>
      <c r="AB157">
        <v>0.14</v>
      </c>
      <c r="AC157">
        <v>0.44</v>
      </c>
      <c r="AD157">
        <v>0</v>
      </c>
      <c r="AE157">
        <v>0</v>
      </c>
      <c r="AF157" s="22">
        <v>0.0155728587319244</v>
      </c>
      <c r="AG157" s="22">
        <v>0.0244716351501669</v>
      </c>
      <c r="AH157" s="22" t="s">
        <v>53</v>
      </c>
      <c r="AI157" s="22" t="s">
        <v>53</v>
      </c>
      <c r="AJ157">
        <v>11</v>
      </c>
      <c r="AK157">
        <v>15</v>
      </c>
      <c r="AL157">
        <v>8</v>
      </c>
      <c r="AM157">
        <v>7</v>
      </c>
      <c r="AN157" s="22">
        <v>0.0909090909090909</v>
      </c>
      <c r="AO157" s="22">
        <v>0.133333333333333</v>
      </c>
      <c r="AP157" s="22">
        <v>0.375</v>
      </c>
      <c r="AQ157" s="22">
        <v>0</v>
      </c>
      <c r="AR157" s="35">
        <v>0.142857142857143</v>
      </c>
      <c r="AS157" s="35">
        <v>8.57142857142857</v>
      </c>
      <c r="AT157" s="35">
        <v>-8.57142857142857</v>
      </c>
      <c r="AU157" s="31">
        <f t="shared" si="6"/>
        <v>0</v>
      </c>
      <c r="AV157" s="36">
        <f>IFERROR(时间!$B$4+AU157,"上周无销量")</f>
        <v>43318</v>
      </c>
    </row>
    <row r="158" spans="1:48">
      <c r="A158" s="20" t="s">
        <v>383</v>
      </c>
      <c r="B158" t="s">
        <v>384</v>
      </c>
      <c r="C158" t="s">
        <v>383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25</v>
      </c>
      <c r="J158" s="33">
        <v>0</v>
      </c>
      <c r="K158" s="33">
        <v>0</v>
      </c>
      <c r="L158" s="33">
        <v>0</v>
      </c>
      <c r="M158">
        <v>25</v>
      </c>
      <c r="N158">
        <v>0</v>
      </c>
      <c r="O158">
        <v>25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1</v>
      </c>
      <c r="AK158">
        <v>3</v>
      </c>
      <c r="AL158">
        <v>4</v>
      </c>
      <c r="AM158">
        <v>3</v>
      </c>
      <c r="AN158" s="22">
        <v>0</v>
      </c>
      <c r="AO158" s="22">
        <v>0</v>
      </c>
      <c r="AP158" s="22">
        <v>0</v>
      </c>
      <c r="AQ158" s="22">
        <v>0</v>
      </c>
      <c r="AR158" s="35">
        <v>0</v>
      </c>
      <c r="AS158" s="35">
        <v>0</v>
      </c>
      <c r="AT158" s="35">
        <v>25</v>
      </c>
      <c r="AU158" s="31" t="str">
        <f t="shared" si="6"/>
        <v>库存为25</v>
      </c>
      <c r="AV158" s="36" t="str">
        <f>IFERROR(时间!$B$4+AU158,"上周无销量")</f>
        <v>上周无销量</v>
      </c>
    </row>
    <row r="159" spans="1:48">
      <c r="A159" s="20" t="s">
        <v>385</v>
      </c>
      <c r="B159" t="s">
        <v>386</v>
      </c>
      <c r="C159" t="s">
        <v>387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3</v>
      </c>
      <c r="J159" s="33">
        <v>0</v>
      </c>
      <c r="K159" s="33">
        <v>0</v>
      </c>
      <c r="L159" s="33">
        <v>0</v>
      </c>
      <c r="M159">
        <v>3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2</v>
      </c>
      <c r="AK159">
        <v>0</v>
      </c>
      <c r="AL159">
        <v>3</v>
      </c>
      <c r="AM159">
        <v>3</v>
      </c>
      <c r="AN159" s="22">
        <v>0</v>
      </c>
      <c r="AO159" s="22" t="s">
        <v>53</v>
      </c>
      <c r="AP159" s="22">
        <v>0</v>
      </c>
      <c r="AQ159" s="22">
        <v>0</v>
      </c>
      <c r="AR159" s="35">
        <v>0</v>
      </c>
      <c r="AS159" s="35">
        <v>0</v>
      </c>
      <c r="AT159" s="35">
        <v>3</v>
      </c>
      <c r="AU159" s="31" t="str">
        <f t="shared" si="6"/>
        <v>库存为3</v>
      </c>
      <c r="AV159" s="36" t="str">
        <f>IFERROR(时间!$B$4+AU159,"上周无销量")</f>
        <v>上周无销量</v>
      </c>
    </row>
    <row r="160" spans="1:48">
      <c r="A160" s="20" t="s">
        <v>388</v>
      </c>
      <c r="B160" t="s">
        <v>389</v>
      </c>
      <c r="C160" t="s">
        <v>387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3</v>
      </c>
      <c r="J160" s="33">
        <v>0</v>
      </c>
      <c r="K160" s="33">
        <v>0</v>
      </c>
      <c r="L160" s="33">
        <v>0</v>
      </c>
      <c r="M160">
        <v>3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3</v>
      </c>
      <c r="AK160">
        <v>2</v>
      </c>
      <c r="AL160">
        <v>3</v>
      </c>
      <c r="AM160">
        <v>1</v>
      </c>
      <c r="AN160" s="22">
        <v>0</v>
      </c>
      <c r="AO160" s="22">
        <v>0</v>
      </c>
      <c r="AP160" s="22">
        <v>0</v>
      </c>
      <c r="AQ160" s="22">
        <v>0</v>
      </c>
      <c r="AR160" s="35">
        <v>0</v>
      </c>
      <c r="AS160" s="35">
        <v>0</v>
      </c>
      <c r="AT160" s="35">
        <v>3</v>
      </c>
      <c r="AU160" s="31" t="str">
        <f t="shared" si="6"/>
        <v>库存为3</v>
      </c>
      <c r="AV160" s="36" t="str">
        <f>IFERROR(时间!$B$4+AU160,"上周无销量")</f>
        <v>上周无销量</v>
      </c>
    </row>
    <row r="161" spans="1:48">
      <c r="A161" s="20" t="s">
        <v>390</v>
      </c>
      <c r="B161" t="s">
        <v>391</v>
      </c>
      <c r="C161" t="s">
        <v>387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3</v>
      </c>
      <c r="J161" s="33">
        <v>0</v>
      </c>
      <c r="K161" s="33">
        <v>0</v>
      </c>
      <c r="L161" s="33">
        <v>0</v>
      </c>
      <c r="M161">
        <v>3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2</v>
      </c>
      <c r="AK161">
        <v>5</v>
      </c>
      <c r="AL161">
        <v>2</v>
      </c>
      <c r="AM161">
        <v>1</v>
      </c>
      <c r="AN161" s="22">
        <v>0</v>
      </c>
      <c r="AO161" s="22">
        <v>0</v>
      </c>
      <c r="AP161" s="22">
        <v>0</v>
      </c>
      <c r="AQ161" s="22">
        <v>0</v>
      </c>
      <c r="AR161" s="35">
        <v>0</v>
      </c>
      <c r="AS161" s="35">
        <v>0</v>
      </c>
      <c r="AT161" s="35">
        <v>3</v>
      </c>
      <c r="AU161" s="31" t="str">
        <f t="shared" si="6"/>
        <v>库存为3</v>
      </c>
      <c r="AV161" s="36" t="str">
        <f>IFERROR(时间!$B$4+AU161,"上周无销量")</f>
        <v>上周无销量</v>
      </c>
    </row>
    <row r="162" spans="1:48">
      <c r="A162" s="20" t="s">
        <v>392</v>
      </c>
      <c r="B162" t="s">
        <v>393</v>
      </c>
      <c r="C162" t="s">
        <v>387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3</v>
      </c>
      <c r="J162" s="33">
        <v>0</v>
      </c>
      <c r="K162" s="33">
        <v>0</v>
      </c>
      <c r="L162" s="33">
        <v>0</v>
      </c>
      <c r="M162">
        <v>3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3</v>
      </c>
      <c r="AK162">
        <v>2</v>
      </c>
      <c r="AL162">
        <v>4</v>
      </c>
      <c r="AM162">
        <v>3</v>
      </c>
      <c r="AN162" s="22">
        <v>0</v>
      </c>
      <c r="AO162" s="22">
        <v>0</v>
      </c>
      <c r="AP162" s="22">
        <v>0</v>
      </c>
      <c r="AQ162" s="22">
        <v>0</v>
      </c>
      <c r="AR162" s="35">
        <v>0</v>
      </c>
      <c r="AS162" s="35">
        <v>0</v>
      </c>
      <c r="AT162" s="35">
        <v>3</v>
      </c>
      <c r="AU162" s="31" t="str">
        <f t="shared" si="6"/>
        <v>库存为3</v>
      </c>
      <c r="AV162" s="36" t="str">
        <f>IFERROR(时间!$B$4+AU162,"上周无销量")</f>
        <v>上周无销量</v>
      </c>
    </row>
    <row r="163" spans="1:48">
      <c r="A163" s="20" t="s">
        <v>394</v>
      </c>
      <c r="B163" t="s">
        <v>395</v>
      </c>
      <c r="C163" t="s">
        <v>387</v>
      </c>
      <c r="D163" s="31">
        <v>1</v>
      </c>
      <c r="E163" s="31">
        <v>0</v>
      </c>
      <c r="F163" s="31">
        <v>0</v>
      </c>
      <c r="G163" s="31">
        <v>0</v>
      </c>
      <c r="H163" s="32">
        <v>17.9</v>
      </c>
      <c r="I163">
        <v>2</v>
      </c>
      <c r="J163" s="33">
        <v>0</v>
      </c>
      <c r="K163" s="33">
        <v>0</v>
      </c>
      <c r="L163" s="33">
        <v>0</v>
      </c>
      <c r="M163">
        <v>2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5</v>
      </c>
      <c r="AK163">
        <v>3</v>
      </c>
      <c r="AL163">
        <v>5</v>
      </c>
      <c r="AM163">
        <v>3</v>
      </c>
      <c r="AN163" s="22">
        <v>0.2</v>
      </c>
      <c r="AO163" s="22">
        <v>0</v>
      </c>
      <c r="AP163" s="22">
        <v>0</v>
      </c>
      <c r="AQ163" s="22">
        <v>0</v>
      </c>
      <c r="AR163" s="35">
        <v>0.142857142857143</v>
      </c>
      <c r="AS163" s="35">
        <v>8.57142857142857</v>
      </c>
      <c r="AT163" s="35">
        <v>-6.57142857142857</v>
      </c>
      <c r="AU163" s="31">
        <f t="shared" si="6"/>
        <v>14</v>
      </c>
      <c r="AV163" s="36">
        <f>IFERROR(时间!$B$4+AU163,"上周无销量")</f>
        <v>43332</v>
      </c>
    </row>
    <row r="164" spans="1:48">
      <c r="A164" s="20" t="s">
        <v>396</v>
      </c>
      <c r="B164" t="s">
        <v>397</v>
      </c>
      <c r="C164" t="s">
        <v>387</v>
      </c>
      <c r="D164" s="31">
        <v>0</v>
      </c>
      <c r="E164" s="31">
        <v>0</v>
      </c>
      <c r="F164" s="31">
        <v>1</v>
      </c>
      <c r="G164" s="31">
        <v>0</v>
      </c>
      <c r="H164" s="32">
        <v>21.9</v>
      </c>
      <c r="I164">
        <v>4</v>
      </c>
      <c r="J164" s="33">
        <v>0</v>
      </c>
      <c r="K164" s="33">
        <v>0</v>
      </c>
      <c r="L164" s="33">
        <v>0</v>
      </c>
      <c r="M164">
        <v>4</v>
      </c>
      <c r="N164">
        <v>0</v>
      </c>
      <c r="O164">
        <v>4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8</v>
      </c>
      <c r="AK164">
        <v>2</v>
      </c>
      <c r="AL164">
        <v>4</v>
      </c>
      <c r="AM164">
        <v>3</v>
      </c>
      <c r="AN164" s="22">
        <v>0</v>
      </c>
      <c r="AO164" s="22">
        <v>0</v>
      </c>
      <c r="AP164" s="22">
        <v>0.25</v>
      </c>
      <c r="AQ164" s="22">
        <v>0</v>
      </c>
      <c r="AR164" s="35">
        <v>0</v>
      </c>
      <c r="AS164" s="35">
        <v>0</v>
      </c>
      <c r="AT164" s="35">
        <v>4</v>
      </c>
      <c r="AU164" s="31" t="str">
        <f t="shared" si="6"/>
        <v>库存为4</v>
      </c>
      <c r="AV164" s="36" t="str">
        <f>IFERROR(时间!$B$4+AU164,"上周无销量")</f>
        <v>上周无销量</v>
      </c>
    </row>
    <row r="165" spans="1:48">
      <c r="A165" s="20" t="s">
        <v>398</v>
      </c>
      <c r="B165" t="s">
        <v>399</v>
      </c>
      <c r="C165" t="s">
        <v>387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5</v>
      </c>
      <c r="J165" s="33">
        <v>0</v>
      </c>
      <c r="K165" s="33">
        <v>0</v>
      </c>
      <c r="L165" s="33">
        <v>0</v>
      </c>
      <c r="M165">
        <v>5</v>
      </c>
      <c r="N165">
        <v>0</v>
      </c>
      <c r="O165">
        <v>5</v>
      </c>
      <c r="P165">
        <v>0</v>
      </c>
      <c r="Q165">
        <v>11</v>
      </c>
      <c r="R165">
        <v>40</v>
      </c>
      <c r="S165">
        <v>0</v>
      </c>
      <c r="T165">
        <v>0</v>
      </c>
      <c r="U165">
        <v>0</v>
      </c>
      <c r="V165">
        <v>1</v>
      </c>
      <c r="W165">
        <v>0</v>
      </c>
      <c r="X165" s="22" t="s">
        <v>53</v>
      </c>
      <c r="Y165" s="22">
        <v>0</v>
      </c>
      <c r="Z165" s="22">
        <v>0.025</v>
      </c>
      <c r="AA165" s="22" t="s">
        <v>53</v>
      </c>
      <c r="AB165">
        <v>0</v>
      </c>
      <c r="AC165">
        <v>0</v>
      </c>
      <c r="AD165">
        <v>0.59</v>
      </c>
      <c r="AE165">
        <v>0</v>
      </c>
      <c r="AF165" s="22" t="s">
        <v>53</v>
      </c>
      <c r="AG165" s="22" t="s">
        <v>53</v>
      </c>
      <c r="AH165" s="22" t="s">
        <v>400</v>
      </c>
      <c r="AI165" s="22" t="s">
        <v>53</v>
      </c>
      <c r="AJ165">
        <v>3</v>
      </c>
      <c r="AK165">
        <v>2</v>
      </c>
      <c r="AL165">
        <v>7</v>
      </c>
      <c r="AM165">
        <v>3</v>
      </c>
      <c r="AN165" s="22">
        <v>0</v>
      </c>
      <c r="AO165" s="22">
        <v>0</v>
      </c>
      <c r="AP165" s="22">
        <v>0</v>
      </c>
      <c r="AQ165" s="22">
        <v>0</v>
      </c>
      <c r="AR165" s="35">
        <v>0</v>
      </c>
      <c r="AS165" s="35">
        <v>0</v>
      </c>
      <c r="AT165" s="35">
        <v>5</v>
      </c>
      <c r="AU165" s="31" t="str">
        <f t="shared" si="6"/>
        <v>库存为5</v>
      </c>
      <c r="AV165" s="36" t="str">
        <f>IFERROR(时间!$B$4+AU165,"上周无销量")</f>
        <v>上周无销量</v>
      </c>
    </row>
    <row r="166" spans="1:48">
      <c r="A166" s="20" t="s">
        <v>401</v>
      </c>
      <c r="B166" t="s">
        <v>402</v>
      </c>
      <c r="C166" t="s">
        <v>387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3</v>
      </c>
      <c r="J166" s="33">
        <v>0</v>
      </c>
      <c r="K166" s="33">
        <v>0</v>
      </c>
      <c r="L166" s="33">
        <v>0</v>
      </c>
      <c r="M166">
        <v>3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4</v>
      </c>
      <c r="AK166">
        <v>4</v>
      </c>
      <c r="AL166">
        <v>5</v>
      </c>
      <c r="AM166">
        <v>2</v>
      </c>
      <c r="AN166" s="22">
        <v>0</v>
      </c>
      <c r="AO166" s="22">
        <v>0</v>
      </c>
      <c r="AP166" s="22">
        <v>0</v>
      </c>
      <c r="AQ166" s="22">
        <v>0</v>
      </c>
      <c r="AR166" s="35">
        <v>0</v>
      </c>
      <c r="AS166" s="35">
        <v>0</v>
      </c>
      <c r="AT166" s="35">
        <v>3</v>
      </c>
      <c r="AU166" s="31" t="str">
        <f t="shared" si="6"/>
        <v>库存为3</v>
      </c>
      <c r="AV166" s="36" t="str">
        <f>IFERROR(时间!$B$4+AU166,"上周无销量")</f>
        <v>上周无销量</v>
      </c>
    </row>
    <row r="167" spans="1:48">
      <c r="A167" s="20" t="s">
        <v>403</v>
      </c>
      <c r="B167" t="s">
        <v>404</v>
      </c>
      <c r="C167" t="s">
        <v>387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3</v>
      </c>
      <c r="J167" s="33">
        <v>0</v>
      </c>
      <c r="K167" s="33">
        <v>0</v>
      </c>
      <c r="L167" s="33">
        <v>0</v>
      </c>
      <c r="M167">
        <v>3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1</v>
      </c>
      <c r="AK167">
        <v>5</v>
      </c>
      <c r="AL167">
        <v>6</v>
      </c>
      <c r="AM167">
        <v>3</v>
      </c>
      <c r="AN167" s="22">
        <v>0</v>
      </c>
      <c r="AO167" s="22">
        <v>0</v>
      </c>
      <c r="AP167" s="22">
        <v>0</v>
      </c>
      <c r="AQ167" s="22">
        <v>0</v>
      </c>
      <c r="AR167" s="35">
        <v>0</v>
      </c>
      <c r="AS167" s="35">
        <v>0</v>
      </c>
      <c r="AT167" s="35">
        <v>3</v>
      </c>
      <c r="AU167" s="31" t="str">
        <f t="shared" si="6"/>
        <v>库存为3</v>
      </c>
      <c r="AV167" s="36" t="str">
        <f>IFERROR(时间!$B$4+AU167,"上周无销量")</f>
        <v>上周无销量</v>
      </c>
    </row>
    <row r="168" spans="1:48">
      <c r="A168" s="20" t="s">
        <v>405</v>
      </c>
      <c r="B168" t="s">
        <v>406</v>
      </c>
      <c r="C168" t="s">
        <v>387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7</v>
      </c>
      <c r="J168" s="33">
        <v>0</v>
      </c>
      <c r="K168" s="33">
        <v>0</v>
      </c>
      <c r="L168" s="33">
        <v>1</v>
      </c>
      <c r="M168">
        <v>8</v>
      </c>
      <c r="N168">
        <v>0</v>
      </c>
      <c r="O168">
        <v>8</v>
      </c>
      <c r="P168">
        <v>1181</v>
      </c>
      <c r="Q168">
        <v>1097</v>
      </c>
      <c r="R168">
        <v>0</v>
      </c>
      <c r="S168">
        <v>0</v>
      </c>
      <c r="T168">
        <v>4</v>
      </c>
      <c r="U168">
        <v>3</v>
      </c>
      <c r="V168">
        <v>0</v>
      </c>
      <c r="W168">
        <v>0</v>
      </c>
      <c r="X168" s="22">
        <v>0.00338696020321761</v>
      </c>
      <c r="Y168" s="22">
        <v>0.00273473108477666</v>
      </c>
      <c r="Z168" s="22" t="s">
        <v>53</v>
      </c>
      <c r="AA168" s="22" t="s">
        <v>53</v>
      </c>
      <c r="AB168">
        <v>1.75</v>
      </c>
      <c r="AC168">
        <v>1.35</v>
      </c>
      <c r="AD168">
        <v>0</v>
      </c>
      <c r="AE168">
        <v>0</v>
      </c>
      <c r="AF168" s="22" t="s">
        <v>407</v>
      </c>
      <c r="AG168" s="22" t="s">
        <v>408</v>
      </c>
      <c r="AH168" s="22" t="s">
        <v>53</v>
      </c>
      <c r="AI168" s="22" t="s">
        <v>53</v>
      </c>
      <c r="AJ168">
        <v>5</v>
      </c>
      <c r="AK168">
        <v>4</v>
      </c>
      <c r="AL168">
        <v>2</v>
      </c>
      <c r="AM168">
        <v>4</v>
      </c>
      <c r="AN168" s="22">
        <v>0</v>
      </c>
      <c r="AO168" s="22">
        <v>0</v>
      </c>
      <c r="AP168" s="22">
        <v>0</v>
      </c>
      <c r="AQ168" s="22">
        <v>0</v>
      </c>
      <c r="AR168" s="35">
        <v>0</v>
      </c>
      <c r="AS168" s="35">
        <v>0</v>
      </c>
      <c r="AT168" s="35">
        <v>8</v>
      </c>
      <c r="AU168" s="31" t="str">
        <f t="shared" si="6"/>
        <v>库存为8</v>
      </c>
      <c r="AV168" s="36" t="str">
        <f>IFERROR(时间!$B$4+AU168,"上周无销量")</f>
        <v>上周无销量</v>
      </c>
    </row>
    <row r="169" spans="1:48">
      <c r="A169" s="20" t="s">
        <v>409</v>
      </c>
      <c r="B169" t="s">
        <v>410</v>
      </c>
      <c r="C169" t="s">
        <v>387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3</v>
      </c>
      <c r="J169" s="33">
        <v>0</v>
      </c>
      <c r="K169" s="33">
        <v>1</v>
      </c>
      <c r="L169" s="33">
        <v>0</v>
      </c>
      <c r="M169">
        <v>4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3</v>
      </c>
      <c r="AK169">
        <v>4</v>
      </c>
      <c r="AL169">
        <v>3</v>
      </c>
      <c r="AM169">
        <v>5</v>
      </c>
      <c r="AN169" s="22">
        <v>0</v>
      </c>
      <c r="AO169" s="22">
        <v>0</v>
      </c>
      <c r="AP169" s="22">
        <v>0</v>
      </c>
      <c r="AQ169" s="22">
        <v>0</v>
      </c>
      <c r="AR169" s="35">
        <v>0</v>
      </c>
      <c r="AS169" s="35">
        <v>0</v>
      </c>
      <c r="AT169" s="35">
        <v>4</v>
      </c>
      <c r="AU169" s="31" t="str">
        <f t="shared" si="6"/>
        <v>库存为4</v>
      </c>
      <c r="AV169" s="36" t="str">
        <f>IFERROR(时间!$B$4+AU169,"上周无销量")</f>
        <v>上周无销量</v>
      </c>
    </row>
    <row r="170" spans="1:48">
      <c r="A170" s="20" t="s">
        <v>411</v>
      </c>
      <c r="B170" t="s">
        <v>412</v>
      </c>
      <c r="C170" t="s">
        <v>387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2</v>
      </c>
      <c r="J170" s="33">
        <v>0</v>
      </c>
      <c r="K170" s="33">
        <v>0</v>
      </c>
      <c r="L170" s="33">
        <v>1</v>
      </c>
      <c r="M170">
        <v>3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2</v>
      </c>
      <c r="AK170">
        <v>0</v>
      </c>
      <c r="AL170">
        <v>0</v>
      </c>
      <c r="AM170">
        <v>0</v>
      </c>
      <c r="AN170" s="22">
        <v>0</v>
      </c>
      <c r="AO170" s="22" t="s">
        <v>53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3</v>
      </c>
      <c r="AU170" s="31" t="str">
        <f t="shared" si="6"/>
        <v>库存为3</v>
      </c>
      <c r="AV170" s="36" t="str">
        <f>IFERROR(时间!$B$4+AU170,"上周无销量")</f>
        <v>上周无销量</v>
      </c>
    </row>
    <row r="171" spans="1:48">
      <c r="A171" s="20" t="s">
        <v>413</v>
      </c>
      <c r="B171" t="s">
        <v>414</v>
      </c>
      <c r="C171" t="s">
        <v>415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3</v>
      </c>
      <c r="J171" s="33">
        <v>0</v>
      </c>
      <c r="K171" s="33">
        <v>0</v>
      </c>
      <c r="L171" s="33">
        <v>0</v>
      </c>
      <c r="M171">
        <v>3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2</v>
      </c>
      <c r="AK171">
        <v>3</v>
      </c>
      <c r="AL171">
        <v>3</v>
      </c>
      <c r="AM171">
        <v>1</v>
      </c>
      <c r="AN171" s="22">
        <v>0</v>
      </c>
      <c r="AO171" s="22">
        <v>0</v>
      </c>
      <c r="AP171" s="22">
        <v>0</v>
      </c>
      <c r="AQ171" s="22">
        <v>0</v>
      </c>
      <c r="AR171" s="35">
        <v>0</v>
      </c>
      <c r="AS171" s="35">
        <v>0</v>
      </c>
      <c r="AT171" s="35">
        <v>3</v>
      </c>
      <c r="AU171" s="31" t="str">
        <f t="shared" si="6"/>
        <v>库存为3</v>
      </c>
      <c r="AV171" s="36" t="str">
        <f>IFERROR(时间!$B$4+AU171,"上周无销量")</f>
        <v>上周无销量</v>
      </c>
    </row>
    <row r="172" spans="1:48">
      <c r="A172" s="20" t="s">
        <v>416</v>
      </c>
      <c r="B172" t="s">
        <v>417</v>
      </c>
      <c r="C172" t="s">
        <v>415</v>
      </c>
      <c r="D172" s="31">
        <v>0</v>
      </c>
      <c r="E172" s="31">
        <v>1</v>
      </c>
      <c r="F172" s="31">
        <v>0</v>
      </c>
      <c r="G172" s="31">
        <v>0</v>
      </c>
      <c r="H172" s="32">
        <v>23.9</v>
      </c>
      <c r="I172">
        <v>1</v>
      </c>
      <c r="J172" s="33">
        <v>0</v>
      </c>
      <c r="K172" s="33">
        <v>0</v>
      </c>
      <c r="L172" s="33">
        <v>0</v>
      </c>
      <c r="M172">
        <v>1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3</v>
      </c>
      <c r="AK172">
        <v>5</v>
      </c>
      <c r="AL172">
        <v>6</v>
      </c>
      <c r="AM172">
        <v>5</v>
      </c>
      <c r="AN172" s="22">
        <v>0</v>
      </c>
      <c r="AO172" s="22">
        <v>0.2</v>
      </c>
      <c r="AP172" s="22">
        <v>0</v>
      </c>
      <c r="AQ172" s="22">
        <v>0</v>
      </c>
      <c r="AR172" s="35">
        <v>0</v>
      </c>
      <c r="AS172" s="35">
        <v>0</v>
      </c>
      <c r="AT172" s="35">
        <v>1</v>
      </c>
      <c r="AU172" s="31" t="str">
        <f t="shared" si="6"/>
        <v>库存为1</v>
      </c>
      <c r="AV172" s="36" t="str">
        <f>IFERROR(时间!$B$4+AU172,"上周无销量")</f>
        <v>上周无销量</v>
      </c>
    </row>
    <row r="173" spans="1:48">
      <c r="A173" s="20" t="s">
        <v>418</v>
      </c>
      <c r="B173" t="s">
        <v>419</v>
      </c>
      <c r="C173" t="s">
        <v>415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3</v>
      </c>
      <c r="J173" s="33">
        <v>0</v>
      </c>
      <c r="K173" s="33">
        <v>0</v>
      </c>
      <c r="L173" s="33">
        <v>0</v>
      </c>
      <c r="M173">
        <v>3</v>
      </c>
      <c r="N173">
        <v>0</v>
      </c>
      <c r="O173">
        <v>0</v>
      </c>
      <c r="P173">
        <v>71</v>
      </c>
      <c r="Q173">
        <v>56</v>
      </c>
      <c r="R173">
        <v>38</v>
      </c>
      <c r="S173">
        <v>0</v>
      </c>
      <c r="T173">
        <v>2</v>
      </c>
      <c r="U173">
        <v>0</v>
      </c>
      <c r="V173">
        <v>0</v>
      </c>
      <c r="W173">
        <v>0</v>
      </c>
      <c r="X173" s="22">
        <v>0.028169014084507</v>
      </c>
      <c r="Y173" s="22">
        <v>0</v>
      </c>
      <c r="Z173" s="22">
        <v>0</v>
      </c>
      <c r="AA173" s="22" t="s">
        <v>53</v>
      </c>
      <c r="AB173">
        <v>1.24</v>
      </c>
      <c r="AC173">
        <v>0</v>
      </c>
      <c r="AD173">
        <v>0</v>
      </c>
      <c r="AE173">
        <v>0</v>
      </c>
      <c r="AF173" s="22" t="s">
        <v>420</v>
      </c>
      <c r="AG173" s="22" t="s">
        <v>53</v>
      </c>
      <c r="AH173" s="22" t="s">
        <v>53</v>
      </c>
      <c r="AI173" s="22" t="s">
        <v>53</v>
      </c>
      <c r="AJ173">
        <v>7</v>
      </c>
      <c r="AK173">
        <v>6</v>
      </c>
      <c r="AL173">
        <v>12</v>
      </c>
      <c r="AM173">
        <v>3</v>
      </c>
      <c r="AN173" s="22">
        <v>0</v>
      </c>
      <c r="AO173" s="22">
        <v>0</v>
      </c>
      <c r="AP173" s="22">
        <v>0</v>
      </c>
      <c r="AQ173" s="22">
        <v>0</v>
      </c>
      <c r="AR173" s="35">
        <v>0</v>
      </c>
      <c r="AS173" s="35">
        <v>0</v>
      </c>
      <c r="AT173" s="35">
        <v>3</v>
      </c>
      <c r="AU173" s="31" t="str">
        <f t="shared" si="6"/>
        <v>库存为3</v>
      </c>
      <c r="AV173" s="36" t="str">
        <f>IFERROR(时间!$B$4+AU173,"上周无销量")</f>
        <v>上周无销量</v>
      </c>
    </row>
    <row r="174" spans="1:48">
      <c r="A174" s="20" t="s">
        <v>421</v>
      </c>
      <c r="B174" t="s">
        <v>422</v>
      </c>
      <c r="C174" t="s">
        <v>415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3</v>
      </c>
      <c r="J174" s="33">
        <v>0</v>
      </c>
      <c r="K174" s="33">
        <v>0</v>
      </c>
      <c r="L174" s="33">
        <v>0</v>
      </c>
      <c r="M174">
        <v>3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6</v>
      </c>
      <c r="AK174">
        <v>1</v>
      </c>
      <c r="AL174">
        <v>10</v>
      </c>
      <c r="AM174">
        <v>4</v>
      </c>
      <c r="AN174" s="22">
        <v>0</v>
      </c>
      <c r="AO174" s="22">
        <v>0</v>
      </c>
      <c r="AP174" s="22">
        <v>0</v>
      </c>
      <c r="AQ174" s="22">
        <v>0</v>
      </c>
      <c r="AR174" s="35">
        <v>0</v>
      </c>
      <c r="AS174" s="35">
        <v>0</v>
      </c>
      <c r="AT174" s="35">
        <v>3</v>
      </c>
      <c r="AU174" s="31" t="str">
        <f t="shared" si="6"/>
        <v>库存为3</v>
      </c>
      <c r="AV174" s="36" t="str">
        <f>IFERROR(时间!$B$4+AU174,"上周无销量")</f>
        <v>上周无销量</v>
      </c>
    </row>
    <row r="175" spans="1:48">
      <c r="A175" s="20" t="s">
        <v>423</v>
      </c>
      <c r="B175" t="s">
        <v>424</v>
      </c>
      <c r="C175" t="s">
        <v>415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3</v>
      </c>
      <c r="AK175">
        <v>2</v>
      </c>
      <c r="AL175">
        <v>7</v>
      </c>
      <c r="AM175">
        <v>4</v>
      </c>
      <c r="AN175" s="22">
        <v>0</v>
      </c>
      <c r="AO175" s="22">
        <v>0</v>
      </c>
      <c r="AP175" s="22">
        <v>0</v>
      </c>
      <c r="AQ175" s="22">
        <v>0</v>
      </c>
      <c r="AR175" s="35">
        <v>0</v>
      </c>
      <c r="AS175" s="35">
        <v>0</v>
      </c>
      <c r="AT175" s="35">
        <v>3</v>
      </c>
      <c r="AU175" s="31" t="str">
        <f t="shared" si="6"/>
        <v>库存为3</v>
      </c>
      <c r="AV175" s="36" t="str">
        <f>IFERROR(时间!$B$4+AU175,"上周无销量")</f>
        <v>上周无销量</v>
      </c>
    </row>
    <row r="176" spans="1:48">
      <c r="A176" s="20" t="s">
        <v>425</v>
      </c>
      <c r="B176" t="s">
        <v>426</v>
      </c>
      <c r="C176" t="s">
        <v>415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2</v>
      </c>
      <c r="AK176">
        <v>1</v>
      </c>
      <c r="AL176">
        <v>9</v>
      </c>
      <c r="AM176">
        <v>2</v>
      </c>
      <c r="AN176" s="22">
        <v>0</v>
      </c>
      <c r="AO176" s="22">
        <v>0</v>
      </c>
      <c r="AP176" s="22">
        <v>0</v>
      </c>
      <c r="AQ176" s="22">
        <v>0</v>
      </c>
      <c r="AR176" s="35">
        <v>0</v>
      </c>
      <c r="AS176" s="35">
        <v>0</v>
      </c>
      <c r="AT176" s="35">
        <v>3</v>
      </c>
      <c r="AU176" s="31" t="str">
        <f t="shared" si="6"/>
        <v>库存为3</v>
      </c>
      <c r="AV176" s="36" t="str">
        <f>IFERROR(时间!$B$4+AU176,"上周无销量")</f>
        <v>上周无销量</v>
      </c>
    </row>
    <row r="177" spans="1:48">
      <c r="A177" s="20" t="s">
        <v>427</v>
      </c>
      <c r="B177" t="s">
        <v>428</v>
      </c>
      <c r="C177" t="s">
        <v>415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3</v>
      </c>
      <c r="J177" s="33">
        <v>0</v>
      </c>
      <c r="K177" s="33">
        <v>0</v>
      </c>
      <c r="L177" s="33">
        <v>0</v>
      </c>
      <c r="M177">
        <v>3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2</v>
      </c>
      <c r="AK177">
        <v>1</v>
      </c>
      <c r="AL177">
        <v>3</v>
      </c>
      <c r="AM177">
        <v>0</v>
      </c>
      <c r="AN177" s="22">
        <v>0</v>
      </c>
      <c r="AO177" s="22">
        <v>0</v>
      </c>
      <c r="AP177" s="22">
        <v>0</v>
      </c>
      <c r="AQ177" s="22" t="s">
        <v>53</v>
      </c>
      <c r="AR177" s="35">
        <v>0</v>
      </c>
      <c r="AS177" s="35">
        <v>0</v>
      </c>
      <c r="AT177" s="35">
        <v>3</v>
      </c>
      <c r="AU177" s="31" t="str">
        <f t="shared" si="6"/>
        <v>库存为3</v>
      </c>
      <c r="AV177" s="36" t="str">
        <f>IFERROR(时间!$B$4+AU177,"上周无销量")</f>
        <v>上周无销量</v>
      </c>
    </row>
    <row r="178" spans="1:48">
      <c r="A178" s="20" t="s">
        <v>429</v>
      </c>
      <c r="B178" t="s">
        <v>430</v>
      </c>
      <c r="C178" t="s">
        <v>415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3</v>
      </c>
      <c r="J178" s="33">
        <v>0</v>
      </c>
      <c r="K178" s="33">
        <v>0</v>
      </c>
      <c r="L178" s="33">
        <v>0</v>
      </c>
      <c r="M178">
        <v>3</v>
      </c>
      <c r="N178">
        <v>0</v>
      </c>
      <c r="O178">
        <v>0</v>
      </c>
      <c r="P178">
        <v>0</v>
      </c>
      <c r="Q178">
        <v>79</v>
      </c>
      <c r="R178">
        <v>116</v>
      </c>
      <c r="S178">
        <v>0</v>
      </c>
      <c r="T178">
        <v>0</v>
      </c>
      <c r="U178">
        <v>1</v>
      </c>
      <c r="V178">
        <v>1</v>
      </c>
      <c r="W178">
        <v>0</v>
      </c>
      <c r="X178" s="22" t="s">
        <v>53</v>
      </c>
      <c r="Y178" s="22">
        <v>0.0126582278481013</v>
      </c>
      <c r="Z178" s="22">
        <v>0.00862068965517241</v>
      </c>
      <c r="AA178" s="22" t="s">
        <v>53</v>
      </c>
      <c r="AB178">
        <v>0</v>
      </c>
      <c r="AC178">
        <v>0.41</v>
      </c>
      <c r="AD178">
        <v>0.37</v>
      </c>
      <c r="AE178">
        <v>0</v>
      </c>
      <c r="AF178" s="22" t="s">
        <v>53</v>
      </c>
      <c r="AG178" s="22" t="s">
        <v>431</v>
      </c>
      <c r="AH178" s="22" t="s">
        <v>432</v>
      </c>
      <c r="AI178" s="22" t="s">
        <v>53</v>
      </c>
      <c r="AJ178">
        <v>3</v>
      </c>
      <c r="AK178">
        <v>1</v>
      </c>
      <c r="AL178">
        <v>6</v>
      </c>
      <c r="AM178">
        <v>3</v>
      </c>
      <c r="AN178" s="22">
        <v>0</v>
      </c>
      <c r="AO178" s="22">
        <v>0</v>
      </c>
      <c r="AP178" s="22">
        <v>0</v>
      </c>
      <c r="AQ178" s="22">
        <v>0</v>
      </c>
      <c r="AR178" s="35">
        <v>0</v>
      </c>
      <c r="AS178" s="35">
        <v>0</v>
      </c>
      <c r="AT178" s="35">
        <v>3</v>
      </c>
      <c r="AU178" s="31" t="str">
        <f t="shared" si="6"/>
        <v>库存为3</v>
      </c>
      <c r="AV178" s="36" t="str">
        <f>IFERROR(时间!$B$4+AU178,"上周无销量")</f>
        <v>上周无销量</v>
      </c>
    </row>
    <row r="179" spans="1:48">
      <c r="A179" s="20" t="s">
        <v>433</v>
      </c>
      <c r="B179" t="s">
        <v>434</v>
      </c>
      <c r="C179" t="s">
        <v>415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3</v>
      </c>
      <c r="J179" s="33">
        <v>0</v>
      </c>
      <c r="K179" s="33">
        <v>0</v>
      </c>
      <c r="L179" s="33">
        <v>0</v>
      </c>
      <c r="M179">
        <v>3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2</v>
      </c>
      <c r="AK179">
        <v>1</v>
      </c>
      <c r="AL179">
        <v>6</v>
      </c>
      <c r="AM179">
        <v>3</v>
      </c>
      <c r="AN179" s="22">
        <v>0</v>
      </c>
      <c r="AO179" s="22">
        <v>0</v>
      </c>
      <c r="AP179" s="22">
        <v>0</v>
      </c>
      <c r="AQ179" s="22">
        <v>0</v>
      </c>
      <c r="AR179" s="35">
        <v>0</v>
      </c>
      <c r="AS179" s="35">
        <v>0</v>
      </c>
      <c r="AT179" s="35">
        <v>3</v>
      </c>
      <c r="AU179" s="31" t="str">
        <f t="shared" si="6"/>
        <v>库存为3</v>
      </c>
      <c r="AV179" s="36" t="str">
        <f>IFERROR(时间!$B$4+AU179,"上周无销量")</f>
        <v>上周无销量</v>
      </c>
    </row>
    <row r="180" spans="1:48">
      <c r="A180" s="20" t="s">
        <v>435</v>
      </c>
      <c r="B180" t="s">
        <v>436</v>
      </c>
      <c r="C180" t="s">
        <v>437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3</v>
      </c>
      <c r="J180" s="33">
        <v>0</v>
      </c>
      <c r="K180" s="33">
        <v>0</v>
      </c>
      <c r="L180" s="33">
        <v>0</v>
      </c>
      <c r="M180">
        <v>3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1</v>
      </c>
      <c r="AK180">
        <v>3</v>
      </c>
      <c r="AL180">
        <v>5</v>
      </c>
      <c r="AM180">
        <v>3</v>
      </c>
      <c r="AN180" s="22">
        <v>0</v>
      </c>
      <c r="AO180" s="22">
        <v>0</v>
      </c>
      <c r="AP180" s="22">
        <v>0</v>
      </c>
      <c r="AQ180" s="22">
        <v>0</v>
      </c>
      <c r="AR180" s="35">
        <v>0</v>
      </c>
      <c r="AS180" s="35">
        <v>0</v>
      </c>
      <c r="AT180" s="35">
        <v>3</v>
      </c>
      <c r="AU180" s="31" t="str">
        <f t="shared" si="6"/>
        <v>库存为3</v>
      </c>
      <c r="AV180" s="36" t="str">
        <f>IFERROR(时间!$B$4+AU180,"上周无销量")</f>
        <v>上周无销量</v>
      </c>
    </row>
    <row r="181" spans="1:48">
      <c r="A181" s="20" t="s">
        <v>438</v>
      </c>
      <c r="B181" t="s">
        <v>439</v>
      </c>
      <c r="C181" t="s">
        <v>437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3</v>
      </c>
      <c r="J181" s="33">
        <v>0</v>
      </c>
      <c r="K181" s="33">
        <v>0</v>
      </c>
      <c r="L181" s="33">
        <v>0</v>
      </c>
      <c r="M181">
        <v>3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2</v>
      </c>
      <c r="AK181">
        <v>5</v>
      </c>
      <c r="AL181">
        <v>5</v>
      </c>
      <c r="AM181">
        <v>3</v>
      </c>
      <c r="AN181" s="22">
        <v>0</v>
      </c>
      <c r="AO181" s="22">
        <v>0</v>
      </c>
      <c r="AP181" s="22">
        <v>0</v>
      </c>
      <c r="AQ181" s="22">
        <v>0</v>
      </c>
      <c r="AR181" s="35">
        <v>0</v>
      </c>
      <c r="AS181" s="35">
        <v>0</v>
      </c>
      <c r="AT181" s="35">
        <v>3</v>
      </c>
      <c r="AU181" s="31" t="str">
        <f t="shared" si="6"/>
        <v>库存为3</v>
      </c>
      <c r="AV181" s="36" t="str">
        <f>IFERROR(时间!$B$4+AU181,"上周无销量")</f>
        <v>上周无销量</v>
      </c>
    </row>
    <row r="182" spans="1:48">
      <c r="A182" s="20" t="s">
        <v>440</v>
      </c>
      <c r="B182" t="s">
        <v>441</v>
      </c>
      <c r="C182" t="s">
        <v>437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3</v>
      </c>
      <c r="J182" s="33">
        <v>0</v>
      </c>
      <c r="K182" s="33">
        <v>0</v>
      </c>
      <c r="L182" s="33">
        <v>0</v>
      </c>
      <c r="M182">
        <v>3</v>
      </c>
      <c r="N182">
        <v>0</v>
      </c>
      <c r="O182">
        <v>0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2</v>
      </c>
      <c r="AK182">
        <v>3</v>
      </c>
      <c r="AL182">
        <v>8</v>
      </c>
      <c r="AM182">
        <v>3</v>
      </c>
      <c r="AN182" s="22">
        <v>0</v>
      </c>
      <c r="AO182" s="22">
        <v>0</v>
      </c>
      <c r="AP182" s="22">
        <v>0</v>
      </c>
      <c r="AQ182" s="22">
        <v>0</v>
      </c>
      <c r="AR182" s="35">
        <v>0</v>
      </c>
      <c r="AS182" s="35">
        <v>0</v>
      </c>
      <c r="AT182" s="35">
        <v>3</v>
      </c>
      <c r="AU182" s="31" t="str">
        <f t="shared" si="6"/>
        <v>库存为3</v>
      </c>
      <c r="AV182" s="36" t="str">
        <f>IFERROR(时间!$B$4+AU182,"上周无销量")</f>
        <v>上周无销量</v>
      </c>
    </row>
    <row r="183" spans="1:48">
      <c r="A183" s="20" t="s">
        <v>442</v>
      </c>
      <c r="B183" t="s">
        <v>443</v>
      </c>
      <c r="C183" t="s">
        <v>437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3</v>
      </c>
      <c r="J183" s="33">
        <v>0</v>
      </c>
      <c r="K183" s="33">
        <v>0</v>
      </c>
      <c r="L183" s="33">
        <v>0</v>
      </c>
      <c r="M183">
        <v>3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1</v>
      </c>
      <c r="AK183">
        <v>2</v>
      </c>
      <c r="AL183">
        <v>6</v>
      </c>
      <c r="AM183">
        <v>1</v>
      </c>
      <c r="AN183" s="22">
        <v>0</v>
      </c>
      <c r="AO183" s="22">
        <v>0</v>
      </c>
      <c r="AP183" s="22">
        <v>0</v>
      </c>
      <c r="AQ183" s="22">
        <v>0</v>
      </c>
      <c r="AR183" s="35">
        <v>0</v>
      </c>
      <c r="AS183" s="35">
        <v>0</v>
      </c>
      <c r="AT183" s="35">
        <v>3</v>
      </c>
      <c r="AU183" s="31" t="str">
        <f t="shared" si="6"/>
        <v>库存为3</v>
      </c>
      <c r="AV183" s="36" t="str">
        <f>IFERROR(时间!$B$4+AU183,"上周无销量")</f>
        <v>上周无销量</v>
      </c>
    </row>
    <row r="184" spans="1:48">
      <c r="A184" s="20" t="s">
        <v>444</v>
      </c>
      <c r="B184" t="s">
        <v>445</v>
      </c>
      <c r="C184" t="s">
        <v>446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0</v>
      </c>
      <c r="AK184">
        <v>0</v>
      </c>
      <c r="AL184">
        <v>0</v>
      </c>
      <c r="AM184">
        <v>0</v>
      </c>
      <c r="AN184" s="22" t="s">
        <v>53</v>
      </c>
      <c r="AO184" s="22" t="s">
        <v>53</v>
      </c>
      <c r="AP184" s="22" t="s">
        <v>53</v>
      </c>
      <c r="AQ184" s="22" t="s">
        <v>53</v>
      </c>
      <c r="AR184" s="35">
        <v>0</v>
      </c>
      <c r="AS184" s="35">
        <v>0</v>
      </c>
      <c r="AT184" s="35">
        <v>0</v>
      </c>
      <c r="AU184" s="31" t="str">
        <f t="shared" si="6"/>
        <v>库存为0</v>
      </c>
      <c r="AV184" s="36" t="str">
        <f>IFERROR(时间!$B$4+AU184,"上周无销量")</f>
        <v>上周无销量</v>
      </c>
    </row>
    <row r="185" spans="1:48">
      <c r="A185" s="20" t="s">
        <v>447</v>
      </c>
      <c r="B185" t="s">
        <v>448</v>
      </c>
      <c r="C185" t="s">
        <v>446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0</v>
      </c>
      <c r="AK185">
        <v>0</v>
      </c>
      <c r="AL185">
        <v>0</v>
      </c>
      <c r="AM185">
        <v>0</v>
      </c>
      <c r="AN185" s="22" t="s">
        <v>53</v>
      </c>
      <c r="AO185" s="22" t="s">
        <v>53</v>
      </c>
      <c r="AP185" s="22" t="s">
        <v>53</v>
      </c>
      <c r="AQ185" s="22" t="s">
        <v>53</v>
      </c>
      <c r="AR185" s="35">
        <v>0</v>
      </c>
      <c r="AS185" s="35">
        <v>0</v>
      </c>
      <c r="AT185" s="35">
        <v>0</v>
      </c>
      <c r="AU185" s="31" t="str">
        <f t="shared" si="6"/>
        <v>库存为0</v>
      </c>
      <c r="AV185" s="36" t="str">
        <f>IFERROR(时间!$B$4+AU185,"上周无销量")</f>
        <v>上周无销量</v>
      </c>
    </row>
    <row r="186" spans="1:48">
      <c r="A186" s="20" t="s">
        <v>449</v>
      </c>
      <c r="B186" t="s">
        <v>450</v>
      </c>
      <c r="C186" t="s">
        <v>446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0</v>
      </c>
      <c r="AK186">
        <v>0</v>
      </c>
      <c r="AL186">
        <v>0</v>
      </c>
      <c r="AM186">
        <v>0</v>
      </c>
      <c r="AN186" s="22" t="s">
        <v>53</v>
      </c>
      <c r="AO186" s="22" t="s">
        <v>53</v>
      </c>
      <c r="AP186" s="22" t="s">
        <v>53</v>
      </c>
      <c r="AQ186" s="22" t="s">
        <v>53</v>
      </c>
      <c r="AR186" s="35">
        <v>0</v>
      </c>
      <c r="AS186" s="35">
        <v>0</v>
      </c>
      <c r="AT186" s="35">
        <v>0</v>
      </c>
      <c r="AU186" s="31" t="str">
        <f t="shared" si="6"/>
        <v>库存为0</v>
      </c>
      <c r="AV186" s="36" t="str">
        <f>IFERROR(时间!$B$4+AU186,"上周无销量")</f>
        <v>上周无销量</v>
      </c>
    </row>
    <row r="187" spans="1:48">
      <c r="A187" s="20" t="s">
        <v>451</v>
      </c>
      <c r="B187" t="s">
        <v>452</v>
      </c>
      <c r="C187" t="s">
        <v>451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1</v>
      </c>
      <c r="J187" s="33">
        <v>0</v>
      </c>
      <c r="K187" s="33">
        <v>0</v>
      </c>
      <c r="L187" s="33">
        <v>0</v>
      </c>
      <c r="M187">
        <v>1</v>
      </c>
      <c r="N187">
        <v>0</v>
      </c>
      <c r="O187">
        <v>1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3</v>
      </c>
      <c r="AK187">
        <v>4</v>
      </c>
      <c r="AL187">
        <v>1</v>
      </c>
      <c r="AM187">
        <v>2</v>
      </c>
      <c r="AN187" s="22">
        <v>0</v>
      </c>
      <c r="AO187" s="22">
        <v>0</v>
      </c>
      <c r="AP187" s="22">
        <v>0</v>
      </c>
      <c r="AQ187" s="22">
        <v>0</v>
      </c>
      <c r="AR187" s="35">
        <v>0</v>
      </c>
      <c r="AS187" s="35">
        <v>0</v>
      </c>
      <c r="AT187" s="35">
        <v>1</v>
      </c>
      <c r="AU187" s="31" t="str">
        <f t="shared" si="6"/>
        <v>库存为1</v>
      </c>
      <c r="AV187" s="36" t="str">
        <f>IFERROR(时间!$B$4+AU187,"上周无销量")</f>
        <v>上周无销量</v>
      </c>
    </row>
    <row r="188" spans="1:48">
      <c r="A188" s="20" t="s">
        <v>453</v>
      </c>
      <c r="B188" t="s">
        <v>454</v>
      </c>
      <c r="C188" t="s">
        <v>455</v>
      </c>
      <c r="D188" s="31">
        <v>10</v>
      </c>
      <c r="E188" s="31">
        <v>0</v>
      </c>
      <c r="F188" s="31">
        <v>0</v>
      </c>
      <c r="G188" s="31">
        <v>0</v>
      </c>
      <c r="H188" s="32">
        <v>9.495</v>
      </c>
      <c r="I188">
        <v>0</v>
      </c>
      <c r="J188" s="33">
        <v>10</v>
      </c>
      <c r="K188" s="33">
        <v>0</v>
      </c>
      <c r="L188" s="33">
        <v>0</v>
      </c>
      <c r="M188">
        <v>10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30</v>
      </c>
      <c r="AK188">
        <v>37</v>
      </c>
      <c r="AL188">
        <v>0</v>
      </c>
      <c r="AM188">
        <v>0</v>
      </c>
      <c r="AN188" s="22">
        <v>0.333333333333333</v>
      </c>
      <c r="AO188" s="22">
        <v>0</v>
      </c>
      <c r="AP188" s="22" t="s">
        <v>53</v>
      </c>
      <c r="AQ188" s="22" t="s">
        <v>53</v>
      </c>
      <c r="AR188" s="35">
        <v>1.42857142857143</v>
      </c>
      <c r="AS188" s="35">
        <v>85.7142857142857</v>
      </c>
      <c r="AT188" s="35">
        <v>-75.7142857142857</v>
      </c>
      <c r="AU188" s="31">
        <f t="shared" si="6"/>
        <v>7</v>
      </c>
      <c r="AV188" s="36">
        <f>IFERROR(时间!$B$4+AU188,"上周无销量")</f>
        <v>43325</v>
      </c>
    </row>
    <row r="189" spans="1:48">
      <c r="A189" s="20" t="s">
        <v>456</v>
      </c>
      <c r="B189" t="s">
        <v>457</v>
      </c>
      <c r="C189" t="s">
        <v>458</v>
      </c>
      <c r="D189" s="31">
        <v>6</v>
      </c>
      <c r="E189" s="31">
        <v>2</v>
      </c>
      <c r="F189" s="31">
        <v>0</v>
      </c>
      <c r="G189" s="31">
        <v>0</v>
      </c>
      <c r="H189" s="32">
        <v>8.99</v>
      </c>
      <c r="I189">
        <v>2</v>
      </c>
      <c r="J189" s="33">
        <v>5</v>
      </c>
      <c r="K189" s="33">
        <v>0</v>
      </c>
      <c r="L189" s="33">
        <v>0</v>
      </c>
      <c r="M189">
        <v>7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15</v>
      </c>
      <c r="AK189">
        <v>10</v>
      </c>
      <c r="AL189">
        <v>0</v>
      </c>
      <c r="AM189">
        <v>3</v>
      </c>
      <c r="AN189" s="22">
        <v>0.4</v>
      </c>
      <c r="AO189" s="22">
        <v>0.2</v>
      </c>
      <c r="AP189" s="22" t="s">
        <v>53</v>
      </c>
      <c r="AQ189" s="22">
        <v>0</v>
      </c>
      <c r="AR189" s="35">
        <v>0.857142857142857</v>
      </c>
      <c r="AS189" s="35">
        <v>51.4285714285714</v>
      </c>
      <c r="AT189" s="35">
        <v>-44.4285714285714</v>
      </c>
      <c r="AU189" s="31">
        <f t="shared" si="6"/>
        <v>8</v>
      </c>
      <c r="AV189" s="36">
        <f>IFERROR(时间!$B$4+AU189,"上周无销量")</f>
        <v>43326</v>
      </c>
    </row>
    <row r="190" spans="1:48">
      <c r="A190" s="20" t="s">
        <v>459</v>
      </c>
      <c r="B190" t="s">
        <v>460</v>
      </c>
      <c r="C190" t="s">
        <v>458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10</v>
      </c>
      <c r="J190" s="33">
        <v>5</v>
      </c>
      <c r="K190" s="33">
        <v>0</v>
      </c>
      <c r="L190" s="33">
        <v>0</v>
      </c>
      <c r="M190">
        <v>15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18</v>
      </c>
      <c r="AK190">
        <v>7</v>
      </c>
      <c r="AL190">
        <v>0</v>
      </c>
      <c r="AM190">
        <v>1</v>
      </c>
      <c r="AN190" s="22">
        <v>0</v>
      </c>
      <c r="AO190" s="22">
        <v>0</v>
      </c>
      <c r="AP190" s="22" t="s">
        <v>53</v>
      </c>
      <c r="AQ190" s="22">
        <v>0</v>
      </c>
      <c r="AR190" s="35">
        <v>0</v>
      </c>
      <c r="AS190" s="35">
        <v>0</v>
      </c>
      <c r="AT190" s="35">
        <v>15</v>
      </c>
      <c r="AU190" s="31" t="str">
        <f t="shared" si="6"/>
        <v>库存为15</v>
      </c>
      <c r="AV190" s="36" t="str">
        <f>IFERROR(时间!$B$4+AU190,"上周无销量")</f>
        <v>上周无销量</v>
      </c>
    </row>
    <row r="191" spans="1:48">
      <c r="A191" s="20" t="s">
        <v>461</v>
      </c>
      <c r="B191" t="s">
        <v>462</v>
      </c>
      <c r="C191" t="s">
        <v>458</v>
      </c>
      <c r="D191" s="31">
        <v>1</v>
      </c>
      <c r="E191" s="31">
        <v>0</v>
      </c>
      <c r="F191" s="31">
        <v>0</v>
      </c>
      <c r="G191" s="31">
        <v>0</v>
      </c>
      <c r="H191" s="32">
        <v>10</v>
      </c>
      <c r="I191">
        <v>9</v>
      </c>
      <c r="J191" s="33">
        <v>5</v>
      </c>
      <c r="K191" s="33">
        <v>0</v>
      </c>
      <c r="L191" s="33">
        <v>0</v>
      </c>
      <c r="M191">
        <v>14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30</v>
      </c>
      <c r="AK191">
        <v>21</v>
      </c>
      <c r="AL191">
        <v>0</v>
      </c>
      <c r="AM191">
        <v>3</v>
      </c>
      <c r="AN191" s="22">
        <v>0.0333333333333333</v>
      </c>
      <c r="AO191" s="22">
        <v>0</v>
      </c>
      <c r="AP191" s="22" t="s">
        <v>53</v>
      </c>
      <c r="AQ191" s="22">
        <v>0</v>
      </c>
      <c r="AR191" s="35">
        <v>0.142857142857143</v>
      </c>
      <c r="AS191" s="35">
        <v>8.57142857142857</v>
      </c>
      <c r="AT191" s="35">
        <v>5.42857142857143</v>
      </c>
      <c r="AU191" s="31">
        <f t="shared" si="6"/>
        <v>98</v>
      </c>
      <c r="AV191" s="36">
        <f>IFERROR(时间!$B$4+AU191,"上周无销量")</f>
        <v>43416</v>
      </c>
    </row>
    <row r="192" spans="1:48">
      <c r="A192" s="20" t="s">
        <v>463</v>
      </c>
      <c r="B192" t="s">
        <v>464</v>
      </c>
      <c r="C192" t="s">
        <v>458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10</v>
      </c>
      <c r="J192" s="33">
        <v>5</v>
      </c>
      <c r="K192" s="33">
        <v>0</v>
      </c>
      <c r="L192" s="33">
        <v>0</v>
      </c>
      <c r="M192">
        <v>15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20</v>
      </c>
      <c r="AK192">
        <v>9</v>
      </c>
      <c r="AL192">
        <v>0</v>
      </c>
      <c r="AM192">
        <v>2</v>
      </c>
      <c r="AN192" s="22">
        <v>0</v>
      </c>
      <c r="AO192" s="22">
        <v>0</v>
      </c>
      <c r="AP192" s="22" t="s">
        <v>53</v>
      </c>
      <c r="AQ192" s="22">
        <v>0</v>
      </c>
      <c r="AR192" s="35">
        <v>0</v>
      </c>
      <c r="AS192" s="35">
        <v>0</v>
      </c>
      <c r="AT192" s="35">
        <v>15</v>
      </c>
      <c r="AU192" s="31" t="str">
        <f t="shared" si="6"/>
        <v>库存为15</v>
      </c>
      <c r="AV192" s="36" t="str">
        <f>IFERROR(时间!$B$4+AU192,"上周无销量")</f>
        <v>上周无销量</v>
      </c>
    </row>
    <row r="193" spans="1:48">
      <c r="A193" s="20" t="s">
        <v>465</v>
      </c>
      <c r="B193" t="s">
        <v>466</v>
      </c>
      <c r="C193" t="s">
        <v>467</v>
      </c>
      <c r="D193" s="31">
        <v>1</v>
      </c>
      <c r="E193" s="31">
        <v>0</v>
      </c>
      <c r="F193" s="31">
        <v>0</v>
      </c>
      <c r="G193" s="31">
        <v>0</v>
      </c>
      <c r="H193" s="32">
        <v>14.99</v>
      </c>
      <c r="I193">
        <v>8</v>
      </c>
      <c r="J193" s="33">
        <v>0</v>
      </c>
      <c r="K193" s="33">
        <v>0</v>
      </c>
      <c r="L193" s="33">
        <v>0</v>
      </c>
      <c r="M193">
        <v>8</v>
      </c>
      <c r="N193">
        <v>0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16</v>
      </c>
      <c r="AK193">
        <v>15</v>
      </c>
      <c r="AL193">
        <v>0</v>
      </c>
      <c r="AM193">
        <v>0</v>
      </c>
      <c r="AN193" s="22">
        <v>0.0625</v>
      </c>
      <c r="AO193" s="22">
        <v>0</v>
      </c>
      <c r="AP193" s="22" t="s">
        <v>53</v>
      </c>
      <c r="AQ193" s="22" t="s">
        <v>53</v>
      </c>
      <c r="AR193" s="35">
        <v>0.142857142857143</v>
      </c>
      <c r="AS193" s="35">
        <v>8.57142857142857</v>
      </c>
      <c r="AT193" s="35">
        <v>-0.571428571428571</v>
      </c>
      <c r="AU193" s="31">
        <f t="shared" si="6"/>
        <v>56</v>
      </c>
      <c r="AV193" s="36">
        <f>IFERROR(时间!$B$4+AU193,"上周无销量")</f>
        <v>43374</v>
      </c>
    </row>
    <row r="194" spans="1:48">
      <c r="A194" s="20" t="s">
        <v>468</v>
      </c>
      <c r="B194" t="s">
        <v>469</v>
      </c>
      <c r="C194" t="s">
        <v>470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5</v>
      </c>
      <c r="K194" s="33">
        <v>0</v>
      </c>
      <c r="L194" s="33">
        <v>0</v>
      </c>
      <c r="M194">
        <v>5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0</v>
      </c>
      <c r="AK194">
        <v>0</v>
      </c>
      <c r="AL194">
        <v>0</v>
      </c>
      <c r="AM194">
        <v>3</v>
      </c>
      <c r="AN194" s="22" t="s">
        <v>53</v>
      </c>
      <c r="AO194" s="22" t="s">
        <v>53</v>
      </c>
      <c r="AP194" s="22" t="s">
        <v>53</v>
      </c>
      <c r="AQ194" s="22">
        <v>0</v>
      </c>
      <c r="AR194" s="35">
        <v>0</v>
      </c>
      <c r="AS194" s="35">
        <v>0</v>
      </c>
      <c r="AT194" s="35">
        <v>5</v>
      </c>
      <c r="AU194" s="31" t="str">
        <f t="shared" si="6"/>
        <v>库存为5</v>
      </c>
      <c r="AV194" s="36" t="str">
        <f>IFERROR(时间!$B$4+AU194,"上周无销量")</f>
        <v>上周无销量</v>
      </c>
    </row>
    <row r="195" spans="1:48">
      <c r="A195" s="20" t="s">
        <v>471</v>
      </c>
      <c r="B195" t="s">
        <v>472</v>
      </c>
      <c r="C195" t="s">
        <v>470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0</v>
      </c>
      <c r="AK195">
        <v>0</v>
      </c>
      <c r="AL195">
        <v>0</v>
      </c>
      <c r="AM195">
        <v>2</v>
      </c>
      <c r="AN195" s="22" t="s">
        <v>53</v>
      </c>
      <c r="AO195" s="22" t="s">
        <v>53</v>
      </c>
      <c r="AP195" s="22" t="s">
        <v>53</v>
      </c>
      <c r="AQ195" s="22">
        <v>0</v>
      </c>
      <c r="AR195" s="35">
        <v>0</v>
      </c>
      <c r="AS195" s="35">
        <v>0</v>
      </c>
      <c r="AT195" s="35">
        <v>0</v>
      </c>
      <c r="AU195" s="31" t="str">
        <f t="shared" si="6"/>
        <v>库存为0</v>
      </c>
      <c r="AV195" s="36" t="str">
        <f>IFERROR(时间!$B$4+AU195,"上周无销量")</f>
        <v>上周无销量</v>
      </c>
    </row>
    <row r="196" spans="1:48">
      <c r="A196" s="20" t="s">
        <v>473</v>
      </c>
      <c r="B196" t="s">
        <v>474</v>
      </c>
      <c r="C196" t="s">
        <v>470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5</v>
      </c>
      <c r="K196" s="33">
        <v>0</v>
      </c>
      <c r="L196" s="33">
        <v>0</v>
      </c>
      <c r="M196">
        <v>5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0</v>
      </c>
      <c r="AK196">
        <v>0</v>
      </c>
      <c r="AL196">
        <v>0</v>
      </c>
      <c r="AM196">
        <v>3</v>
      </c>
      <c r="AN196" s="22" t="s">
        <v>53</v>
      </c>
      <c r="AO196" s="22" t="s">
        <v>53</v>
      </c>
      <c r="AP196" s="22" t="s">
        <v>53</v>
      </c>
      <c r="AQ196" s="22">
        <v>0</v>
      </c>
      <c r="AR196" s="35">
        <v>0</v>
      </c>
      <c r="AS196" s="35">
        <v>0</v>
      </c>
      <c r="AT196" s="35">
        <v>5</v>
      </c>
      <c r="AU196" s="31" t="str">
        <f t="shared" si="6"/>
        <v>库存为5</v>
      </c>
      <c r="AV196" s="36" t="str">
        <f>IFERROR(时间!$B$4+AU196,"上周无销量")</f>
        <v>上周无销量</v>
      </c>
    </row>
    <row r="197" spans="1:48">
      <c r="A197" s="20" t="s">
        <v>475</v>
      </c>
      <c r="B197" t="s">
        <v>476</v>
      </c>
      <c r="C197" t="s">
        <v>470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5</v>
      </c>
      <c r="K197" s="33">
        <v>0</v>
      </c>
      <c r="L197" s="33">
        <v>0</v>
      </c>
      <c r="M197">
        <v>5</v>
      </c>
      <c r="N197">
        <v>0</v>
      </c>
      <c r="O197">
        <v>0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0</v>
      </c>
      <c r="AK197">
        <v>0</v>
      </c>
      <c r="AL197">
        <v>0</v>
      </c>
      <c r="AM197">
        <v>8</v>
      </c>
      <c r="AN197" s="22" t="s">
        <v>53</v>
      </c>
      <c r="AO197" s="22" t="s">
        <v>53</v>
      </c>
      <c r="AP197" s="22" t="s">
        <v>53</v>
      </c>
      <c r="AQ197" s="22">
        <v>0</v>
      </c>
      <c r="AR197" s="35">
        <v>0</v>
      </c>
      <c r="AS197" s="35">
        <v>0</v>
      </c>
      <c r="AT197" s="35">
        <v>5</v>
      </c>
      <c r="AU197" s="31" t="str">
        <f t="shared" ref="AU197:AU260" si="7">IF(AR197="","库存为"&amp;M197,IF(AS197=0,"库存为"&amp;M197,INT(M197/AR197)))</f>
        <v>库存为5</v>
      </c>
      <c r="AV197" s="36" t="str">
        <f>IFERROR(时间!$B$4+AU197,"上周无销量")</f>
        <v>上周无销量</v>
      </c>
    </row>
    <row r="198" spans="1:48">
      <c r="A198" s="20" t="s">
        <v>477</v>
      </c>
      <c r="B198" t="s">
        <v>478</v>
      </c>
      <c r="C198" t="s">
        <v>470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0</v>
      </c>
      <c r="AK198">
        <v>0</v>
      </c>
      <c r="AL198">
        <v>0</v>
      </c>
      <c r="AM198">
        <v>2</v>
      </c>
      <c r="AN198" s="22" t="s">
        <v>53</v>
      </c>
      <c r="AO198" s="22" t="s">
        <v>53</v>
      </c>
      <c r="AP198" s="22" t="s">
        <v>53</v>
      </c>
      <c r="AQ198" s="22">
        <v>0</v>
      </c>
      <c r="AR198" s="35">
        <v>0</v>
      </c>
      <c r="AS198" s="35">
        <v>0</v>
      </c>
      <c r="AT198" s="35">
        <v>0</v>
      </c>
      <c r="AU198" s="31" t="str">
        <f t="shared" si="7"/>
        <v>库存为0</v>
      </c>
      <c r="AV198" s="36" t="str">
        <f>IFERROR(时间!$B$4+AU198,"上周无销量")</f>
        <v>上周无销量</v>
      </c>
    </row>
    <row r="199" spans="1:48">
      <c r="A199" s="20" t="s">
        <v>479</v>
      </c>
      <c r="B199" t="s">
        <v>480</v>
      </c>
      <c r="C199" t="s">
        <v>481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0</v>
      </c>
      <c r="AK199">
        <v>0</v>
      </c>
      <c r="AL199">
        <v>0</v>
      </c>
      <c r="AM199">
        <v>1</v>
      </c>
      <c r="AN199" s="22" t="s">
        <v>53</v>
      </c>
      <c r="AO199" s="22" t="s">
        <v>53</v>
      </c>
      <c r="AP199" s="22" t="s">
        <v>53</v>
      </c>
      <c r="AQ199" s="22">
        <v>0</v>
      </c>
      <c r="AR199" s="35">
        <v>0</v>
      </c>
      <c r="AS199" s="35">
        <v>0</v>
      </c>
      <c r="AT199" s="35">
        <v>0</v>
      </c>
      <c r="AU199" s="31" t="str">
        <f t="shared" si="7"/>
        <v>库存为0</v>
      </c>
      <c r="AV199" s="36" t="str">
        <f>IFERROR(时间!$B$4+AU199,"上周无销量")</f>
        <v>上周无销量</v>
      </c>
    </row>
    <row r="200" spans="1:48">
      <c r="A200" s="20" t="s">
        <v>482</v>
      </c>
      <c r="B200" t="s">
        <v>483</v>
      </c>
      <c r="C200" t="s">
        <v>484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0</v>
      </c>
      <c r="AK200">
        <v>0</v>
      </c>
      <c r="AL200">
        <v>0</v>
      </c>
      <c r="AM200">
        <v>1</v>
      </c>
      <c r="AN200" s="22" t="s">
        <v>53</v>
      </c>
      <c r="AO200" s="22" t="s">
        <v>53</v>
      </c>
      <c r="AP200" s="22" t="s">
        <v>53</v>
      </c>
      <c r="AQ200" s="22">
        <v>0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20" t="s">
        <v>485</v>
      </c>
      <c r="B201" t="s">
        <v>486</v>
      </c>
      <c r="C201" t="s">
        <v>484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0</v>
      </c>
      <c r="AK201">
        <v>0</v>
      </c>
      <c r="AL201">
        <v>0</v>
      </c>
      <c r="AM201">
        <v>1</v>
      </c>
      <c r="AN201" s="22" t="s">
        <v>53</v>
      </c>
      <c r="AO201" s="22" t="s">
        <v>53</v>
      </c>
      <c r="AP201" s="22" t="s">
        <v>53</v>
      </c>
      <c r="AQ201" s="22">
        <v>0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0" t="s">
        <v>487</v>
      </c>
      <c r="B202" t="s">
        <v>488</v>
      </c>
      <c r="C202" t="s">
        <v>484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0</v>
      </c>
      <c r="AK202">
        <v>0</v>
      </c>
      <c r="AL202">
        <v>0</v>
      </c>
      <c r="AM202">
        <v>1</v>
      </c>
      <c r="AN202" s="22" t="s">
        <v>53</v>
      </c>
      <c r="AO202" s="22" t="s">
        <v>53</v>
      </c>
      <c r="AP202" s="22" t="s">
        <v>53</v>
      </c>
      <c r="AQ202" s="22">
        <v>0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489</v>
      </c>
      <c r="B203" t="s">
        <v>490</v>
      </c>
      <c r="C203" t="s">
        <v>484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0</v>
      </c>
      <c r="AK203">
        <v>0</v>
      </c>
      <c r="AL203">
        <v>0</v>
      </c>
      <c r="AM203">
        <v>1</v>
      </c>
      <c r="AN203" s="22" t="s">
        <v>53</v>
      </c>
      <c r="AO203" s="22" t="s">
        <v>53</v>
      </c>
      <c r="AP203" s="22" t="s">
        <v>53</v>
      </c>
      <c r="AQ203" s="22">
        <v>0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0" t="s">
        <v>491</v>
      </c>
      <c r="B204" t="s">
        <v>492</v>
      </c>
      <c r="C204" t="s">
        <v>493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5</v>
      </c>
      <c r="J204" s="33">
        <v>0</v>
      </c>
      <c r="K204" s="33">
        <v>0</v>
      </c>
      <c r="L204" s="33">
        <v>0</v>
      </c>
      <c r="M204">
        <v>5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39</v>
      </c>
      <c r="AK204">
        <v>0</v>
      </c>
      <c r="AL204">
        <v>0</v>
      </c>
      <c r="AM204">
        <v>7</v>
      </c>
      <c r="AN204" s="22">
        <v>0</v>
      </c>
      <c r="AO204" s="22" t="s">
        <v>53</v>
      </c>
      <c r="AP204" s="22" t="s">
        <v>53</v>
      </c>
      <c r="AQ204" s="22">
        <v>0</v>
      </c>
      <c r="AR204" s="35">
        <v>0</v>
      </c>
      <c r="AS204" s="35">
        <v>0</v>
      </c>
      <c r="AT204" s="35">
        <v>5</v>
      </c>
      <c r="AU204" s="31" t="str">
        <f t="shared" si="7"/>
        <v>库存为5</v>
      </c>
      <c r="AV204" s="36" t="str">
        <f>IFERROR(时间!$B$4+AU204,"上周无销量")</f>
        <v>上周无销量</v>
      </c>
    </row>
    <row r="205" spans="1:48">
      <c r="A205" s="20" t="s">
        <v>494</v>
      </c>
      <c r="B205" t="s">
        <v>495</v>
      </c>
      <c r="C205" t="s">
        <v>493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0</v>
      </c>
      <c r="AK205">
        <v>0</v>
      </c>
      <c r="AL205">
        <v>0</v>
      </c>
      <c r="AM205">
        <v>0</v>
      </c>
      <c r="AN205" s="22" t="s">
        <v>53</v>
      </c>
      <c r="AO205" s="22" t="s">
        <v>53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20" t="s">
        <v>496</v>
      </c>
      <c r="B206" t="s">
        <v>497</v>
      </c>
      <c r="C206" t="s">
        <v>493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5</v>
      </c>
      <c r="K206" s="33">
        <v>0</v>
      </c>
      <c r="L206" s="33">
        <v>0</v>
      </c>
      <c r="M206">
        <v>5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0</v>
      </c>
      <c r="AK206">
        <v>0</v>
      </c>
      <c r="AL206">
        <v>0</v>
      </c>
      <c r="AM206">
        <v>0</v>
      </c>
      <c r="AN206" s="22" t="s">
        <v>53</v>
      </c>
      <c r="AO206" s="22" t="s">
        <v>53</v>
      </c>
      <c r="AP206" s="22" t="s">
        <v>53</v>
      </c>
      <c r="AQ206" s="22" t="s">
        <v>53</v>
      </c>
      <c r="AR206" s="35">
        <v>0</v>
      </c>
      <c r="AS206" s="35">
        <v>0</v>
      </c>
      <c r="AT206" s="35">
        <v>5</v>
      </c>
      <c r="AU206" s="31" t="str">
        <f t="shared" si="7"/>
        <v>库存为5</v>
      </c>
      <c r="AV206" s="36" t="str">
        <f>IFERROR(时间!$B$4+AU206,"上周无销量")</f>
        <v>上周无销量</v>
      </c>
    </row>
    <row r="207" spans="1:48">
      <c r="A207" s="20" t="s">
        <v>498</v>
      </c>
      <c r="B207" t="s">
        <v>499</v>
      </c>
      <c r="C207" t="s">
        <v>500</v>
      </c>
      <c r="D207" s="31">
        <v>27</v>
      </c>
      <c r="E207" s="31">
        <v>7</v>
      </c>
      <c r="F207" s="31">
        <v>3</v>
      </c>
      <c r="G207" s="31">
        <v>0</v>
      </c>
      <c r="H207" s="32">
        <v>15.99</v>
      </c>
      <c r="I207">
        <v>7</v>
      </c>
      <c r="J207" s="33">
        <v>0</v>
      </c>
      <c r="K207" s="33">
        <v>0</v>
      </c>
      <c r="L207" s="33">
        <v>2</v>
      </c>
      <c r="M207">
        <v>9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74</v>
      </c>
      <c r="AK207">
        <v>85</v>
      </c>
      <c r="AL207">
        <v>17</v>
      </c>
      <c r="AM207">
        <v>19</v>
      </c>
      <c r="AN207" s="22">
        <v>0.364864864864865</v>
      </c>
      <c r="AO207" s="22">
        <v>0.0823529411764706</v>
      </c>
      <c r="AP207" s="22">
        <v>0.176470588235294</v>
      </c>
      <c r="AQ207" s="22">
        <v>0</v>
      </c>
      <c r="AR207" s="35">
        <v>3.85714285714286</v>
      </c>
      <c r="AS207" s="35">
        <v>231.428571428571</v>
      </c>
      <c r="AT207" s="35">
        <v>-222.428571428571</v>
      </c>
      <c r="AU207" s="31">
        <f t="shared" si="7"/>
        <v>2</v>
      </c>
      <c r="AV207" s="36">
        <f>IFERROR(时间!$B$4+AU207,"上周无销量")</f>
        <v>43320</v>
      </c>
    </row>
    <row r="208" spans="1:48">
      <c r="A208" s="20" t="s">
        <v>501</v>
      </c>
      <c r="B208" t="s">
        <v>492</v>
      </c>
      <c r="C208" t="s">
        <v>500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39</v>
      </c>
      <c r="AK208">
        <v>0</v>
      </c>
      <c r="AL208">
        <v>0</v>
      </c>
      <c r="AM208">
        <v>7</v>
      </c>
      <c r="AN208" s="22">
        <v>0</v>
      </c>
      <c r="AO208" s="22" t="s">
        <v>53</v>
      </c>
      <c r="AP208" s="22" t="s">
        <v>53</v>
      </c>
      <c r="AQ208" s="22">
        <v>0</v>
      </c>
      <c r="AR208" s="35">
        <v>0</v>
      </c>
      <c r="AS208" s="35">
        <v>0</v>
      </c>
      <c r="AT208" s="35">
        <v>0</v>
      </c>
      <c r="AU208" s="31" t="str">
        <f t="shared" si="7"/>
        <v>库存为0</v>
      </c>
      <c r="AV208" s="36" t="str">
        <f>IFERROR(时间!$B$4+AU208,"上周无销量")</f>
        <v>上周无销量</v>
      </c>
    </row>
    <row r="209" spans="1:48">
      <c r="A209" s="20" t="s">
        <v>502</v>
      </c>
      <c r="B209" t="s">
        <v>503</v>
      </c>
      <c r="C209" t="s">
        <v>500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3</v>
      </c>
      <c r="K209" s="33">
        <v>0</v>
      </c>
      <c r="L209" s="33">
        <v>0</v>
      </c>
      <c r="M209">
        <v>3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0</v>
      </c>
      <c r="AL209">
        <v>0</v>
      </c>
      <c r="AM209">
        <v>3</v>
      </c>
      <c r="AN209" s="22" t="s">
        <v>53</v>
      </c>
      <c r="AO209" s="22" t="s">
        <v>53</v>
      </c>
      <c r="AP209" s="22" t="s">
        <v>53</v>
      </c>
      <c r="AQ209" s="22">
        <v>0</v>
      </c>
      <c r="AR209" s="35">
        <v>0</v>
      </c>
      <c r="AS209" s="35">
        <v>0</v>
      </c>
      <c r="AT209" s="35">
        <v>3</v>
      </c>
      <c r="AU209" s="31" t="str">
        <f t="shared" si="7"/>
        <v>库存为3</v>
      </c>
      <c r="AV209" s="36" t="str">
        <f>IFERROR(时间!$B$4+AU209,"上周无销量")</f>
        <v>上周无销量</v>
      </c>
    </row>
    <row r="210" spans="1:48">
      <c r="A210" s="20" t="s">
        <v>504</v>
      </c>
      <c r="B210" t="s">
        <v>505</v>
      </c>
      <c r="C210" t="s">
        <v>500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3</v>
      </c>
      <c r="K210" s="33">
        <v>0</v>
      </c>
      <c r="L210" s="33">
        <v>0</v>
      </c>
      <c r="M210">
        <v>3</v>
      </c>
      <c r="N210">
        <v>0</v>
      </c>
      <c r="O210">
        <v>0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0</v>
      </c>
      <c r="AK210">
        <v>0</v>
      </c>
      <c r="AL210">
        <v>0</v>
      </c>
      <c r="AM210">
        <v>9</v>
      </c>
      <c r="AN210" s="22" t="s">
        <v>53</v>
      </c>
      <c r="AO210" s="22" t="s">
        <v>53</v>
      </c>
      <c r="AP210" s="22" t="s">
        <v>53</v>
      </c>
      <c r="AQ210" s="22">
        <v>0</v>
      </c>
      <c r="AR210" s="35">
        <v>0</v>
      </c>
      <c r="AS210" s="35">
        <v>0</v>
      </c>
      <c r="AT210" s="35">
        <v>3</v>
      </c>
      <c r="AU210" s="31" t="str">
        <f t="shared" si="7"/>
        <v>库存为3</v>
      </c>
      <c r="AV210" s="36" t="str">
        <f>IFERROR(时间!$B$4+AU210,"上周无销量")</f>
        <v>上周无销量</v>
      </c>
    </row>
    <row r="211" spans="1:48">
      <c r="A211" s="20" t="s">
        <v>506</v>
      </c>
      <c r="B211" t="s">
        <v>507</v>
      </c>
      <c r="C211" t="s">
        <v>508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5</v>
      </c>
      <c r="K211" s="33">
        <v>0</v>
      </c>
      <c r="L211" s="33">
        <v>0</v>
      </c>
      <c r="M211">
        <v>5</v>
      </c>
      <c r="N211">
        <v>0</v>
      </c>
      <c r="O211">
        <v>0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0</v>
      </c>
      <c r="AK211">
        <v>0</v>
      </c>
      <c r="AL211">
        <v>0</v>
      </c>
      <c r="AM211">
        <v>6</v>
      </c>
      <c r="AN211" s="22" t="s">
        <v>53</v>
      </c>
      <c r="AO211" s="22" t="s">
        <v>53</v>
      </c>
      <c r="AP211" s="22" t="s">
        <v>53</v>
      </c>
      <c r="AQ211" s="22">
        <v>0</v>
      </c>
      <c r="AR211" s="35">
        <v>0</v>
      </c>
      <c r="AS211" s="35">
        <v>0</v>
      </c>
      <c r="AT211" s="35">
        <v>5</v>
      </c>
      <c r="AU211" s="31" t="str">
        <f t="shared" si="7"/>
        <v>库存为5</v>
      </c>
      <c r="AV211" s="36" t="str">
        <f>IFERROR(时间!$B$4+AU211,"上周无销量")</f>
        <v>上周无销量</v>
      </c>
    </row>
    <row r="212" spans="1:48">
      <c r="A212" s="20" t="s">
        <v>509</v>
      </c>
      <c r="B212" t="s">
        <v>510</v>
      </c>
      <c r="C212" t="s">
        <v>508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10</v>
      </c>
      <c r="J212" s="33">
        <v>0</v>
      </c>
      <c r="K212" s="33">
        <v>0</v>
      </c>
      <c r="L212" s="33">
        <v>0</v>
      </c>
      <c r="M212">
        <v>10</v>
      </c>
      <c r="N212">
        <v>0</v>
      </c>
      <c r="O212">
        <v>0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16</v>
      </c>
      <c r="AK212">
        <v>0</v>
      </c>
      <c r="AL212">
        <v>0</v>
      </c>
      <c r="AM212">
        <v>3</v>
      </c>
      <c r="AN212" s="22">
        <v>0</v>
      </c>
      <c r="AO212" s="22" t="s">
        <v>53</v>
      </c>
      <c r="AP212" s="22" t="s">
        <v>53</v>
      </c>
      <c r="AQ212" s="22">
        <v>0</v>
      </c>
      <c r="AR212" s="35">
        <v>0</v>
      </c>
      <c r="AS212" s="35">
        <v>0</v>
      </c>
      <c r="AT212" s="35">
        <v>10</v>
      </c>
      <c r="AU212" s="31" t="str">
        <f t="shared" si="7"/>
        <v>库存为10</v>
      </c>
      <c r="AV212" s="36" t="str">
        <f>IFERROR(时间!$B$4+AU212,"上周无销量")</f>
        <v>上周无销量</v>
      </c>
    </row>
    <row r="213" spans="1:48">
      <c r="A213" s="20" t="s">
        <v>511</v>
      </c>
      <c r="B213" t="s">
        <v>512</v>
      </c>
      <c r="C213" t="s">
        <v>508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10</v>
      </c>
      <c r="J213" s="33">
        <v>0</v>
      </c>
      <c r="K213" s="33">
        <v>0</v>
      </c>
      <c r="L213" s="33">
        <v>0</v>
      </c>
      <c r="M213">
        <v>10</v>
      </c>
      <c r="N213">
        <v>0</v>
      </c>
      <c r="O213">
        <v>0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11</v>
      </c>
      <c r="AK213">
        <v>0</v>
      </c>
      <c r="AL213">
        <v>0</v>
      </c>
      <c r="AM213">
        <v>1</v>
      </c>
      <c r="AN213" s="22">
        <v>0</v>
      </c>
      <c r="AO213" s="22" t="s">
        <v>53</v>
      </c>
      <c r="AP213" s="22" t="s">
        <v>53</v>
      </c>
      <c r="AQ213" s="22">
        <v>0</v>
      </c>
      <c r="AR213" s="35">
        <v>0</v>
      </c>
      <c r="AS213" s="35">
        <v>0</v>
      </c>
      <c r="AT213" s="35">
        <v>10</v>
      </c>
      <c r="AU213" s="31" t="str">
        <f t="shared" si="7"/>
        <v>库存为10</v>
      </c>
      <c r="AV213" s="36" t="str">
        <f>IFERROR(时间!$B$4+AU213,"上周无销量")</f>
        <v>上周无销量</v>
      </c>
    </row>
    <row r="214" spans="1:48">
      <c r="A214" s="20" t="s">
        <v>513</v>
      </c>
      <c r="B214" t="s">
        <v>514</v>
      </c>
      <c r="C214" t="s">
        <v>515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30</v>
      </c>
      <c r="J214" s="33">
        <v>0</v>
      </c>
      <c r="K214" s="33">
        <v>0</v>
      </c>
      <c r="L214" s="33">
        <v>0</v>
      </c>
      <c r="M214">
        <v>30</v>
      </c>
      <c r="N214">
        <v>0</v>
      </c>
      <c r="O214">
        <v>0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65</v>
      </c>
      <c r="AK214">
        <v>24</v>
      </c>
      <c r="AL214">
        <v>0</v>
      </c>
      <c r="AM214">
        <v>5</v>
      </c>
      <c r="AN214" s="22">
        <v>0</v>
      </c>
      <c r="AO214" s="22">
        <v>0</v>
      </c>
      <c r="AP214" s="22" t="s">
        <v>53</v>
      </c>
      <c r="AQ214" s="22">
        <v>0</v>
      </c>
      <c r="AR214" s="35">
        <v>0</v>
      </c>
      <c r="AS214" s="35">
        <v>0</v>
      </c>
      <c r="AT214" s="35">
        <v>30</v>
      </c>
      <c r="AU214" s="31" t="str">
        <f t="shared" si="7"/>
        <v>库存为30</v>
      </c>
      <c r="AV214" s="36" t="str">
        <f>IFERROR(时间!$B$4+AU214,"上周无销量")</f>
        <v>上周无销量</v>
      </c>
    </row>
    <row r="215" spans="1:48">
      <c r="A215" s="20" t="s">
        <v>516</v>
      </c>
      <c r="B215" t="s">
        <v>517</v>
      </c>
      <c r="C215" t="s">
        <v>515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0</v>
      </c>
      <c r="AK215">
        <v>0</v>
      </c>
      <c r="AL215">
        <v>0</v>
      </c>
      <c r="AM215">
        <v>2</v>
      </c>
      <c r="AN215" s="22" t="s">
        <v>53</v>
      </c>
      <c r="AO215" s="22" t="s">
        <v>53</v>
      </c>
      <c r="AP215" s="22" t="s">
        <v>53</v>
      </c>
      <c r="AQ215" s="22">
        <v>0</v>
      </c>
      <c r="AR215" s="35">
        <v>0</v>
      </c>
      <c r="AS215" s="35">
        <v>0</v>
      </c>
      <c r="AT215" s="35">
        <v>0</v>
      </c>
      <c r="AU215" s="31" t="str">
        <f t="shared" si="7"/>
        <v>库存为0</v>
      </c>
      <c r="AV215" s="36" t="str">
        <f>IFERROR(时间!$B$4+AU215,"上周无销量")</f>
        <v>上周无销量</v>
      </c>
    </row>
    <row r="216" spans="1:48">
      <c r="A216" s="20" t="s">
        <v>518</v>
      </c>
      <c r="B216" t="s">
        <v>519</v>
      </c>
      <c r="C216" t="s">
        <v>515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0</v>
      </c>
      <c r="AK216">
        <v>0</v>
      </c>
      <c r="AL216">
        <v>0</v>
      </c>
      <c r="AM216">
        <v>4</v>
      </c>
      <c r="AN216" s="22" t="s">
        <v>53</v>
      </c>
      <c r="AO216" s="22" t="s">
        <v>53</v>
      </c>
      <c r="AP216" s="22" t="s">
        <v>53</v>
      </c>
      <c r="AQ216" s="22">
        <v>0</v>
      </c>
      <c r="AR216" s="35">
        <v>0</v>
      </c>
      <c r="AS216" s="35">
        <v>0</v>
      </c>
      <c r="AT216" s="35">
        <v>0</v>
      </c>
      <c r="AU216" s="31" t="str">
        <f t="shared" si="7"/>
        <v>库存为0</v>
      </c>
      <c r="AV216" s="36" t="str">
        <f>IFERROR(时间!$B$4+AU216,"上周无销量")</f>
        <v>上周无销量</v>
      </c>
    </row>
    <row r="217" spans="1:48">
      <c r="A217" s="20" t="s">
        <v>520</v>
      </c>
      <c r="B217" t="s">
        <v>521</v>
      </c>
      <c r="C217" t="s">
        <v>515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0</v>
      </c>
      <c r="AK217">
        <v>0</v>
      </c>
      <c r="AL217">
        <v>0</v>
      </c>
      <c r="AM217">
        <v>2</v>
      </c>
      <c r="AN217" s="22" t="s">
        <v>53</v>
      </c>
      <c r="AO217" s="22" t="s">
        <v>53</v>
      </c>
      <c r="AP217" s="22" t="s">
        <v>53</v>
      </c>
      <c r="AQ217" s="22">
        <v>0</v>
      </c>
      <c r="AR217" s="35">
        <v>0</v>
      </c>
      <c r="AS217" s="35">
        <v>0</v>
      </c>
      <c r="AT217" s="35">
        <v>0</v>
      </c>
      <c r="AU217" s="31" t="str">
        <f t="shared" si="7"/>
        <v>库存为0</v>
      </c>
      <c r="AV217" s="36" t="str">
        <f>IFERROR(时间!$B$4+AU217,"上周无销量")</f>
        <v>上周无销量</v>
      </c>
    </row>
    <row r="218" spans="1:48">
      <c r="A218" s="20" t="s">
        <v>522</v>
      </c>
      <c r="B218" t="s">
        <v>523</v>
      </c>
      <c r="C218" t="s">
        <v>515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0</v>
      </c>
      <c r="AK218">
        <v>0</v>
      </c>
      <c r="AL218">
        <v>0</v>
      </c>
      <c r="AM218">
        <v>2</v>
      </c>
      <c r="AN218" s="22" t="s">
        <v>53</v>
      </c>
      <c r="AO218" s="22" t="s">
        <v>53</v>
      </c>
      <c r="AP218" s="22" t="s">
        <v>53</v>
      </c>
      <c r="AQ218" s="22">
        <v>0</v>
      </c>
      <c r="AR218" s="35">
        <v>0</v>
      </c>
      <c r="AS218" s="35">
        <v>0</v>
      </c>
      <c r="AT218" s="35">
        <v>0</v>
      </c>
      <c r="AU218" s="31" t="str">
        <f t="shared" si="7"/>
        <v>库存为0</v>
      </c>
      <c r="AV218" s="36" t="str">
        <f>IFERROR(时间!$B$4+AU218,"上周无销量")</f>
        <v>上周无销量</v>
      </c>
    </row>
    <row r="219" spans="1:48">
      <c r="A219" s="20" t="s">
        <v>524</v>
      </c>
      <c r="B219" t="s">
        <v>525</v>
      </c>
      <c r="C219" t="s">
        <v>526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2</v>
      </c>
      <c r="J219" s="33">
        <v>0</v>
      </c>
      <c r="K219" s="33">
        <v>0</v>
      </c>
      <c r="L219" s="33">
        <v>0</v>
      </c>
      <c r="M219">
        <v>2</v>
      </c>
      <c r="N219">
        <v>0</v>
      </c>
      <c r="O219">
        <v>2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0</v>
      </c>
      <c r="AK219">
        <v>0</v>
      </c>
      <c r="AL219">
        <v>0</v>
      </c>
      <c r="AM219">
        <v>2</v>
      </c>
      <c r="AN219" s="22" t="s">
        <v>53</v>
      </c>
      <c r="AO219" s="22" t="s">
        <v>53</v>
      </c>
      <c r="AP219" s="22" t="s">
        <v>53</v>
      </c>
      <c r="AQ219" s="22">
        <v>0</v>
      </c>
      <c r="AR219" s="35">
        <v>0</v>
      </c>
      <c r="AS219" s="35">
        <v>0</v>
      </c>
      <c r="AT219" s="35">
        <v>2</v>
      </c>
      <c r="AU219" s="31" t="str">
        <f t="shared" si="7"/>
        <v>库存为2</v>
      </c>
      <c r="AV219" s="36" t="str">
        <f>IFERROR(时间!$B$4+AU219,"上周无销量")</f>
        <v>上周无销量</v>
      </c>
    </row>
    <row r="220" spans="1:48">
      <c r="A220" s="20" t="s">
        <v>527</v>
      </c>
      <c r="B220" t="s">
        <v>528</v>
      </c>
      <c r="C220" t="s">
        <v>526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3</v>
      </c>
      <c r="J220" s="33">
        <v>0</v>
      </c>
      <c r="K220" s="33">
        <v>0</v>
      </c>
      <c r="L220" s="33">
        <v>0</v>
      </c>
      <c r="M220">
        <v>3</v>
      </c>
      <c r="N220">
        <v>0</v>
      </c>
      <c r="O220">
        <v>3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2</v>
      </c>
      <c r="AK220">
        <v>3</v>
      </c>
      <c r="AL220">
        <v>0</v>
      </c>
      <c r="AM220">
        <v>3</v>
      </c>
      <c r="AN220" s="22">
        <v>0</v>
      </c>
      <c r="AO220" s="22">
        <v>0</v>
      </c>
      <c r="AP220" s="22" t="s">
        <v>53</v>
      </c>
      <c r="AQ220" s="22">
        <v>0</v>
      </c>
      <c r="AR220" s="35">
        <v>0</v>
      </c>
      <c r="AS220" s="35">
        <v>0</v>
      </c>
      <c r="AT220" s="35">
        <v>3</v>
      </c>
      <c r="AU220" s="31" t="str">
        <f t="shared" si="7"/>
        <v>库存为3</v>
      </c>
      <c r="AV220" s="36" t="str">
        <f>IFERROR(时间!$B$4+AU220,"上周无销量")</f>
        <v>上周无销量</v>
      </c>
    </row>
    <row r="221" spans="1:48">
      <c r="A221" s="20" t="s">
        <v>529</v>
      </c>
      <c r="B221" t="s">
        <v>530</v>
      </c>
      <c r="C221" t="s">
        <v>526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3</v>
      </c>
      <c r="J221" s="33">
        <v>0</v>
      </c>
      <c r="K221" s="33">
        <v>0</v>
      </c>
      <c r="L221" s="33">
        <v>0</v>
      </c>
      <c r="M221">
        <v>3</v>
      </c>
      <c r="N221">
        <v>0</v>
      </c>
      <c r="O221">
        <v>3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3</v>
      </c>
      <c r="AK221">
        <v>3</v>
      </c>
      <c r="AL221">
        <v>1</v>
      </c>
      <c r="AM221">
        <v>4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3</v>
      </c>
      <c r="AU221" s="31" t="str">
        <f t="shared" si="7"/>
        <v>库存为3</v>
      </c>
      <c r="AV221" s="36" t="str">
        <f>IFERROR(时间!$B$4+AU221,"上周无销量")</f>
        <v>上周无销量</v>
      </c>
    </row>
    <row r="222" spans="1:48">
      <c r="A222" s="20" t="s">
        <v>531</v>
      </c>
      <c r="B222" t="s">
        <v>532</v>
      </c>
      <c r="C222" t="s">
        <v>526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3</v>
      </c>
      <c r="J222" s="33">
        <v>0</v>
      </c>
      <c r="K222" s="33">
        <v>0</v>
      </c>
      <c r="L222" s="33">
        <v>0</v>
      </c>
      <c r="M222">
        <v>3</v>
      </c>
      <c r="N222">
        <v>0</v>
      </c>
      <c r="O222">
        <v>3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0</v>
      </c>
      <c r="AK222">
        <v>3</v>
      </c>
      <c r="AL222">
        <v>1</v>
      </c>
      <c r="AM222">
        <v>2</v>
      </c>
      <c r="AN222" s="22" t="s">
        <v>53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3</v>
      </c>
      <c r="AU222" s="31" t="str">
        <f t="shared" si="7"/>
        <v>库存为3</v>
      </c>
      <c r="AV222" s="36" t="str">
        <f>IFERROR(时间!$B$4+AU222,"上周无销量")</f>
        <v>上周无销量</v>
      </c>
    </row>
    <row r="223" spans="1:48">
      <c r="A223" s="20" t="s">
        <v>533</v>
      </c>
      <c r="B223" t="s">
        <v>534</v>
      </c>
      <c r="C223" t="s">
        <v>535</v>
      </c>
      <c r="D223" s="31">
        <v>2</v>
      </c>
      <c r="E223" s="31">
        <v>3</v>
      </c>
      <c r="F223" s="31">
        <v>0</v>
      </c>
      <c r="G223" s="31">
        <v>0</v>
      </c>
      <c r="H223" s="32">
        <v>9.9</v>
      </c>
      <c r="I223">
        <v>8</v>
      </c>
      <c r="J223" s="33">
        <v>0</v>
      </c>
      <c r="K223" s="33">
        <v>0</v>
      </c>
      <c r="L223" s="33">
        <v>3</v>
      </c>
      <c r="M223">
        <v>11</v>
      </c>
      <c r="N223">
        <v>1</v>
      </c>
      <c r="O223">
        <v>8</v>
      </c>
      <c r="P223">
        <v>3208</v>
      </c>
      <c r="Q223">
        <v>7917</v>
      </c>
      <c r="R223">
        <v>0</v>
      </c>
      <c r="S223">
        <v>0</v>
      </c>
      <c r="T223">
        <v>11</v>
      </c>
      <c r="U223">
        <v>21</v>
      </c>
      <c r="V223">
        <v>0</v>
      </c>
      <c r="W223">
        <v>0</v>
      </c>
      <c r="X223" s="22">
        <v>0.003428927680798</v>
      </c>
      <c r="Y223" s="22">
        <v>0.0026525198938992</v>
      </c>
      <c r="Z223" s="22" t="s">
        <v>53</v>
      </c>
      <c r="AA223" s="22" t="s">
        <v>53</v>
      </c>
      <c r="AB223">
        <v>3.74</v>
      </c>
      <c r="AC223">
        <v>6.66</v>
      </c>
      <c r="AD223">
        <v>0</v>
      </c>
      <c r="AE223">
        <v>0</v>
      </c>
      <c r="AF223" s="22">
        <v>0.188888888888889</v>
      </c>
      <c r="AG223" s="22">
        <v>0.224242424242424</v>
      </c>
      <c r="AH223" s="22" t="s">
        <v>53</v>
      </c>
      <c r="AI223" s="22" t="s">
        <v>53</v>
      </c>
      <c r="AJ223">
        <v>2</v>
      </c>
      <c r="AK223">
        <v>12</v>
      </c>
      <c r="AL223">
        <v>2</v>
      </c>
      <c r="AM223">
        <v>3</v>
      </c>
      <c r="AN223" s="22">
        <v>1</v>
      </c>
      <c r="AO223" s="22">
        <v>0.25</v>
      </c>
      <c r="AP223" s="22">
        <v>0</v>
      </c>
      <c r="AQ223" s="22">
        <v>0</v>
      </c>
      <c r="AR223" s="35">
        <v>0.285714285714286</v>
      </c>
      <c r="AS223" s="35">
        <v>17.1428571428571</v>
      </c>
      <c r="AT223" s="35">
        <v>-6.14285714285714</v>
      </c>
      <c r="AU223" s="31">
        <f t="shared" si="7"/>
        <v>38</v>
      </c>
      <c r="AV223" s="36">
        <f>IFERROR(时间!$B$4+AU223,"上周无销量")</f>
        <v>43356</v>
      </c>
    </row>
    <row r="224" spans="1:48">
      <c r="A224" s="20" t="s">
        <v>536</v>
      </c>
      <c r="B224" t="s">
        <v>537</v>
      </c>
      <c r="C224" t="s">
        <v>536</v>
      </c>
      <c r="D224" s="31">
        <v>1</v>
      </c>
      <c r="E224" s="31">
        <v>0</v>
      </c>
      <c r="F224" s="31">
        <v>1</v>
      </c>
      <c r="G224" s="31">
        <v>0</v>
      </c>
      <c r="H224" s="32">
        <v>9.99</v>
      </c>
      <c r="I224">
        <v>27</v>
      </c>
      <c r="J224" s="33">
        <v>0</v>
      </c>
      <c r="K224" s="33">
        <v>0</v>
      </c>
      <c r="L224" s="33">
        <v>0</v>
      </c>
      <c r="M224">
        <v>27</v>
      </c>
      <c r="N224">
        <v>0</v>
      </c>
      <c r="O224">
        <v>27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10</v>
      </c>
      <c r="AK224">
        <v>10</v>
      </c>
      <c r="AL224">
        <v>10</v>
      </c>
      <c r="AM224">
        <v>4</v>
      </c>
      <c r="AN224" s="22">
        <v>0.1</v>
      </c>
      <c r="AO224" s="22">
        <v>0</v>
      </c>
      <c r="AP224" s="22">
        <v>0.1</v>
      </c>
      <c r="AQ224" s="22">
        <v>0</v>
      </c>
      <c r="AR224" s="35">
        <v>0.142857142857143</v>
      </c>
      <c r="AS224" s="35">
        <v>8.57142857142857</v>
      </c>
      <c r="AT224" s="35">
        <v>18.4285714285714</v>
      </c>
      <c r="AU224" s="31">
        <f t="shared" si="7"/>
        <v>189</v>
      </c>
      <c r="AV224" s="36">
        <f>IFERROR(时间!$B$4+AU224,"上周无销量")</f>
        <v>43507</v>
      </c>
    </row>
    <row r="225" spans="1:48">
      <c r="A225" s="20" t="s">
        <v>538</v>
      </c>
      <c r="B225" t="s">
        <v>539</v>
      </c>
      <c r="C225" t="s">
        <v>540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32</v>
      </c>
      <c r="J225" s="33">
        <v>0</v>
      </c>
      <c r="K225" s="33">
        <v>0</v>
      </c>
      <c r="L225" s="33">
        <v>0</v>
      </c>
      <c r="M225">
        <v>32</v>
      </c>
      <c r="N225">
        <v>0</v>
      </c>
      <c r="O225">
        <v>32</v>
      </c>
      <c r="P225">
        <v>190</v>
      </c>
      <c r="Q225">
        <v>379</v>
      </c>
      <c r="R225">
        <v>0</v>
      </c>
      <c r="S225">
        <v>0</v>
      </c>
      <c r="T225">
        <v>0</v>
      </c>
      <c r="U225">
        <v>1</v>
      </c>
      <c r="V225">
        <v>0</v>
      </c>
      <c r="W225">
        <v>0</v>
      </c>
      <c r="X225" s="22">
        <v>0</v>
      </c>
      <c r="Y225" s="22">
        <v>0.00263852242744063</v>
      </c>
      <c r="Z225" s="22" t="s">
        <v>53</v>
      </c>
      <c r="AA225" s="22" t="s">
        <v>53</v>
      </c>
      <c r="AB225">
        <v>0</v>
      </c>
      <c r="AC225">
        <v>0.27</v>
      </c>
      <c r="AD225">
        <v>0</v>
      </c>
      <c r="AE225">
        <v>0</v>
      </c>
      <c r="AF225" s="22" t="s">
        <v>53</v>
      </c>
      <c r="AG225" s="22" t="s">
        <v>541</v>
      </c>
      <c r="AH225" s="22" t="s">
        <v>53</v>
      </c>
      <c r="AI225" s="22" t="s">
        <v>53</v>
      </c>
      <c r="AJ225">
        <v>1</v>
      </c>
      <c r="AK225">
        <v>6</v>
      </c>
      <c r="AL225">
        <v>5</v>
      </c>
      <c r="AM225">
        <v>5</v>
      </c>
      <c r="AN225" s="22">
        <v>0</v>
      </c>
      <c r="AO225" s="22">
        <v>0</v>
      </c>
      <c r="AP225" s="22">
        <v>0</v>
      </c>
      <c r="AQ225" s="22">
        <v>0</v>
      </c>
      <c r="AR225" s="35">
        <v>0</v>
      </c>
      <c r="AS225" s="35">
        <v>0</v>
      </c>
      <c r="AT225" s="35">
        <v>32</v>
      </c>
      <c r="AU225" s="31" t="str">
        <f t="shared" si="7"/>
        <v>库存为32</v>
      </c>
      <c r="AV225" s="36" t="str">
        <f>IFERROR(时间!$B$4+AU225,"上周无销量")</f>
        <v>上周无销量</v>
      </c>
    </row>
    <row r="226" spans="1:48">
      <c r="A226" s="20" t="s">
        <v>542</v>
      </c>
      <c r="B226" t="s">
        <v>543</v>
      </c>
      <c r="C226" t="s">
        <v>544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0</v>
      </c>
      <c r="AK226">
        <v>0</v>
      </c>
      <c r="AL226">
        <v>0</v>
      </c>
      <c r="AM226">
        <v>0</v>
      </c>
      <c r="AN226" s="22" t="s">
        <v>53</v>
      </c>
      <c r="AO226" s="22" t="s">
        <v>53</v>
      </c>
      <c r="AP226" s="22" t="s">
        <v>53</v>
      </c>
      <c r="AQ226" s="22" t="s">
        <v>53</v>
      </c>
      <c r="AR226" s="35">
        <v>0</v>
      </c>
      <c r="AS226" s="35">
        <v>0</v>
      </c>
      <c r="AT226" s="35">
        <v>0</v>
      </c>
      <c r="AU226" s="31" t="str">
        <f t="shared" si="7"/>
        <v>库存为0</v>
      </c>
      <c r="AV226" s="36" t="str">
        <f>IFERROR(时间!$B$4+AU226,"上周无销量")</f>
        <v>上周无销量</v>
      </c>
    </row>
    <row r="227" spans="1:48">
      <c r="A227" s="20" t="s">
        <v>545</v>
      </c>
      <c r="B227" t="s">
        <v>546</v>
      </c>
      <c r="C227" t="s">
        <v>547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1</v>
      </c>
      <c r="J227" s="33">
        <v>0</v>
      </c>
      <c r="K227" s="33">
        <v>0</v>
      </c>
      <c r="L227" s="33">
        <v>0</v>
      </c>
      <c r="M227">
        <v>1</v>
      </c>
      <c r="N227">
        <v>0</v>
      </c>
      <c r="O227">
        <v>1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0</v>
      </c>
      <c r="AK227">
        <v>0</v>
      </c>
      <c r="AL227">
        <v>0</v>
      </c>
      <c r="AM227">
        <v>7</v>
      </c>
      <c r="AN227" s="22" t="s">
        <v>53</v>
      </c>
      <c r="AO227" s="22" t="s">
        <v>53</v>
      </c>
      <c r="AP227" s="22" t="s">
        <v>53</v>
      </c>
      <c r="AQ227" s="22">
        <v>0</v>
      </c>
      <c r="AR227" s="35">
        <v>0</v>
      </c>
      <c r="AS227" s="35">
        <v>0</v>
      </c>
      <c r="AT227" s="35">
        <v>1</v>
      </c>
      <c r="AU227" s="31" t="str">
        <f t="shared" si="7"/>
        <v>库存为1</v>
      </c>
      <c r="AV227" s="36" t="str">
        <f>IFERROR(时间!$B$4+AU227,"上周无销量")</f>
        <v>上周无销量</v>
      </c>
    </row>
    <row r="228" spans="1:48">
      <c r="A228" s="20" t="s">
        <v>548</v>
      </c>
      <c r="B228" t="s">
        <v>549</v>
      </c>
      <c r="C228" t="s">
        <v>550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18</v>
      </c>
      <c r="J228" s="33">
        <v>0</v>
      </c>
      <c r="K228" s="33">
        <v>0</v>
      </c>
      <c r="L228" s="33">
        <v>0</v>
      </c>
      <c r="M228">
        <v>18</v>
      </c>
      <c r="N228">
        <v>0</v>
      </c>
      <c r="O228">
        <v>18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1</v>
      </c>
      <c r="AK228">
        <v>5</v>
      </c>
      <c r="AL228">
        <v>5</v>
      </c>
      <c r="AM228">
        <v>4</v>
      </c>
      <c r="AN228" s="22">
        <v>0</v>
      </c>
      <c r="AO228" s="22">
        <v>0</v>
      </c>
      <c r="AP228" s="22">
        <v>0</v>
      </c>
      <c r="AQ228" s="22">
        <v>0</v>
      </c>
      <c r="AR228" s="35">
        <v>0</v>
      </c>
      <c r="AS228" s="35">
        <v>0</v>
      </c>
      <c r="AT228" s="35">
        <v>18</v>
      </c>
      <c r="AU228" s="31" t="str">
        <f t="shared" si="7"/>
        <v>库存为18</v>
      </c>
      <c r="AV228" s="36" t="str">
        <f>IFERROR(时间!$B$4+AU228,"上周无销量")</f>
        <v>上周无销量</v>
      </c>
    </row>
    <row r="229" spans="1:48">
      <c r="A229" s="20" t="s">
        <v>551</v>
      </c>
      <c r="B229" t="s">
        <v>552</v>
      </c>
      <c r="C229" t="s">
        <v>553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1</v>
      </c>
      <c r="J229" s="33">
        <v>0</v>
      </c>
      <c r="K229" s="33">
        <v>0</v>
      </c>
      <c r="L229" s="33">
        <v>0</v>
      </c>
      <c r="M229">
        <v>1</v>
      </c>
      <c r="N229">
        <v>0</v>
      </c>
      <c r="O229">
        <v>0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0</v>
      </c>
      <c r="AK229">
        <v>0</v>
      </c>
      <c r="AL229">
        <v>1</v>
      </c>
      <c r="AM229">
        <v>1</v>
      </c>
      <c r="AN229" s="22" t="s">
        <v>53</v>
      </c>
      <c r="AO229" s="22" t="s">
        <v>53</v>
      </c>
      <c r="AP229" s="22">
        <v>0</v>
      </c>
      <c r="AQ229" s="22">
        <v>0</v>
      </c>
      <c r="AR229" s="35">
        <v>0</v>
      </c>
      <c r="AS229" s="35">
        <v>0</v>
      </c>
      <c r="AT229" s="35">
        <v>1</v>
      </c>
      <c r="AU229" s="31" t="str">
        <f t="shared" si="7"/>
        <v>库存为1</v>
      </c>
      <c r="AV229" s="36" t="str">
        <f>IFERROR(时间!$B$4+AU229,"上周无销量")</f>
        <v>上周无销量</v>
      </c>
    </row>
    <row r="230" spans="1:48">
      <c r="A230" s="20" t="s">
        <v>554</v>
      </c>
      <c r="B230" t="s">
        <v>555</v>
      </c>
      <c r="C230" t="s">
        <v>553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4</v>
      </c>
      <c r="J230" s="33">
        <v>0</v>
      </c>
      <c r="K230" s="33">
        <v>0</v>
      </c>
      <c r="L230" s="33">
        <v>0</v>
      </c>
      <c r="M230">
        <v>4</v>
      </c>
      <c r="N230">
        <v>0</v>
      </c>
      <c r="O230">
        <v>4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0</v>
      </c>
      <c r="AK230">
        <v>0</v>
      </c>
      <c r="AL230">
        <v>0</v>
      </c>
      <c r="AM230">
        <v>0</v>
      </c>
      <c r="AN230" s="22" t="s">
        <v>53</v>
      </c>
      <c r="AO230" s="22" t="s">
        <v>53</v>
      </c>
      <c r="AP230" s="22" t="s">
        <v>53</v>
      </c>
      <c r="AQ230" s="22" t="s">
        <v>53</v>
      </c>
      <c r="AR230" s="35">
        <v>0</v>
      </c>
      <c r="AS230" s="35">
        <v>0</v>
      </c>
      <c r="AT230" s="35">
        <v>4</v>
      </c>
      <c r="AU230" s="31" t="str">
        <f t="shared" si="7"/>
        <v>库存为4</v>
      </c>
      <c r="AV230" s="36" t="str">
        <f>IFERROR(时间!$B$4+AU230,"上周无销量")</f>
        <v>上周无销量</v>
      </c>
    </row>
    <row r="231" spans="1:48">
      <c r="A231" s="20" t="s">
        <v>556</v>
      </c>
      <c r="B231" t="s">
        <v>557</v>
      </c>
      <c r="C231" t="s">
        <v>553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5</v>
      </c>
      <c r="J231" s="33">
        <v>0</v>
      </c>
      <c r="K231" s="33">
        <v>0</v>
      </c>
      <c r="L231" s="33">
        <v>0</v>
      </c>
      <c r="M231">
        <v>5</v>
      </c>
      <c r="N231">
        <v>0</v>
      </c>
      <c r="O231">
        <v>5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2</v>
      </c>
      <c r="AK231">
        <v>4</v>
      </c>
      <c r="AL231">
        <v>5</v>
      </c>
      <c r="AM231">
        <v>3</v>
      </c>
      <c r="AN231" s="22">
        <v>0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5</v>
      </c>
      <c r="AU231" s="31" t="str">
        <f t="shared" si="7"/>
        <v>库存为5</v>
      </c>
      <c r="AV231" s="36" t="str">
        <f>IFERROR(时间!$B$4+AU231,"上周无销量")</f>
        <v>上周无销量</v>
      </c>
    </row>
    <row r="232" spans="1:48">
      <c r="A232" s="20" t="s">
        <v>558</v>
      </c>
      <c r="B232" t="s">
        <v>559</v>
      </c>
      <c r="C232" t="s">
        <v>560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5</v>
      </c>
      <c r="J232" s="33">
        <v>0</v>
      </c>
      <c r="K232" s="33">
        <v>0</v>
      </c>
      <c r="L232" s="33">
        <v>0</v>
      </c>
      <c r="M232">
        <v>5</v>
      </c>
      <c r="N232">
        <v>0</v>
      </c>
      <c r="O232">
        <v>5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2</v>
      </c>
      <c r="AK232">
        <v>5</v>
      </c>
      <c r="AL232">
        <v>5</v>
      </c>
      <c r="AM232">
        <v>6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5</v>
      </c>
      <c r="AU232" s="31" t="str">
        <f t="shared" si="7"/>
        <v>库存为5</v>
      </c>
      <c r="AV232" s="36" t="str">
        <f>IFERROR(时间!$B$4+AU232,"上周无销量")</f>
        <v>上周无销量</v>
      </c>
    </row>
    <row r="233" spans="1:48">
      <c r="A233" s="20" t="s">
        <v>561</v>
      </c>
      <c r="B233" t="s">
        <v>562</v>
      </c>
      <c r="C233" t="s">
        <v>560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4</v>
      </c>
      <c r="J233" s="33">
        <v>0</v>
      </c>
      <c r="K233" s="33">
        <v>0</v>
      </c>
      <c r="L233" s="33">
        <v>0</v>
      </c>
      <c r="M233">
        <v>4</v>
      </c>
      <c r="N233">
        <v>0</v>
      </c>
      <c r="O233">
        <v>4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2</v>
      </c>
      <c r="AK233">
        <v>3</v>
      </c>
      <c r="AL233">
        <v>6</v>
      </c>
      <c r="AM233">
        <v>4</v>
      </c>
      <c r="AN233" s="22">
        <v>0</v>
      </c>
      <c r="AO233" s="22">
        <v>0</v>
      </c>
      <c r="AP233" s="22">
        <v>0</v>
      </c>
      <c r="AQ233" s="22">
        <v>0</v>
      </c>
      <c r="AR233" s="35">
        <v>0</v>
      </c>
      <c r="AS233" s="35">
        <v>0</v>
      </c>
      <c r="AT233" s="35">
        <v>4</v>
      </c>
      <c r="AU233" s="31" t="str">
        <f t="shared" si="7"/>
        <v>库存为4</v>
      </c>
      <c r="AV233" s="36" t="str">
        <f>IFERROR(时间!$B$4+AU233,"上周无销量")</f>
        <v>上周无销量</v>
      </c>
    </row>
    <row r="234" spans="1:48">
      <c r="A234" s="20" t="s">
        <v>563</v>
      </c>
      <c r="B234" t="s">
        <v>564</v>
      </c>
      <c r="C234" t="s">
        <v>553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0</v>
      </c>
      <c r="AK234">
        <v>0</v>
      </c>
      <c r="AL234">
        <v>0</v>
      </c>
      <c r="AM234">
        <v>0</v>
      </c>
      <c r="AN234" s="22" t="s">
        <v>53</v>
      </c>
      <c r="AO234" s="22" t="s">
        <v>53</v>
      </c>
      <c r="AP234" s="22" t="s">
        <v>53</v>
      </c>
      <c r="AQ234" s="22" t="s">
        <v>53</v>
      </c>
      <c r="AR234" s="35">
        <v>0</v>
      </c>
      <c r="AS234" s="35">
        <v>0</v>
      </c>
      <c r="AT234" s="35">
        <v>0</v>
      </c>
      <c r="AU234" s="31" t="str">
        <f t="shared" si="7"/>
        <v>库存为0</v>
      </c>
      <c r="AV234" s="36" t="str">
        <f>IFERROR(时间!$B$4+AU234,"上周无销量")</f>
        <v>上周无销量</v>
      </c>
    </row>
    <row r="235" spans="1:48">
      <c r="A235" s="20" t="s">
        <v>565</v>
      </c>
      <c r="B235" t="s">
        <v>566</v>
      </c>
      <c r="C235" t="s">
        <v>567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9</v>
      </c>
      <c r="J235" s="33">
        <v>0</v>
      </c>
      <c r="K235" s="33">
        <v>0</v>
      </c>
      <c r="L235" s="33">
        <v>0</v>
      </c>
      <c r="M235">
        <v>9</v>
      </c>
      <c r="N235">
        <v>0</v>
      </c>
      <c r="O235">
        <v>9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1</v>
      </c>
      <c r="AK235">
        <v>2</v>
      </c>
      <c r="AL235">
        <v>6</v>
      </c>
      <c r="AM235">
        <v>6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9</v>
      </c>
      <c r="AU235" s="31" t="str">
        <f t="shared" si="7"/>
        <v>库存为9</v>
      </c>
      <c r="AV235" s="36" t="str">
        <f>IFERROR(时间!$B$4+AU235,"上周无销量")</f>
        <v>上周无销量</v>
      </c>
    </row>
    <row r="236" spans="1:48">
      <c r="A236" s="20" t="s">
        <v>568</v>
      </c>
      <c r="B236" t="s">
        <v>569</v>
      </c>
      <c r="C236" t="s">
        <v>567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10</v>
      </c>
      <c r="J236" s="33">
        <v>0</v>
      </c>
      <c r="K236" s="33">
        <v>0</v>
      </c>
      <c r="L236" s="33">
        <v>0</v>
      </c>
      <c r="M236">
        <v>10</v>
      </c>
      <c r="N236">
        <v>0</v>
      </c>
      <c r="O236">
        <v>10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1</v>
      </c>
      <c r="AK236">
        <v>6</v>
      </c>
      <c r="AL236">
        <v>6</v>
      </c>
      <c r="AM236">
        <v>8</v>
      </c>
      <c r="AN236" s="22">
        <v>0</v>
      </c>
      <c r="AO236" s="22">
        <v>0</v>
      </c>
      <c r="AP236" s="22">
        <v>0</v>
      </c>
      <c r="AQ236" s="22">
        <v>0</v>
      </c>
      <c r="AR236" s="35">
        <v>0</v>
      </c>
      <c r="AS236" s="35">
        <v>0</v>
      </c>
      <c r="AT236" s="35">
        <v>10</v>
      </c>
      <c r="AU236" s="31" t="str">
        <f t="shared" si="7"/>
        <v>库存为10</v>
      </c>
      <c r="AV236" s="36" t="str">
        <f>IFERROR(时间!$B$4+AU236,"上周无销量")</f>
        <v>上周无销量</v>
      </c>
    </row>
    <row r="237" spans="1:48">
      <c r="A237" s="20" t="s">
        <v>570</v>
      </c>
      <c r="B237" t="s">
        <v>571</v>
      </c>
      <c r="C237" t="s">
        <v>572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3</v>
      </c>
      <c r="J237" s="33">
        <v>0</v>
      </c>
      <c r="K237" s="33">
        <v>0</v>
      </c>
      <c r="L237" s="33">
        <v>0</v>
      </c>
      <c r="M237">
        <v>3</v>
      </c>
      <c r="N237">
        <v>0</v>
      </c>
      <c r="O237">
        <v>3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2</v>
      </c>
      <c r="AK237">
        <v>3</v>
      </c>
      <c r="AL237">
        <v>0</v>
      </c>
      <c r="AM237">
        <v>3</v>
      </c>
      <c r="AN237" s="22">
        <v>0</v>
      </c>
      <c r="AO237" s="22">
        <v>0</v>
      </c>
      <c r="AP237" s="22" t="s">
        <v>53</v>
      </c>
      <c r="AQ237" s="22">
        <v>0</v>
      </c>
      <c r="AR237" s="35">
        <v>0</v>
      </c>
      <c r="AS237" s="35">
        <v>0</v>
      </c>
      <c r="AT237" s="35">
        <v>3</v>
      </c>
      <c r="AU237" s="31" t="str">
        <f t="shared" si="7"/>
        <v>库存为3</v>
      </c>
      <c r="AV237" s="36" t="str">
        <f>IFERROR(时间!$B$4+AU237,"上周无销量")</f>
        <v>上周无销量</v>
      </c>
    </row>
    <row r="238" spans="1:48">
      <c r="A238" s="20" t="s">
        <v>573</v>
      </c>
      <c r="B238" t="s">
        <v>574</v>
      </c>
      <c r="C238" t="s">
        <v>572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2</v>
      </c>
      <c r="J238" s="33">
        <v>0</v>
      </c>
      <c r="K238" s="33">
        <v>0</v>
      </c>
      <c r="L238" s="33">
        <v>0</v>
      </c>
      <c r="M238">
        <v>2</v>
      </c>
      <c r="N238">
        <v>0</v>
      </c>
      <c r="O238">
        <v>2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3</v>
      </c>
      <c r="AK238">
        <v>7</v>
      </c>
      <c r="AL238">
        <v>1</v>
      </c>
      <c r="AM238">
        <v>3</v>
      </c>
      <c r="AN238" s="22">
        <v>0</v>
      </c>
      <c r="AO238" s="22">
        <v>0</v>
      </c>
      <c r="AP238" s="22">
        <v>0</v>
      </c>
      <c r="AQ238" s="22">
        <v>0</v>
      </c>
      <c r="AR238" s="35">
        <v>0</v>
      </c>
      <c r="AS238" s="35">
        <v>0</v>
      </c>
      <c r="AT238" s="35">
        <v>2</v>
      </c>
      <c r="AU238" s="31" t="str">
        <f t="shared" si="7"/>
        <v>库存为2</v>
      </c>
      <c r="AV238" s="36" t="str">
        <f>IFERROR(时间!$B$4+AU238,"上周无销量")</f>
        <v>上周无销量</v>
      </c>
    </row>
    <row r="239" spans="1:48">
      <c r="A239" s="20" t="s">
        <v>575</v>
      </c>
      <c r="B239" t="s">
        <v>576</v>
      </c>
      <c r="C239" t="s">
        <v>572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3</v>
      </c>
      <c r="J239" s="33">
        <v>0</v>
      </c>
      <c r="K239" s="33">
        <v>0</v>
      </c>
      <c r="L239" s="33">
        <v>0</v>
      </c>
      <c r="M239">
        <v>3</v>
      </c>
      <c r="N239">
        <v>0</v>
      </c>
      <c r="O239">
        <v>3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1</v>
      </c>
      <c r="AK239">
        <v>4</v>
      </c>
      <c r="AL239">
        <v>1</v>
      </c>
      <c r="AM239">
        <v>2</v>
      </c>
      <c r="AN239" s="22">
        <v>0</v>
      </c>
      <c r="AO239" s="22">
        <v>0</v>
      </c>
      <c r="AP239" s="22">
        <v>0</v>
      </c>
      <c r="AQ239" s="22">
        <v>0</v>
      </c>
      <c r="AR239" s="35">
        <v>0</v>
      </c>
      <c r="AS239" s="35">
        <v>0</v>
      </c>
      <c r="AT239" s="35">
        <v>3</v>
      </c>
      <c r="AU239" s="31" t="str">
        <f t="shared" si="7"/>
        <v>库存为3</v>
      </c>
      <c r="AV239" s="36" t="str">
        <f>IFERROR(时间!$B$4+AU239,"上周无销量")</f>
        <v>上周无销量</v>
      </c>
    </row>
    <row r="240" spans="1:48">
      <c r="A240" s="20" t="s">
        <v>577</v>
      </c>
      <c r="B240" t="s">
        <v>578</v>
      </c>
      <c r="C240" t="s">
        <v>572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3</v>
      </c>
      <c r="J240" s="33">
        <v>0</v>
      </c>
      <c r="K240" s="33">
        <v>0</v>
      </c>
      <c r="L240" s="33">
        <v>0</v>
      </c>
      <c r="M240">
        <v>3</v>
      </c>
      <c r="N240">
        <v>0</v>
      </c>
      <c r="O240">
        <v>3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2</v>
      </c>
      <c r="AK240">
        <v>3</v>
      </c>
      <c r="AL240">
        <v>3</v>
      </c>
      <c r="AM240">
        <v>3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3</v>
      </c>
      <c r="AU240" s="31" t="str">
        <f t="shared" si="7"/>
        <v>库存为3</v>
      </c>
      <c r="AV240" s="36" t="str">
        <f>IFERROR(时间!$B$4+AU240,"上周无销量")</f>
        <v>上周无销量</v>
      </c>
    </row>
    <row r="241" spans="1:48">
      <c r="A241" s="20" t="s">
        <v>579</v>
      </c>
      <c r="B241" t="s">
        <v>580</v>
      </c>
      <c r="C241" t="s">
        <v>572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3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3</v>
      </c>
      <c r="AK241">
        <v>5</v>
      </c>
      <c r="AL241">
        <v>2</v>
      </c>
      <c r="AM241">
        <v>3</v>
      </c>
      <c r="AN241" s="22">
        <v>0</v>
      </c>
      <c r="AO241" s="22">
        <v>0</v>
      </c>
      <c r="AP241" s="22">
        <v>0</v>
      </c>
      <c r="AQ241" s="22">
        <v>0</v>
      </c>
      <c r="AR241" s="35">
        <v>0</v>
      </c>
      <c r="AS241" s="35">
        <v>0</v>
      </c>
      <c r="AT241" s="35">
        <v>3</v>
      </c>
      <c r="AU241" s="31" t="str">
        <f t="shared" si="7"/>
        <v>库存为3</v>
      </c>
      <c r="AV241" s="36" t="str">
        <f>IFERROR(时间!$B$4+AU241,"上周无销量")</f>
        <v>上周无销量</v>
      </c>
    </row>
    <row r="242" spans="1:48">
      <c r="A242" s="20" t="s">
        <v>581</v>
      </c>
      <c r="B242" t="s">
        <v>582</v>
      </c>
      <c r="C242" t="s">
        <v>572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1</v>
      </c>
      <c r="J242" s="33">
        <v>0</v>
      </c>
      <c r="K242" s="33">
        <v>0</v>
      </c>
      <c r="L242" s="33">
        <v>0</v>
      </c>
      <c r="M242">
        <v>1</v>
      </c>
      <c r="N242">
        <v>0</v>
      </c>
      <c r="O242">
        <v>1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3</v>
      </c>
      <c r="AK242">
        <v>5</v>
      </c>
      <c r="AL242">
        <v>1</v>
      </c>
      <c r="AM242">
        <v>1</v>
      </c>
      <c r="AN242" s="22">
        <v>0</v>
      </c>
      <c r="AO242" s="22">
        <v>0</v>
      </c>
      <c r="AP242" s="22">
        <v>0</v>
      </c>
      <c r="AQ242" s="22">
        <v>0</v>
      </c>
      <c r="AR242" s="35">
        <v>0</v>
      </c>
      <c r="AS242" s="35">
        <v>0</v>
      </c>
      <c r="AT242" s="35">
        <v>1</v>
      </c>
      <c r="AU242" s="31" t="str">
        <f t="shared" si="7"/>
        <v>库存为1</v>
      </c>
      <c r="AV242" s="36" t="str">
        <f>IFERROR(时间!$B$4+AU242,"上周无销量")</f>
        <v>上周无销量</v>
      </c>
    </row>
    <row r="243" spans="1:48">
      <c r="A243" s="20" t="s">
        <v>583</v>
      </c>
      <c r="B243" t="s">
        <v>584</v>
      </c>
      <c r="C243" t="s">
        <v>572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3</v>
      </c>
      <c r="J243" s="33">
        <v>0</v>
      </c>
      <c r="K243" s="33">
        <v>0</v>
      </c>
      <c r="L243" s="33">
        <v>0</v>
      </c>
      <c r="M243">
        <v>3</v>
      </c>
      <c r="N243">
        <v>0</v>
      </c>
      <c r="O243">
        <v>3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2</v>
      </c>
      <c r="AK243">
        <v>5</v>
      </c>
      <c r="AL243">
        <v>0</v>
      </c>
      <c r="AM243">
        <v>1</v>
      </c>
      <c r="AN243" s="22">
        <v>0</v>
      </c>
      <c r="AO243" s="22">
        <v>0</v>
      </c>
      <c r="AP243" s="22" t="s">
        <v>53</v>
      </c>
      <c r="AQ243" s="22">
        <v>0</v>
      </c>
      <c r="AR243" s="35">
        <v>0</v>
      </c>
      <c r="AS243" s="35">
        <v>0</v>
      </c>
      <c r="AT243" s="35">
        <v>3</v>
      </c>
      <c r="AU243" s="31" t="str">
        <f t="shared" si="7"/>
        <v>库存为3</v>
      </c>
      <c r="AV243" s="36" t="str">
        <f>IFERROR(时间!$B$4+AU243,"上周无销量")</f>
        <v>上周无销量</v>
      </c>
    </row>
    <row r="244" spans="1:48">
      <c r="A244" s="20" t="s">
        <v>585</v>
      </c>
      <c r="B244" t="s">
        <v>586</v>
      </c>
      <c r="C244" t="s">
        <v>572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3</v>
      </c>
      <c r="J244" s="33">
        <v>0</v>
      </c>
      <c r="K244" s="33">
        <v>0</v>
      </c>
      <c r="L244" s="33">
        <v>0</v>
      </c>
      <c r="M244">
        <v>3</v>
      </c>
      <c r="N244">
        <v>0</v>
      </c>
      <c r="O244">
        <v>3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1</v>
      </c>
      <c r="AK244">
        <v>3</v>
      </c>
      <c r="AL244">
        <v>1</v>
      </c>
      <c r="AM244">
        <v>4</v>
      </c>
      <c r="AN244" s="22">
        <v>0</v>
      </c>
      <c r="AO244" s="22">
        <v>0</v>
      </c>
      <c r="AP244" s="22">
        <v>0</v>
      </c>
      <c r="AQ244" s="22">
        <v>0</v>
      </c>
      <c r="AR244" s="35">
        <v>0</v>
      </c>
      <c r="AS244" s="35">
        <v>0</v>
      </c>
      <c r="AT244" s="35">
        <v>3</v>
      </c>
      <c r="AU244" s="31" t="str">
        <f t="shared" si="7"/>
        <v>库存为3</v>
      </c>
      <c r="AV244" s="36" t="str">
        <f>IFERROR(时间!$B$4+AU244,"上周无销量")</f>
        <v>上周无销量</v>
      </c>
    </row>
    <row r="245" spans="1:48">
      <c r="A245" s="20" t="s">
        <v>587</v>
      </c>
      <c r="B245" t="s">
        <v>588</v>
      </c>
      <c r="C245" t="s">
        <v>572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3</v>
      </c>
      <c r="J245" s="33">
        <v>0</v>
      </c>
      <c r="K245" s="33">
        <v>0</v>
      </c>
      <c r="L245" s="33">
        <v>0</v>
      </c>
      <c r="M245">
        <v>3</v>
      </c>
      <c r="N245">
        <v>0</v>
      </c>
      <c r="O245">
        <v>3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2</v>
      </c>
      <c r="AK245">
        <v>3</v>
      </c>
      <c r="AL245">
        <v>3</v>
      </c>
      <c r="AM245">
        <v>3</v>
      </c>
      <c r="AN245" s="22">
        <v>0</v>
      </c>
      <c r="AO245" s="22">
        <v>0</v>
      </c>
      <c r="AP245" s="22">
        <v>0</v>
      </c>
      <c r="AQ245" s="22">
        <v>0</v>
      </c>
      <c r="AR245" s="35">
        <v>0</v>
      </c>
      <c r="AS245" s="35">
        <v>0</v>
      </c>
      <c r="AT245" s="35">
        <v>3</v>
      </c>
      <c r="AU245" s="31" t="str">
        <f t="shared" si="7"/>
        <v>库存为3</v>
      </c>
      <c r="AV245" s="36" t="str">
        <f>IFERROR(时间!$B$4+AU245,"上周无销量")</f>
        <v>上周无销量</v>
      </c>
    </row>
    <row r="246" spans="1:48">
      <c r="A246" s="20" t="s">
        <v>589</v>
      </c>
      <c r="B246" t="s">
        <v>590</v>
      </c>
      <c r="C246" t="s">
        <v>572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2</v>
      </c>
      <c r="J246" s="33">
        <v>0</v>
      </c>
      <c r="K246" s="33">
        <v>0</v>
      </c>
      <c r="L246" s="33">
        <v>0</v>
      </c>
      <c r="M246">
        <v>2</v>
      </c>
      <c r="N246">
        <v>0</v>
      </c>
      <c r="O246">
        <v>2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2</v>
      </c>
      <c r="AK246">
        <v>1</v>
      </c>
      <c r="AL246">
        <v>0</v>
      </c>
      <c r="AM246">
        <v>3</v>
      </c>
      <c r="AN246" s="22">
        <v>0</v>
      </c>
      <c r="AO246" s="22">
        <v>0</v>
      </c>
      <c r="AP246" s="22" t="s">
        <v>53</v>
      </c>
      <c r="AQ246" s="22">
        <v>0</v>
      </c>
      <c r="AR246" s="35">
        <v>0</v>
      </c>
      <c r="AS246" s="35">
        <v>0</v>
      </c>
      <c r="AT246" s="35">
        <v>2</v>
      </c>
      <c r="AU246" s="31" t="str">
        <f t="shared" si="7"/>
        <v>库存为2</v>
      </c>
      <c r="AV246" s="36" t="str">
        <f>IFERROR(时间!$B$4+AU246,"上周无销量")</f>
        <v>上周无销量</v>
      </c>
    </row>
    <row r="247" spans="1:48">
      <c r="A247" s="20" t="s">
        <v>591</v>
      </c>
      <c r="B247" t="s">
        <v>592</v>
      </c>
      <c r="C247" t="s">
        <v>572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1</v>
      </c>
      <c r="J247" s="33">
        <v>0</v>
      </c>
      <c r="K247" s="33">
        <v>0</v>
      </c>
      <c r="L247" s="33">
        <v>0</v>
      </c>
      <c r="M247">
        <v>1</v>
      </c>
      <c r="N247">
        <v>0</v>
      </c>
      <c r="O247">
        <v>1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2</v>
      </c>
      <c r="AK247">
        <v>4</v>
      </c>
      <c r="AL247">
        <v>2</v>
      </c>
      <c r="AM247">
        <v>3</v>
      </c>
      <c r="AN247" s="22">
        <v>0</v>
      </c>
      <c r="AO247" s="22">
        <v>0</v>
      </c>
      <c r="AP247" s="22">
        <v>0</v>
      </c>
      <c r="AQ247" s="22">
        <v>0</v>
      </c>
      <c r="AR247" s="35">
        <v>0</v>
      </c>
      <c r="AS247" s="35">
        <v>0</v>
      </c>
      <c r="AT247" s="35">
        <v>1</v>
      </c>
      <c r="AU247" s="31" t="str">
        <f t="shared" si="7"/>
        <v>库存为1</v>
      </c>
      <c r="AV247" s="36" t="str">
        <f>IFERROR(时间!$B$4+AU247,"上周无销量")</f>
        <v>上周无销量</v>
      </c>
    </row>
    <row r="248" spans="1:48">
      <c r="A248" s="20" t="s">
        <v>593</v>
      </c>
      <c r="B248" t="s">
        <v>594</v>
      </c>
      <c r="C248" t="s">
        <v>572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2</v>
      </c>
      <c r="J248" s="33">
        <v>0</v>
      </c>
      <c r="K248" s="33">
        <v>0</v>
      </c>
      <c r="L248" s="33">
        <v>0</v>
      </c>
      <c r="M248">
        <v>2</v>
      </c>
      <c r="N248">
        <v>0</v>
      </c>
      <c r="O248">
        <v>2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5</v>
      </c>
      <c r="AK248">
        <v>4</v>
      </c>
      <c r="AL248">
        <v>1</v>
      </c>
      <c r="AM248">
        <v>1</v>
      </c>
      <c r="AN248" s="22">
        <v>0</v>
      </c>
      <c r="AO248" s="22">
        <v>0</v>
      </c>
      <c r="AP248" s="22">
        <v>0</v>
      </c>
      <c r="AQ248" s="22">
        <v>0</v>
      </c>
      <c r="AR248" s="35">
        <v>0</v>
      </c>
      <c r="AS248" s="35">
        <v>0</v>
      </c>
      <c r="AT248" s="35">
        <v>2</v>
      </c>
      <c r="AU248" s="31" t="str">
        <f t="shared" si="7"/>
        <v>库存为2</v>
      </c>
      <c r="AV248" s="36" t="str">
        <f>IFERROR(时间!$B$4+AU248,"上周无销量")</f>
        <v>上周无销量</v>
      </c>
    </row>
    <row r="249" spans="1:48">
      <c r="A249" s="20" t="s">
        <v>595</v>
      </c>
      <c r="B249" t="s">
        <v>596</v>
      </c>
      <c r="C249" t="s">
        <v>572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3</v>
      </c>
      <c r="J249" s="33">
        <v>0</v>
      </c>
      <c r="K249" s="33">
        <v>0</v>
      </c>
      <c r="L249" s="33">
        <v>0</v>
      </c>
      <c r="M249">
        <v>3</v>
      </c>
      <c r="N249">
        <v>0</v>
      </c>
      <c r="O249">
        <v>3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3</v>
      </c>
      <c r="AK249">
        <v>5</v>
      </c>
      <c r="AL249">
        <v>1</v>
      </c>
      <c r="AM249">
        <v>2</v>
      </c>
      <c r="AN249" s="22">
        <v>0</v>
      </c>
      <c r="AO249" s="22">
        <v>0</v>
      </c>
      <c r="AP249" s="22">
        <v>0</v>
      </c>
      <c r="AQ249" s="22">
        <v>0</v>
      </c>
      <c r="AR249" s="35">
        <v>0</v>
      </c>
      <c r="AS249" s="35">
        <v>0</v>
      </c>
      <c r="AT249" s="35">
        <v>3</v>
      </c>
      <c r="AU249" s="31" t="str">
        <f t="shared" si="7"/>
        <v>库存为3</v>
      </c>
      <c r="AV249" s="36" t="str">
        <f>IFERROR(时间!$B$4+AU249,"上周无销量")</f>
        <v>上周无销量</v>
      </c>
    </row>
    <row r="250" spans="1:48">
      <c r="A250" s="20" t="s">
        <v>597</v>
      </c>
      <c r="B250" t="s">
        <v>598</v>
      </c>
      <c r="C250" t="s">
        <v>572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3</v>
      </c>
      <c r="J250" s="33">
        <v>0</v>
      </c>
      <c r="K250" s="33">
        <v>0</v>
      </c>
      <c r="L250" s="33">
        <v>0</v>
      </c>
      <c r="M250">
        <v>3</v>
      </c>
      <c r="N250">
        <v>0</v>
      </c>
      <c r="O250">
        <v>3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2</v>
      </c>
      <c r="AK250">
        <v>4</v>
      </c>
      <c r="AL250">
        <v>0</v>
      </c>
      <c r="AM250">
        <v>4</v>
      </c>
      <c r="AN250" s="22">
        <v>0</v>
      </c>
      <c r="AO250" s="22">
        <v>0</v>
      </c>
      <c r="AP250" s="22" t="s">
        <v>53</v>
      </c>
      <c r="AQ250" s="22">
        <v>0</v>
      </c>
      <c r="AR250" s="35">
        <v>0</v>
      </c>
      <c r="AS250" s="35">
        <v>0</v>
      </c>
      <c r="AT250" s="35">
        <v>3</v>
      </c>
      <c r="AU250" s="31" t="str">
        <f t="shared" si="7"/>
        <v>库存为3</v>
      </c>
      <c r="AV250" s="36" t="str">
        <f>IFERROR(时间!$B$4+AU250,"上周无销量")</f>
        <v>上周无销量</v>
      </c>
    </row>
    <row r="251" spans="1:48">
      <c r="A251" s="20" t="s">
        <v>599</v>
      </c>
      <c r="B251" t="s">
        <v>600</v>
      </c>
      <c r="C251" t="s">
        <v>572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1</v>
      </c>
      <c r="J251" s="33">
        <v>0</v>
      </c>
      <c r="K251" s="33">
        <v>0</v>
      </c>
      <c r="L251" s="33">
        <v>0</v>
      </c>
      <c r="M251">
        <v>1</v>
      </c>
      <c r="N251">
        <v>0</v>
      </c>
      <c r="O251">
        <v>1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2</v>
      </c>
      <c r="AK251">
        <v>5</v>
      </c>
      <c r="AL251">
        <v>0</v>
      </c>
      <c r="AM251">
        <v>2</v>
      </c>
      <c r="AN251" s="22">
        <v>0</v>
      </c>
      <c r="AO251" s="22">
        <v>0</v>
      </c>
      <c r="AP251" s="22" t="s">
        <v>53</v>
      </c>
      <c r="AQ251" s="22">
        <v>0</v>
      </c>
      <c r="AR251" s="35">
        <v>0</v>
      </c>
      <c r="AS251" s="35">
        <v>0</v>
      </c>
      <c r="AT251" s="35">
        <v>1</v>
      </c>
      <c r="AU251" s="31" t="str">
        <f t="shared" si="7"/>
        <v>库存为1</v>
      </c>
      <c r="AV251" s="36" t="str">
        <f>IFERROR(时间!$B$4+AU251,"上周无销量")</f>
        <v>上周无销量</v>
      </c>
    </row>
    <row r="252" spans="1:48">
      <c r="A252" s="20" t="s">
        <v>601</v>
      </c>
      <c r="B252" t="s">
        <v>602</v>
      </c>
      <c r="C252" t="s">
        <v>572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2</v>
      </c>
      <c r="J252" s="33">
        <v>0</v>
      </c>
      <c r="K252" s="33">
        <v>0</v>
      </c>
      <c r="L252" s="33">
        <v>0</v>
      </c>
      <c r="M252">
        <v>2</v>
      </c>
      <c r="N252">
        <v>0</v>
      </c>
      <c r="O252">
        <v>2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3</v>
      </c>
      <c r="AK252">
        <v>5</v>
      </c>
      <c r="AL252">
        <v>0</v>
      </c>
      <c r="AM252">
        <v>2</v>
      </c>
      <c r="AN252" s="22">
        <v>0</v>
      </c>
      <c r="AO252" s="22">
        <v>0</v>
      </c>
      <c r="AP252" s="22" t="s">
        <v>53</v>
      </c>
      <c r="AQ252" s="22">
        <v>0</v>
      </c>
      <c r="AR252" s="35">
        <v>0</v>
      </c>
      <c r="AS252" s="35">
        <v>0</v>
      </c>
      <c r="AT252" s="35">
        <v>2</v>
      </c>
      <c r="AU252" s="31" t="str">
        <f t="shared" si="7"/>
        <v>库存为2</v>
      </c>
      <c r="AV252" s="36" t="str">
        <f>IFERROR(时间!$B$4+AU252,"上周无销量")</f>
        <v>上周无销量</v>
      </c>
    </row>
    <row r="253" spans="1:48">
      <c r="A253" s="20" t="s">
        <v>603</v>
      </c>
      <c r="B253" t="s">
        <v>604</v>
      </c>
      <c r="C253" t="s">
        <v>572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2</v>
      </c>
      <c r="J253" s="33">
        <v>0</v>
      </c>
      <c r="K253" s="33">
        <v>0</v>
      </c>
      <c r="L253" s="33">
        <v>0</v>
      </c>
      <c r="M253">
        <v>2</v>
      </c>
      <c r="N253">
        <v>0</v>
      </c>
      <c r="O253">
        <v>2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3</v>
      </c>
      <c r="AK253">
        <v>5</v>
      </c>
      <c r="AL253">
        <v>1</v>
      </c>
      <c r="AM253">
        <v>2</v>
      </c>
      <c r="AN253" s="22">
        <v>0</v>
      </c>
      <c r="AO253" s="22">
        <v>0</v>
      </c>
      <c r="AP253" s="22">
        <v>0</v>
      </c>
      <c r="AQ253" s="22">
        <v>0</v>
      </c>
      <c r="AR253" s="35">
        <v>0</v>
      </c>
      <c r="AS253" s="35">
        <v>0</v>
      </c>
      <c r="AT253" s="35">
        <v>2</v>
      </c>
      <c r="AU253" s="31" t="str">
        <f t="shared" si="7"/>
        <v>库存为2</v>
      </c>
      <c r="AV253" s="36" t="str">
        <f>IFERROR(时间!$B$4+AU253,"上周无销量")</f>
        <v>上周无销量</v>
      </c>
    </row>
    <row r="254" spans="1:48">
      <c r="A254" s="20" t="s">
        <v>605</v>
      </c>
      <c r="B254" t="s">
        <v>606</v>
      </c>
      <c r="C254" t="s">
        <v>572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2</v>
      </c>
      <c r="J254" s="33">
        <v>0</v>
      </c>
      <c r="K254" s="33">
        <v>0</v>
      </c>
      <c r="L254" s="33">
        <v>0</v>
      </c>
      <c r="M254">
        <v>2</v>
      </c>
      <c r="N254">
        <v>0</v>
      </c>
      <c r="O254">
        <v>2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3</v>
      </c>
      <c r="AK254">
        <v>4</v>
      </c>
      <c r="AL254">
        <v>0</v>
      </c>
      <c r="AM254">
        <v>1</v>
      </c>
      <c r="AN254" s="22">
        <v>0</v>
      </c>
      <c r="AO254" s="22">
        <v>0</v>
      </c>
      <c r="AP254" s="22" t="s">
        <v>53</v>
      </c>
      <c r="AQ254" s="22">
        <v>0</v>
      </c>
      <c r="AR254" s="35">
        <v>0</v>
      </c>
      <c r="AS254" s="35">
        <v>0</v>
      </c>
      <c r="AT254" s="35">
        <v>2</v>
      </c>
      <c r="AU254" s="31" t="str">
        <f t="shared" si="7"/>
        <v>库存为2</v>
      </c>
      <c r="AV254" s="36" t="str">
        <f>IFERROR(时间!$B$4+AU254,"上周无销量")</f>
        <v>上周无销量</v>
      </c>
    </row>
    <row r="255" spans="1:48">
      <c r="A255" s="20" t="s">
        <v>607</v>
      </c>
      <c r="B255" t="s">
        <v>608</v>
      </c>
      <c r="C255" t="s">
        <v>572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3</v>
      </c>
      <c r="J255" s="33">
        <v>0</v>
      </c>
      <c r="K255" s="33">
        <v>0</v>
      </c>
      <c r="L255" s="33">
        <v>0</v>
      </c>
      <c r="M255">
        <v>3</v>
      </c>
      <c r="N255">
        <v>0</v>
      </c>
      <c r="O255">
        <v>3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3</v>
      </c>
      <c r="AK255">
        <v>3</v>
      </c>
      <c r="AL255">
        <v>2</v>
      </c>
      <c r="AM255">
        <v>2</v>
      </c>
      <c r="AN255" s="22">
        <v>0</v>
      </c>
      <c r="AO255" s="22">
        <v>0</v>
      </c>
      <c r="AP255" s="22">
        <v>0</v>
      </c>
      <c r="AQ255" s="22">
        <v>0</v>
      </c>
      <c r="AR255" s="35">
        <v>0</v>
      </c>
      <c r="AS255" s="35">
        <v>0</v>
      </c>
      <c r="AT255" s="35">
        <v>3</v>
      </c>
      <c r="AU255" s="31" t="str">
        <f t="shared" si="7"/>
        <v>库存为3</v>
      </c>
      <c r="AV255" s="36" t="str">
        <f>IFERROR(时间!$B$4+AU255,"上周无销量")</f>
        <v>上周无销量</v>
      </c>
    </row>
    <row r="256" spans="1:48">
      <c r="A256" s="20" t="s">
        <v>609</v>
      </c>
      <c r="B256" t="s">
        <v>610</v>
      </c>
      <c r="C256" t="s">
        <v>572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2</v>
      </c>
      <c r="J256" s="33">
        <v>0</v>
      </c>
      <c r="K256" s="33">
        <v>0</v>
      </c>
      <c r="L256" s="33">
        <v>0</v>
      </c>
      <c r="M256">
        <v>2</v>
      </c>
      <c r="N256">
        <v>0</v>
      </c>
      <c r="O256">
        <v>2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5</v>
      </c>
      <c r="AK256">
        <v>6</v>
      </c>
      <c r="AL256">
        <v>4</v>
      </c>
      <c r="AM256">
        <v>2</v>
      </c>
      <c r="AN256" s="22">
        <v>0</v>
      </c>
      <c r="AO256" s="22">
        <v>0</v>
      </c>
      <c r="AP256" s="22">
        <v>0</v>
      </c>
      <c r="AQ256" s="22">
        <v>0</v>
      </c>
      <c r="AR256" s="35">
        <v>0</v>
      </c>
      <c r="AS256" s="35">
        <v>0</v>
      </c>
      <c r="AT256" s="35">
        <v>2</v>
      </c>
      <c r="AU256" s="31" t="str">
        <f t="shared" si="7"/>
        <v>库存为2</v>
      </c>
      <c r="AV256" s="36" t="str">
        <f>IFERROR(时间!$B$4+AU256,"上周无销量")</f>
        <v>上周无销量</v>
      </c>
    </row>
    <row r="257" spans="1:48">
      <c r="A257" s="20" t="s">
        <v>611</v>
      </c>
      <c r="B257" t="s">
        <v>612</v>
      </c>
      <c r="C257" t="s">
        <v>572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2</v>
      </c>
      <c r="J257" s="33">
        <v>0</v>
      </c>
      <c r="K257" s="33">
        <v>0</v>
      </c>
      <c r="L257" s="33">
        <v>0</v>
      </c>
      <c r="M257">
        <v>2</v>
      </c>
      <c r="N257">
        <v>0</v>
      </c>
      <c r="O257">
        <v>2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0</v>
      </c>
      <c r="AK257">
        <v>1</v>
      </c>
      <c r="AL257">
        <v>2</v>
      </c>
      <c r="AM257">
        <v>0</v>
      </c>
      <c r="AN257" s="22" t="s">
        <v>53</v>
      </c>
      <c r="AO257" s="22">
        <v>0</v>
      </c>
      <c r="AP257" s="22">
        <v>0</v>
      </c>
      <c r="AQ257" s="22" t="s">
        <v>53</v>
      </c>
      <c r="AR257" s="35">
        <v>0</v>
      </c>
      <c r="AS257" s="35">
        <v>0</v>
      </c>
      <c r="AT257" s="35">
        <v>2</v>
      </c>
      <c r="AU257" s="31" t="str">
        <f t="shared" si="7"/>
        <v>库存为2</v>
      </c>
      <c r="AV257" s="36" t="str">
        <f>IFERROR(时间!$B$4+AU257,"上周无销量")</f>
        <v>上周无销量</v>
      </c>
    </row>
    <row r="258" spans="1:48">
      <c r="A258" s="20" t="s">
        <v>613</v>
      </c>
      <c r="B258" t="s">
        <v>614</v>
      </c>
      <c r="C258" t="s">
        <v>572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0</v>
      </c>
      <c r="AK258">
        <v>0</v>
      </c>
      <c r="AL258">
        <v>0</v>
      </c>
      <c r="AM258">
        <v>0</v>
      </c>
      <c r="AN258" s="22" t="s">
        <v>53</v>
      </c>
      <c r="AO258" s="22" t="s">
        <v>53</v>
      </c>
      <c r="AP258" s="22" t="s">
        <v>53</v>
      </c>
      <c r="AQ258" s="22" t="s">
        <v>53</v>
      </c>
      <c r="AR258" s="35">
        <v>0</v>
      </c>
      <c r="AS258" s="35">
        <v>0</v>
      </c>
      <c r="AT258" s="35">
        <v>0</v>
      </c>
      <c r="AU258" s="31" t="str">
        <f t="shared" si="7"/>
        <v>库存为0</v>
      </c>
      <c r="AV258" s="36" t="str">
        <f>IFERROR(时间!$B$4+AU258,"上周无销量")</f>
        <v>上周无销量</v>
      </c>
    </row>
    <row r="259" spans="1:48">
      <c r="A259" s="20" t="s">
        <v>615</v>
      </c>
      <c r="B259" t="s">
        <v>616</v>
      </c>
      <c r="C259" t="s">
        <v>572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1</v>
      </c>
      <c r="J259" s="33">
        <v>0</v>
      </c>
      <c r="K259" s="33">
        <v>0</v>
      </c>
      <c r="L259" s="33">
        <v>0</v>
      </c>
      <c r="M259">
        <v>1</v>
      </c>
      <c r="N259">
        <v>0</v>
      </c>
      <c r="O259">
        <v>1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3</v>
      </c>
      <c r="AK259">
        <v>4</v>
      </c>
      <c r="AL259">
        <v>3</v>
      </c>
      <c r="AM259">
        <v>2</v>
      </c>
      <c r="AN259" s="22">
        <v>0</v>
      </c>
      <c r="AO259" s="22">
        <v>0</v>
      </c>
      <c r="AP259" s="22">
        <v>0</v>
      </c>
      <c r="AQ259" s="22">
        <v>0</v>
      </c>
      <c r="AR259" s="35">
        <v>0</v>
      </c>
      <c r="AS259" s="35">
        <v>0</v>
      </c>
      <c r="AT259" s="35">
        <v>1</v>
      </c>
      <c r="AU259" s="31" t="str">
        <f t="shared" si="7"/>
        <v>库存为1</v>
      </c>
      <c r="AV259" s="36" t="str">
        <f>IFERROR(时间!$B$4+AU259,"上周无销量")</f>
        <v>上周无销量</v>
      </c>
    </row>
    <row r="260" spans="1:48">
      <c r="A260" s="20" t="s">
        <v>617</v>
      </c>
      <c r="B260" t="s">
        <v>618</v>
      </c>
      <c r="C260" t="s">
        <v>572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1</v>
      </c>
      <c r="J260" s="33">
        <v>0</v>
      </c>
      <c r="K260" s="33">
        <v>0</v>
      </c>
      <c r="L260" s="33">
        <v>0</v>
      </c>
      <c r="M260">
        <v>1</v>
      </c>
      <c r="N260">
        <v>0</v>
      </c>
      <c r="O260">
        <v>1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1</v>
      </c>
      <c r="AK260">
        <v>3</v>
      </c>
      <c r="AL260">
        <v>2</v>
      </c>
      <c r="AM260">
        <v>3</v>
      </c>
      <c r="AN260" s="22">
        <v>0</v>
      </c>
      <c r="AO260" s="22">
        <v>0</v>
      </c>
      <c r="AP260" s="22">
        <v>0</v>
      </c>
      <c r="AQ260" s="22">
        <v>0</v>
      </c>
      <c r="AR260" s="35">
        <v>0</v>
      </c>
      <c r="AS260" s="35">
        <v>0</v>
      </c>
      <c r="AT260" s="35">
        <v>1</v>
      </c>
      <c r="AU260" s="31" t="str">
        <f t="shared" si="7"/>
        <v>库存为1</v>
      </c>
      <c r="AV260" s="36" t="str">
        <f>IFERROR(时间!$B$4+AU260,"上周无销量")</f>
        <v>上周无销量</v>
      </c>
    </row>
    <row r="261" spans="1:48">
      <c r="A261" s="20" t="s">
        <v>619</v>
      </c>
      <c r="B261" t="s">
        <v>620</v>
      </c>
      <c r="C261" t="s">
        <v>572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1</v>
      </c>
      <c r="J261" s="33">
        <v>0</v>
      </c>
      <c r="K261" s="33">
        <v>0</v>
      </c>
      <c r="L261" s="33">
        <v>0</v>
      </c>
      <c r="M261">
        <v>1</v>
      </c>
      <c r="N261">
        <v>0</v>
      </c>
      <c r="O261">
        <v>1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3</v>
      </c>
      <c r="AK261">
        <v>3</v>
      </c>
      <c r="AL261">
        <v>3</v>
      </c>
      <c r="AM261">
        <v>1</v>
      </c>
      <c r="AN261" s="22">
        <v>0</v>
      </c>
      <c r="AO261" s="22">
        <v>0</v>
      </c>
      <c r="AP261" s="22">
        <v>0</v>
      </c>
      <c r="AQ261" s="22">
        <v>0</v>
      </c>
      <c r="AR261" s="35">
        <v>0</v>
      </c>
      <c r="AS261" s="35">
        <v>0</v>
      </c>
      <c r="AT261" s="35">
        <v>1</v>
      </c>
      <c r="AU261" s="31" t="str">
        <f t="shared" ref="AU261:AU324" si="8">IF(AR261="","库存为"&amp;M261,IF(AS261=0,"库存为"&amp;M261,INT(M261/AR261)))</f>
        <v>库存为1</v>
      </c>
      <c r="AV261" s="36" t="str">
        <f>IFERROR(时间!$B$4+AU261,"上周无销量")</f>
        <v>上周无销量</v>
      </c>
    </row>
    <row r="262" spans="1:48">
      <c r="A262" s="20" t="s">
        <v>621</v>
      </c>
      <c r="B262" t="s">
        <v>622</v>
      </c>
      <c r="C262" t="s">
        <v>572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1</v>
      </c>
      <c r="J262" s="33">
        <v>0</v>
      </c>
      <c r="K262" s="33">
        <v>0</v>
      </c>
      <c r="L262" s="33">
        <v>0</v>
      </c>
      <c r="M262">
        <v>1</v>
      </c>
      <c r="N262">
        <v>0</v>
      </c>
      <c r="O262">
        <v>1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3</v>
      </c>
      <c r="AK262">
        <v>2</v>
      </c>
      <c r="AL262">
        <v>0</v>
      </c>
      <c r="AM262">
        <v>1</v>
      </c>
      <c r="AN262" s="22">
        <v>0</v>
      </c>
      <c r="AO262" s="22">
        <v>0</v>
      </c>
      <c r="AP262" s="22" t="s">
        <v>53</v>
      </c>
      <c r="AQ262" s="22">
        <v>0</v>
      </c>
      <c r="AR262" s="35">
        <v>0</v>
      </c>
      <c r="AS262" s="35">
        <v>0</v>
      </c>
      <c r="AT262" s="35">
        <v>1</v>
      </c>
      <c r="AU262" s="31" t="str">
        <f t="shared" si="8"/>
        <v>库存为1</v>
      </c>
      <c r="AV262" s="36" t="str">
        <f>IFERROR(时间!$B$4+AU262,"上周无销量")</f>
        <v>上周无销量</v>
      </c>
    </row>
    <row r="263" spans="1:48">
      <c r="A263" s="20" t="s">
        <v>623</v>
      </c>
      <c r="B263" t="s">
        <v>624</v>
      </c>
      <c r="C263" t="s">
        <v>623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13</v>
      </c>
      <c r="J263" s="33">
        <v>0</v>
      </c>
      <c r="K263" s="33">
        <v>0</v>
      </c>
      <c r="L263" s="33">
        <v>0</v>
      </c>
      <c r="M263">
        <v>13</v>
      </c>
      <c r="N263">
        <v>0</v>
      </c>
      <c r="O263">
        <v>13</v>
      </c>
      <c r="P263">
        <v>452</v>
      </c>
      <c r="Q263">
        <v>0</v>
      </c>
      <c r="R263">
        <v>0</v>
      </c>
      <c r="S263">
        <v>0</v>
      </c>
      <c r="T263">
        <v>2</v>
      </c>
      <c r="U263">
        <v>0</v>
      </c>
      <c r="V263">
        <v>0</v>
      </c>
      <c r="W263">
        <v>0</v>
      </c>
      <c r="X263" s="22">
        <v>0.00442477876106195</v>
      </c>
      <c r="Y263" s="22" t="s">
        <v>53</v>
      </c>
      <c r="Z263" s="22" t="s">
        <v>53</v>
      </c>
      <c r="AA263" s="22" t="s">
        <v>53</v>
      </c>
      <c r="AB263">
        <v>1.18</v>
      </c>
      <c r="AC263">
        <v>0</v>
      </c>
      <c r="AD263">
        <v>0</v>
      </c>
      <c r="AE263">
        <v>0</v>
      </c>
      <c r="AF263" s="22" t="s">
        <v>625</v>
      </c>
      <c r="AG263" s="22" t="s">
        <v>53</v>
      </c>
      <c r="AH263" s="22" t="s">
        <v>53</v>
      </c>
      <c r="AI263" s="22" t="s">
        <v>53</v>
      </c>
      <c r="AJ263">
        <v>1</v>
      </c>
      <c r="AK263">
        <v>0</v>
      </c>
      <c r="AL263">
        <v>0</v>
      </c>
      <c r="AM263">
        <v>0</v>
      </c>
      <c r="AN263" s="22">
        <v>0</v>
      </c>
      <c r="AO263" s="22" t="s">
        <v>53</v>
      </c>
      <c r="AP263" s="22" t="s">
        <v>53</v>
      </c>
      <c r="AQ263" s="22" t="s">
        <v>53</v>
      </c>
      <c r="AR263" s="35">
        <v>0</v>
      </c>
      <c r="AS263" s="35">
        <v>0</v>
      </c>
      <c r="AT263" s="35">
        <v>13</v>
      </c>
      <c r="AU263" s="31" t="str">
        <f t="shared" si="8"/>
        <v>库存为13</v>
      </c>
      <c r="AV263" s="36" t="str">
        <f>IFERROR(时间!$B$4+AU263,"上周无销量")</f>
        <v>上周无销量</v>
      </c>
    </row>
    <row r="264" spans="1:48">
      <c r="A264" s="20" t="s">
        <v>626</v>
      </c>
      <c r="B264" t="s">
        <v>627</v>
      </c>
      <c r="C264" t="s">
        <v>628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0</v>
      </c>
      <c r="AK264">
        <v>0</v>
      </c>
      <c r="AL264">
        <v>0</v>
      </c>
      <c r="AM264">
        <v>0</v>
      </c>
      <c r="AN264" s="22" t="s">
        <v>53</v>
      </c>
      <c r="AO264" s="22" t="s">
        <v>53</v>
      </c>
      <c r="AP264" s="22" t="s">
        <v>53</v>
      </c>
      <c r="AQ264" s="22" t="s">
        <v>53</v>
      </c>
      <c r="AR264" s="35">
        <v>0</v>
      </c>
      <c r="AS264" s="35">
        <v>0</v>
      </c>
      <c r="AT264" s="35">
        <v>0</v>
      </c>
      <c r="AU264" s="31" t="str">
        <f t="shared" si="8"/>
        <v>库存为0</v>
      </c>
      <c r="AV264" s="36" t="str">
        <f>IFERROR(时间!$B$4+AU264,"上周无销量")</f>
        <v>上周无销量</v>
      </c>
    </row>
    <row r="265" spans="1:48">
      <c r="A265" s="20" t="s">
        <v>629</v>
      </c>
      <c r="B265" t="s">
        <v>630</v>
      </c>
      <c r="C265" t="s">
        <v>628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0</v>
      </c>
      <c r="AK265">
        <v>0</v>
      </c>
      <c r="AL265">
        <v>0</v>
      </c>
      <c r="AM265">
        <v>0</v>
      </c>
      <c r="AN265" s="22" t="s">
        <v>53</v>
      </c>
      <c r="AO265" s="22" t="s">
        <v>53</v>
      </c>
      <c r="AP265" s="22" t="s">
        <v>53</v>
      </c>
      <c r="AQ265" s="22" t="s">
        <v>53</v>
      </c>
      <c r="AR265" s="35">
        <v>0</v>
      </c>
      <c r="AS265" s="35">
        <v>0</v>
      </c>
      <c r="AT265" s="35">
        <v>0</v>
      </c>
      <c r="AU265" s="31" t="str">
        <f t="shared" si="8"/>
        <v>库存为0</v>
      </c>
      <c r="AV265" s="36" t="str">
        <f>IFERROR(时间!$B$4+AU265,"上周无销量")</f>
        <v>上周无销量</v>
      </c>
    </row>
    <row r="266" spans="1:48">
      <c r="A266" s="20" t="s">
        <v>631</v>
      </c>
      <c r="B266" t="s">
        <v>632</v>
      </c>
      <c r="C266" t="s">
        <v>628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3</v>
      </c>
      <c r="J266" s="33">
        <v>0</v>
      </c>
      <c r="K266" s="33">
        <v>0</v>
      </c>
      <c r="L266" s="33">
        <v>0</v>
      </c>
      <c r="M266">
        <v>3</v>
      </c>
      <c r="N266">
        <v>0</v>
      </c>
      <c r="O266">
        <v>3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0</v>
      </c>
      <c r="AK266">
        <v>0</v>
      </c>
      <c r="AL266">
        <v>2</v>
      </c>
      <c r="AM266">
        <v>2</v>
      </c>
      <c r="AN266" s="22" t="s">
        <v>53</v>
      </c>
      <c r="AO266" s="22" t="s">
        <v>53</v>
      </c>
      <c r="AP266" s="22">
        <v>0</v>
      </c>
      <c r="AQ266" s="22">
        <v>0</v>
      </c>
      <c r="AR266" s="35">
        <v>0</v>
      </c>
      <c r="AS266" s="35">
        <v>0</v>
      </c>
      <c r="AT266" s="35">
        <v>3</v>
      </c>
      <c r="AU266" s="31" t="str">
        <f t="shared" si="8"/>
        <v>库存为3</v>
      </c>
      <c r="AV266" s="36" t="str">
        <f>IFERROR(时间!$B$4+AU266,"上周无销量")</f>
        <v>上周无销量</v>
      </c>
    </row>
    <row r="267" spans="1:48">
      <c r="A267" s="20" t="s">
        <v>633</v>
      </c>
      <c r="B267" t="s">
        <v>634</v>
      </c>
      <c r="C267" t="s">
        <v>628</v>
      </c>
      <c r="D267" s="31">
        <v>0</v>
      </c>
      <c r="E267" s="31">
        <v>0</v>
      </c>
      <c r="F267" s="31">
        <v>0</v>
      </c>
      <c r="G267" s="31">
        <v>1</v>
      </c>
      <c r="H267" s="32">
        <v>20.99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0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2</v>
      </c>
      <c r="AK267">
        <v>0</v>
      </c>
      <c r="AL267">
        <v>0</v>
      </c>
      <c r="AM267">
        <v>3</v>
      </c>
      <c r="AN267" s="22">
        <v>0</v>
      </c>
      <c r="AO267" s="22" t="s">
        <v>53</v>
      </c>
      <c r="AP267" s="22" t="s">
        <v>53</v>
      </c>
      <c r="AQ267" s="22">
        <v>0.333333333333333</v>
      </c>
      <c r="AR267" s="35">
        <v>0</v>
      </c>
      <c r="AS267" s="35">
        <v>0</v>
      </c>
      <c r="AT267" s="35">
        <v>1</v>
      </c>
      <c r="AU267" s="31" t="str">
        <f t="shared" si="8"/>
        <v>库存为1</v>
      </c>
      <c r="AV267" s="36" t="str">
        <f>IFERROR(时间!$B$4+AU267,"上周无销量")</f>
        <v>上周无销量</v>
      </c>
    </row>
    <row r="268" spans="1:48">
      <c r="A268" s="20" t="s">
        <v>635</v>
      </c>
      <c r="B268" t="s">
        <v>636</v>
      </c>
      <c r="C268" t="s">
        <v>628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0</v>
      </c>
      <c r="AK268">
        <v>0</v>
      </c>
      <c r="AL268">
        <v>0</v>
      </c>
      <c r="AM268">
        <v>0</v>
      </c>
      <c r="AN268" s="22" t="s">
        <v>53</v>
      </c>
      <c r="AO268" s="22" t="s">
        <v>53</v>
      </c>
      <c r="AP268" s="22" t="s">
        <v>53</v>
      </c>
      <c r="AQ268" s="22" t="s">
        <v>53</v>
      </c>
      <c r="AR268" s="35">
        <v>0</v>
      </c>
      <c r="AS268" s="35">
        <v>0</v>
      </c>
      <c r="AT268" s="35">
        <v>0</v>
      </c>
      <c r="AU268" s="31" t="str">
        <f t="shared" si="8"/>
        <v>库存为0</v>
      </c>
      <c r="AV268" s="36" t="str">
        <f>IFERROR(时间!$B$4+AU268,"上周无销量")</f>
        <v>上周无销量</v>
      </c>
    </row>
    <row r="269" spans="1:48">
      <c r="A269" s="20" t="s">
        <v>637</v>
      </c>
      <c r="B269" t="s">
        <v>638</v>
      </c>
      <c r="C269" t="s">
        <v>628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0</v>
      </c>
      <c r="AK269">
        <v>0</v>
      </c>
      <c r="AL269">
        <v>0</v>
      </c>
      <c r="AM269">
        <v>0</v>
      </c>
      <c r="AN269" s="22" t="s">
        <v>53</v>
      </c>
      <c r="AO269" s="22" t="s">
        <v>53</v>
      </c>
      <c r="AP269" s="22" t="s">
        <v>53</v>
      </c>
      <c r="AQ269" s="22" t="s">
        <v>53</v>
      </c>
      <c r="AR269" s="35">
        <v>0</v>
      </c>
      <c r="AS269" s="35">
        <v>0</v>
      </c>
      <c r="AT269" s="35">
        <v>0</v>
      </c>
      <c r="AU269" s="31" t="str">
        <f t="shared" si="8"/>
        <v>库存为0</v>
      </c>
      <c r="AV269" s="36" t="str">
        <f>IFERROR(时间!$B$4+AU269,"上周无销量")</f>
        <v>上周无销量</v>
      </c>
    </row>
    <row r="270" spans="1:48">
      <c r="A270" s="20" t="s">
        <v>639</v>
      </c>
      <c r="B270" t="s">
        <v>640</v>
      </c>
      <c r="C270" t="s">
        <v>641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2</v>
      </c>
      <c r="J270" s="33">
        <v>0</v>
      </c>
      <c r="K270" s="33">
        <v>0</v>
      </c>
      <c r="L270" s="33">
        <v>0</v>
      </c>
      <c r="M270">
        <v>2</v>
      </c>
      <c r="N270">
        <v>0</v>
      </c>
      <c r="O270">
        <v>2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0</v>
      </c>
      <c r="AK270">
        <v>1</v>
      </c>
      <c r="AL270">
        <v>0</v>
      </c>
      <c r="AM270">
        <v>1</v>
      </c>
      <c r="AN270" s="22" t="s">
        <v>53</v>
      </c>
      <c r="AO270" s="22">
        <v>0</v>
      </c>
      <c r="AP270" s="22" t="s">
        <v>53</v>
      </c>
      <c r="AQ270" s="22">
        <v>0</v>
      </c>
      <c r="AR270" s="35">
        <v>0</v>
      </c>
      <c r="AS270" s="35">
        <v>0</v>
      </c>
      <c r="AT270" s="35">
        <v>2</v>
      </c>
      <c r="AU270" s="31" t="str">
        <f t="shared" si="8"/>
        <v>库存为2</v>
      </c>
      <c r="AV270" s="36" t="str">
        <f>IFERROR(时间!$B$4+AU270,"上周无销量")</f>
        <v>上周无销量</v>
      </c>
    </row>
    <row r="271" spans="1:48">
      <c r="A271" s="20" t="s">
        <v>642</v>
      </c>
      <c r="B271" t="s">
        <v>643</v>
      </c>
      <c r="C271" t="s">
        <v>641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</v>
      </c>
      <c r="J271" s="33">
        <v>0</v>
      </c>
      <c r="K271" s="33">
        <v>0</v>
      </c>
      <c r="L271" s="33">
        <v>0</v>
      </c>
      <c r="M271">
        <v>2</v>
      </c>
      <c r="N271">
        <v>0</v>
      </c>
      <c r="O271">
        <v>2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0</v>
      </c>
      <c r="AK271">
        <v>0</v>
      </c>
      <c r="AL271">
        <v>0</v>
      </c>
      <c r="AM271">
        <v>0</v>
      </c>
      <c r="AN271" s="22" t="s">
        <v>53</v>
      </c>
      <c r="AO271" s="22" t="s">
        <v>53</v>
      </c>
      <c r="AP271" s="22" t="s">
        <v>53</v>
      </c>
      <c r="AQ271" s="22" t="s">
        <v>53</v>
      </c>
      <c r="AR271" s="35">
        <v>0</v>
      </c>
      <c r="AS271" s="35">
        <v>0</v>
      </c>
      <c r="AT271" s="35">
        <v>2</v>
      </c>
      <c r="AU271" s="31" t="str">
        <f t="shared" si="8"/>
        <v>库存为2</v>
      </c>
      <c r="AV271" s="36" t="str">
        <f>IFERROR(时间!$B$4+AU271,"上周无销量")</f>
        <v>上周无销量</v>
      </c>
    </row>
    <row r="272" spans="1:48">
      <c r="A272" s="20" t="s">
        <v>644</v>
      </c>
      <c r="B272" t="s">
        <v>645</v>
      </c>
      <c r="C272" t="s">
        <v>641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1</v>
      </c>
      <c r="J272" s="33">
        <v>0</v>
      </c>
      <c r="K272" s="33">
        <v>0</v>
      </c>
      <c r="L272" s="33">
        <v>0</v>
      </c>
      <c r="M272">
        <v>1</v>
      </c>
      <c r="N272">
        <v>0</v>
      </c>
      <c r="O272">
        <v>1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0</v>
      </c>
      <c r="AK272">
        <v>0</v>
      </c>
      <c r="AL272">
        <v>1</v>
      </c>
      <c r="AM272">
        <v>0</v>
      </c>
      <c r="AN272" s="22" t="s">
        <v>53</v>
      </c>
      <c r="AO272" s="22" t="s">
        <v>53</v>
      </c>
      <c r="AP272" s="22">
        <v>0</v>
      </c>
      <c r="AQ272" s="22" t="s">
        <v>53</v>
      </c>
      <c r="AR272" s="35">
        <v>0</v>
      </c>
      <c r="AS272" s="35">
        <v>0</v>
      </c>
      <c r="AT272" s="35">
        <v>1</v>
      </c>
      <c r="AU272" s="31" t="str">
        <f t="shared" si="8"/>
        <v>库存为1</v>
      </c>
      <c r="AV272" s="36" t="str">
        <f>IFERROR(时间!$B$4+AU272,"上周无销量")</f>
        <v>上周无销量</v>
      </c>
    </row>
    <row r="273" spans="1:48">
      <c r="A273" s="20" t="s">
        <v>646</v>
      </c>
      <c r="B273" t="s">
        <v>647</v>
      </c>
      <c r="C273" t="s">
        <v>641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3</v>
      </c>
      <c r="J273" s="33">
        <v>0</v>
      </c>
      <c r="K273" s="33">
        <v>0</v>
      </c>
      <c r="L273" s="33">
        <v>0</v>
      </c>
      <c r="M273">
        <v>3</v>
      </c>
      <c r="N273">
        <v>0</v>
      </c>
      <c r="O273">
        <v>3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1</v>
      </c>
      <c r="AK273">
        <v>3</v>
      </c>
      <c r="AL273">
        <v>1</v>
      </c>
      <c r="AM273">
        <v>0</v>
      </c>
      <c r="AN273" s="22">
        <v>0</v>
      </c>
      <c r="AO273" s="22">
        <v>0</v>
      </c>
      <c r="AP273" s="22">
        <v>0</v>
      </c>
      <c r="AQ273" s="22" t="s">
        <v>53</v>
      </c>
      <c r="AR273" s="35">
        <v>0</v>
      </c>
      <c r="AS273" s="35">
        <v>0</v>
      </c>
      <c r="AT273" s="35">
        <v>3</v>
      </c>
      <c r="AU273" s="31" t="str">
        <f t="shared" si="8"/>
        <v>库存为3</v>
      </c>
      <c r="AV273" s="36" t="str">
        <f>IFERROR(时间!$B$4+AU273,"上周无销量")</f>
        <v>上周无销量</v>
      </c>
    </row>
    <row r="274" spans="1:48">
      <c r="A274" s="20" t="s">
        <v>648</v>
      </c>
      <c r="B274" t="s">
        <v>649</v>
      </c>
      <c r="C274" t="s">
        <v>641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1</v>
      </c>
      <c r="J274" s="33">
        <v>0</v>
      </c>
      <c r="K274" s="33">
        <v>0</v>
      </c>
      <c r="L274" s="33">
        <v>0</v>
      </c>
      <c r="M274">
        <v>1</v>
      </c>
      <c r="N274">
        <v>0</v>
      </c>
      <c r="O274">
        <v>1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0</v>
      </c>
      <c r="AK274">
        <v>2</v>
      </c>
      <c r="AL274">
        <v>2</v>
      </c>
      <c r="AM274">
        <v>1</v>
      </c>
      <c r="AN274" s="22" t="s">
        <v>53</v>
      </c>
      <c r="AO274" s="22">
        <v>0</v>
      </c>
      <c r="AP274" s="22">
        <v>0</v>
      </c>
      <c r="AQ274" s="22">
        <v>0</v>
      </c>
      <c r="AR274" s="35">
        <v>0</v>
      </c>
      <c r="AS274" s="35">
        <v>0</v>
      </c>
      <c r="AT274" s="35">
        <v>1</v>
      </c>
      <c r="AU274" s="31" t="str">
        <f t="shared" si="8"/>
        <v>库存为1</v>
      </c>
      <c r="AV274" s="36" t="str">
        <f>IFERROR(时间!$B$4+AU274,"上周无销量")</f>
        <v>上周无销量</v>
      </c>
    </row>
    <row r="275" spans="1:48">
      <c r="A275" s="20" t="s">
        <v>650</v>
      </c>
      <c r="B275" t="s">
        <v>651</v>
      </c>
      <c r="C275" t="s">
        <v>641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2</v>
      </c>
      <c r="J275" s="33">
        <v>0</v>
      </c>
      <c r="K275" s="33">
        <v>0</v>
      </c>
      <c r="L275" s="33">
        <v>0</v>
      </c>
      <c r="M275">
        <v>2</v>
      </c>
      <c r="N275">
        <v>0</v>
      </c>
      <c r="O275">
        <v>2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1</v>
      </c>
      <c r="AK275">
        <v>3</v>
      </c>
      <c r="AL275">
        <v>0</v>
      </c>
      <c r="AM275">
        <v>4</v>
      </c>
      <c r="AN275" s="22">
        <v>0</v>
      </c>
      <c r="AO275" s="22">
        <v>0</v>
      </c>
      <c r="AP275" s="22" t="s">
        <v>53</v>
      </c>
      <c r="AQ275" s="22">
        <v>0</v>
      </c>
      <c r="AR275" s="35">
        <v>0</v>
      </c>
      <c r="AS275" s="35">
        <v>0</v>
      </c>
      <c r="AT275" s="35">
        <v>2</v>
      </c>
      <c r="AU275" s="31" t="str">
        <f t="shared" si="8"/>
        <v>库存为2</v>
      </c>
      <c r="AV275" s="36" t="str">
        <f>IFERROR(时间!$B$4+AU275,"上周无销量")</f>
        <v>上周无销量</v>
      </c>
    </row>
    <row r="276" spans="1:48">
      <c r="A276" s="20" t="s">
        <v>652</v>
      </c>
      <c r="B276" t="s">
        <v>653</v>
      </c>
      <c r="C276" t="s">
        <v>641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1</v>
      </c>
      <c r="J276" s="33">
        <v>0</v>
      </c>
      <c r="K276" s="33">
        <v>0</v>
      </c>
      <c r="L276" s="33">
        <v>0</v>
      </c>
      <c r="M276">
        <v>1</v>
      </c>
      <c r="N276">
        <v>0</v>
      </c>
      <c r="O276">
        <v>1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0</v>
      </c>
      <c r="AK276">
        <v>0</v>
      </c>
      <c r="AL276">
        <v>0</v>
      </c>
      <c r="AM276">
        <v>1</v>
      </c>
      <c r="AN276" s="22" t="s">
        <v>53</v>
      </c>
      <c r="AO276" s="22" t="s">
        <v>53</v>
      </c>
      <c r="AP276" s="22" t="s">
        <v>53</v>
      </c>
      <c r="AQ276" s="22">
        <v>0</v>
      </c>
      <c r="AR276" s="35">
        <v>0</v>
      </c>
      <c r="AS276" s="35">
        <v>0</v>
      </c>
      <c r="AT276" s="35">
        <v>1</v>
      </c>
      <c r="AU276" s="31" t="str">
        <f t="shared" si="8"/>
        <v>库存为1</v>
      </c>
      <c r="AV276" s="36" t="str">
        <f>IFERROR(时间!$B$4+AU276,"上周无销量")</f>
        <v>上周无销量</v>
      </c>
    </row>
    <row r="277" spans="1:48">
      <c r="A277" s="20" t="s">
        <v>654</v>
      </c>
      <c r="B277" t="s">
        <v>655</v>
      </c>
      <c r="C277" t="s">
        <v>641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0</v>
      </c>
      <c r="AK277">
        <v>0</v>
      </c>
      <c r="AL277">
        <v>0</v>
      </c>
      <c r="AM277">
        <v>0</v>
      </c>
      <c r="AN277" s="22" t="s">
        <v>53</v>
      </c>
      <c r="AO277" s="22" t="s">
        <v>53</v>
      </c>
      <c r="AP277" s="22" t="s">
        <v>53</v>
      </c>
      <c r="AQ277" s="22" t="s">
        <v>53</v>
      </c>
      <c r="AR277" s="35">
        <v>0</v>
      </c>
      <c r="AS277" s="35">
        <v>0</v>
      </c>
      <c r="AT277" s="35">
        <v>0</v>
      </c>
      <c r="AU277" s="31" t="str">
        <f t="shared" si="8"/>
        <v>库存为0</v>
      </c>
      <c r="AV277" s="36" t="str">
        <f>IFERROR(时间!$B$4+AU277,"上周无销量")</f>
        <v>上周无销量</v>
      </c>
    </row>
    <row r="278" spans="1:48">
      <c r="A278" s="20" t="s">
        <v>656</v>
      </c>
      <c r="B278" t="s">
        <v>657</v>
      </c>
      <c r="C278" t="s">
        <v>641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3</v>
      </c>
      <c r="J278" s="33">
        <v>0</v>
      </c>
      <c r="K278" s="33">
        <v>0</v>
      </c>
      <c r="L278" s="33">
        <v>0</v>
      </c>
      <c r="M278">
        <v>3</v>
      </c>
      <c r="N278">
        <v>0</v>
      </c>
      <c r="O278">
        <v>3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1</v>
      </c>
      <c r="AK278">
        <v>3</v>
      </c>
      <c r="AL278">
        <v>0</v>
      </c>
      <c r="AM278">
        <v>3</v>
      </c>
      <c r="AN278" s="22">
        <v>0</v>
      </c>
      <c r="AO278" s="22">
        <v>0</v>
      </c>
      <c r="AP278" s="22" t="s">
        <v>53</v>
      </c>
      <c r="AQ278" s="22">
        <v>0</v>
      </c>
      <c r="AR278" s="35">
        <v>0</v>
      </c>
      <c r="AS278" s="35">
        <v>0</v>
      </c>
      <c r="AT278" s="35">
        <v>3</v>
      </c>
      <c r="AU278" s="31" t="str">
        <f t="shared" si="8"/>
        <v>库存为3</v>
      </c>
      <c r="AV278" s="36" t="str">
        <f>IFERROR(时间!$B$4+AU278,"上周无销量")</f>
        <v>上周无销量</v>
      </c>
    </row>
    <row r="279" spans="1:48">
      <c r="A279" s="20" t="s">
        <v>658</v>
      </c>
      <c r="B279" t="s">
        <v>659</v>
      </c>
      <c r="C279" t="s">
        <v>641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2</v>
      </c>
      <c r="AK279">
        <v>2</v>
      </c>
      <c r="AL279">
        <v>2</v>
      </c>
      <c r="AM279">
        <v>3</v>
      </c>
      <c r="AN279" s="22">
        <v>0</v>
      </c>
      <c r="AO279" s="22">
        <v>0</v>
      </c>
      <c r="AP279" s="22">
        <v>0</v>
      </c>
      <c r="AQ279" s="22">
        <v>0</v>
      </c>
      <c r="AR279" s="35">
        <v>0</v>
      </c>
      <c r="AS279" s="35">
        <v>0</v>
      </c>
      <c r="AT279" s="35">
        <v>2</v>
      </c>
      <c r="AU279" s="31" t="str">
        <f t="shared" si="8"/>
        <v>库存为2</v>
      </c>
      <c r="AV279" s="36" t="str">
        <f>IFERROR(时间!$B$4+AU279,"上周无销量")</f>
        <v>上周无销量</v>
      </c>
    </row>
    <row r="280" spans="1:48">
      <c r="A280" s="20" t="s">
        <v>660</v>
      </c>
      <c r="B280" t="s">
        <v>661</v>
      </c>
      <c r="C280" t="s">
        <v>641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2</v>
      </c>
      <c r="J280" s="33">
        <v>0</v>
      </c>
      <c r="K280" s="33">
        <v>0</v>
      </c>
      <c r="L280" s="33">
        <v>0</v>
      </c>
      <c r="M280">
        <v>2</v>
      </c>
      <c r="N280">
        <v>0</v>
      </c>
      <c r="O280">
        <v>2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2</v>
      </c>
      <c r="AK280">
        <v>3</v>
      </c>
      <c r="AL280">
        <v>3</v>
      </c>
      <c r="AM280">
        <v>2</v>
      </c>
      <c r="AN280" s="22">
        <v>0</v>
      </c>
      <c r="AO280" s="22">
        <v>0</v>
      </c>
      <c r="AP280" s="22">
        <v>0</v>
      </c>
      <c r="AQ280" s="22">
        <v>0</v>
      </c>
      <c r="AR280" s="35">
        <v>0</v>
      </c>
      <c r="AS280" s="35">
        <v>0</v>
      </c>
      <c r="AT280" s="35">
        <v>2</v>
      </c>
      <c r="AU280" s="31" t="str">
        <f t="shared" si="8"/>
        <v>库存为2</v>
      </c>
      <c r="AV280" s="36" t="str">
        <f>IFERROR(时间!$B$4+AU280,"上周无销量")</f>
        <v>上周无销量</v>
      </c>
    </row>
    <row r="281" spans="1:48">
      <c r="A281" s="20" t="s">
        <v>662</v>
      </c>
      <c r="B281" t="s">
        <v>663</v>
      </c>
      <c r="C281" t="s">
        <v>641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2</v>
      </c>
      <c r="J281" s="33">
        <v>0</v>
      </c>
      <c r="K281" s="33">
        <v>0</v>
      </c>
      <c r="L281" s="33">
        <v>0</v>
      </c>
      <c r="M281">
        <v>2</v>
      </c>
      <c r="N281">
        <v>0</v>
      </c>
      <c r="O281">
        <v>2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0</v>
      </c>
      <c r="AK281">
        <v>3</v>
      </c>
      <c r="AL281">
        <v>3</v>
      </c>
      <c r="AM281">
        <v>1</v>
      </c>
      <c r="AN281" s="22" t="s">
        <v>53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2</v>
      </c>
      <c r="AU281" s="31" t="str">
        <f t="shared" si="8"/>
        <v>库存为2</v>
      </c>
      <c r="AV281" s="36" t="str">
        <f>IFERROR(时间!$B$4+AU281,"上周无销量")</f>
        <v>上周无销量</v>
      </c>
    </row>
    <row r="282" spans="1:48">
      <c r="A282" s="20" t="s">
        <v>664</v>
      </c>
      <c r="B282" t="s">
        <v>665</v>
      </c>
      <c r="C282" t="s">
        <v>641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1</v>
      </c>
      <c r="J282" s="33">
        <v>0</v>
      </c>
      <c r="K282" s="33">
        <v>0</v>
      </c>
      <c r="L282" s="33">
        <v>0</v>
      </c>
      <c r="M282">
        <v>1</v>
      </c>
      <c r="N282">
        <v>0</v>
      </c>
      <c r="O282">
        <v>1</v>
      </c>
      <c r="P282" t="s">
        <v>53</v>
      </c>
      <c r="Q282" t="s">
        <v>53</v>
      </c>
      <c r="R282" t="s">
        <v>53</v>
      </c>
      <c r="S282" t="s">
        <v>53</v>
      </c>
      <c r="T282" t="s">
        <v>53</v>
      </c>
      <c r="U282" t="s">
        <v>53</v>
      </c>
      <c r="V282" t="s">
        <v>53</v>
      </c>
      <c r="W282" t="s">
        <v>53</v>
      </c>
      <c r="X282" s="22" t="s">
        <v>53</v>
      </c>
      <c r="Y282" s="22" t="s">
        <v>53</v>
      </c>
      <c r="Z282" s="22" t="s">
        <v>53</v>
      </c>
      <c r="AA282" s="22" t="s">
        <v>53</v>
      </c>
      <c r="AB282" t="s">
        <v>53</v>
      </c>
      <c r="AC282" t="s">
        <v>53</v>
      </c>
      <c r="AD282" t="s">
        <v>53</v>
      </c>
      <c r="AE282" t="s">
        <v>53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0</v>
      </c>
      <c r="AK282">
        <v>4</v>
      </c>
      <c r="AL282">
        <v>1</v>
      </c>
      <c r="AM282">
        <v>2</v>
      </c>
      <c r="AN282" s="22" t="s">
        <v>53</v>
      </c>
      <c r="AO282" s="22">
        <v>0</v>
      </c>
      <c r="AP282" s="22">
        <v>0</v>
      </c>
      <c r="AQ282" s="22">
        <v>0</v>
      </c>
      <c r="AR282" s="35">
        <v>0</v>
      </c>
      <c r="AS282" s="35">
        <v>0</v>
      </c>
      <c r="AT282" s="35">
        <v>1</v>
      </c>
      <c r="AU282" s="31" t="str">
        <f t="shared" si="8"/>
        <v>库存为1</v>
      </c>
      <c r="AV282" s="36" t="str">
        <f>IFERROR(时间!$B$4+AU282,"上周无销量")</f>
        <v>上周无销量</v>
      </c>
    </row>
    <row r="283" spans="1:48">
      <c r="A283" s="20" t="s">
        <v>666</v>
      </c>
      <c r="B283" t="s">
        <v>667</v>
      </c>
      <c r="C283" t="s">
        <v>641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3</v>
      </c>
      <c r="J283" s="33">
        <v>0</v>
      </c>
      <c r="K283" s="33">
        <v>0</v>
      </c>
      <c r="L283" s="33">
        <v>0</v>
      </c>
      <c r="M283">
        <v>3</v>
      </c>
      <c r="N283">
        <v>0</v>
      </c>
      <c r="O283">
        <v>3</v>
      </c>
      <c r="P283" t="s">
        <v>53</v>
      </c>
      <c r="Q283" t="s">
        <v>53</v>
      </c>
      <c r="R283" t="s">
        <v>53</v>
      </c>
      <c r="S283" t="s">
        <v>53</v>
      </c>
      <c r="T283" t="s">
        <v>53</v>
      </c>
      <c r="U283" t="s">
        <v>53</v>
      </c>
      <c r="V283" t="s">
        <v>53</v>
      </c>
      <c r="W283" t="s">
        <v>53</v>
      </c>
      <c r="X283" s="22" t="s">
        <v>53</v>
      </c>
      <c r="Y283" s="22" t="s">
        <v>53</v>
      </c>
      <c r="Z283" s="22" t="s">
        <v>53</v>
      </c>
      <c r="AA283" s="22" t="s">
        <v>53</v>
      </c>
      <c r="AB283" t="s">
        <v>53</v>
      </c>
      <c r="AC283" t="s">
        <v>53</v>
      </c>
      <c r="AD283" t="s">
        <v>53</v>
      </c>
      <c r="AE283" t="s">
        <v>53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1</v>
      </c>
      <c r="AK283">
        <v>2</v>
      </c>
      <c r="AL283">
        <v>1</v>
      </c>
      <c r="AM283">
        <v>4</v>
      </c>
      <c r="AN283" s="22">
        <v>0</v>
      </c>
      <c r="AO283" s="22">
        <v>0</v>
      </c>
      <c r="AP283" s="22">
        <v>0</v>
      </c>
      <c r="AQ283" s="22">
        <v>0</v>
      </c>
      <c r="AR283" s="35">
        <v>0</v>
      </c>
      <c r="AS283" s="35">
        <v>0</v>
      </c>
      <c r="AT283" s="35">
        <v>3</v>
      </c>
      <c r="AU283" s="31" t="str">
        <f t="shared" si="8"/>
        <v>库存为3</v>
      </c>
      <c r="AV283" s="36" t="str">
        <f>IFERROR(时间!$B$4+AU283,"上周无销量")</f>
        <v>上周无销量</v>
      </c>
    </row>
    <row r="284" spans="1:48">
      <c r="A284" s="20" t="s">
        <v>668</v>
      </c>
      <c r="B284" t="s">
        <v>669</v>
      </c>
      <c r="C284" t="s">
        <v>641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2</v>
      </c>
      <c r="J284" s="33">
        <v>0</v>
      </c>
      <c r="K284" s="33">
        <v>0</v>
      </c>
      <c r="L284" s="33">
        <v>0</v>
      </c>
      <c r="M284">
        <v>2</v>
      </c>
      <c r="N284">
        <v>0</v>
      </c>
      <c r="O284">
        <v>2</v>
      </c>
      <c r="P284" t="s">
        <v>53</v>
      </c>
      <c r="Q284" t="s">
        <v>53</v>
      </c>
      <c r="R284" t="s">
        <v>53</v>
      </c>
      <c r="S284" t="s">
        <v>53</v>
      </c>
      <c r="T284" t="s">
        <v>53</v>
      </c>
      <c r="U284" t="s">
        <v>53</v>
      </c>
      <c r="V284" t="s">
        <v>53</v>
      </c>
      <c r="W284" t="s">
        <v>53</v>
      </c>
      <c r="X284" s="22" t="s">
        <v>53</v>
      </c>
      <c r="Y284" s="22" t="s">
        <v>53</v>
      </c>
      <c r="Z284" s="22" t="s">
        <v>53</v>
      </c>
      <c r="AA284" s="22" t="s">
        <v>53</v>
      </c>
      <c r="AB284" t="s">
        <v>53</v>
      </c>
      <c r="AC284" t="s">
        <v>53</v>
      </c>
      <c r="AD284" t="s">
        <v>53</v>
      </c>
      <c r="AE284" t="s">
        <v>53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2</v>
      </c>
      <c r="AK284">
        <v>5</v>
      </c>
      <c r="AL284">
        <v>1</v>
      </c>
      <c r="AM284">
        <v>3</v>
      </c>
      <c r="AN284" s="22">
        <v>0</v>
      </c>
      <c r="AO284" s="22">
        <v>0</v>
      </c>
      <c r="AP284" s="22">
        <v>0</v>
      </c>
      <c r="AQ284" s="22">
        <v>0</v>
      </c>
      <c r="AR284" s="35">
        <v>0</v>
      </c>
      <c r="AS284" s="35">
        <v>0</v>
      </c>
      <c r="AT284" s="35">
        <v>2</v>
      </c>
      <c r="AU284" s="31" t="str">
        <f t="shared" si="8"/>
        <v>库存为2</v>
      </c>
      <c r="AV284" s="36" t="str">
        <f>IFERROR(时间!$B$4+AU284,"上周无销量")</f>
        <v>上周无销量</v>
      </c>
    </row>
    <row r="285" spans="1:48">
      <c r="A285" s="20" t="s">
        <v>670</v>
      </c>
      <c r="B285" t="s">
        <v>671</v>
      </c>
      <c r="C285" t="s">
        <v>672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2</v>
      </c>
      <c r="J285" s="33">
        <v>0</v>
      </c>
      <c r="K285" s="33">
        <v>0</v>
      </c>
      <c r="L285" s="33">
        <v>0</v>
      </c>
      <c r="M285">
        <v>2</v>
      </c>
      <c r="N285">
        <v>0</v>
      </c>
      <c r="O285">
        <v>2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2</v>
      </c>
      <c r="AK285">
        <v>2</v>
      </c>
      <c r="AL285">
        <v>2</v>
      </c>
      <c r="AM285">
        <v>2</v>
      </c>
      <c r="AN285" s="22">
        <v>0</v>
      </c>
      <c r="AO285" s="22">
        <v>0</v>
      </c>
      <c r="AP285" s="22">
        <v>0</v>
      </c>
      <c r="AQ285" s="22">
        <v>0</v>
      </c>
      <c r="AR285" s="35">
        <v>0</v>
      </c>
      <c r="AS285" s="35">
        <v>0</v>
      </c>
      <c r="AT285" s="35">
        <v>2</v>
      </c>
      <c r="AU285" s="31" t="str">
        <f t="shared" si="8"/>
        <v>库存为2</v>
      </c>
      <c r="AV285" s="36" t="str">
        <f>IFERROR(时间!$B$4+AU285,"上周无销量")</f>
        <v>上周无销量</v>
      </c>
    </row>
    <row r="286" spans="1:48">
      <c r="A286" s="20" t="s">
        <v>673</v>
      </c>
      <c r="B286" t="s">
        <v>674</v>
      </c>
      <c r="C286" t="s">
        <v>672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2</v>
      </c>
      <c r="J286" s="33">
        <v>0</v>
      </c>
      <c r="K286" s="33">
        <v>0</v>
      </c>
      <c r="L286" s="33">
        <v>0</v>
      </c>
      <c r="M286">
        <v>2</v>
      </c>
      <c r="N286">
        <v>0</v>
      </c>
      <c r="O286">
        <v>2</v>
      </c>
      <c r="P286" t="s">
        <v>53</v>
      </c>
      <c r="Q286" t="s">
        <v>53</v>
      </c>
      <c r="R286" t="s">
        <v>53</v>
      </c>
      <c r="S286" t="s">
        <v>53</v>
      </c>
      <c r="T286" t="s">
        <v>53</v>
      </c>
      <c r="U286" t="s">
        <v>53</v>
      </c>
      <c r="V286" t="s">
        <v>53</v>
      </c>
      <c r="W286" t="s">
        <v>53</v>
      </c>
      <c r="X286" s="22" t="s">
        <v>53</v>
      </c>
      <c r="Y286" s="22" t="s">
        <v>53</v>
      </c>
      <c r="Z286" s="22" t="s">
        <v>53</v>
      </c>
      <c r="AA286" s="22" t="s">
        <v>53</v>
      </c>
      <c r="AB286" t="s">
        <v>53</v>
      </c>
      <c r="AC286" t="s">
        <v>53</v>
      </c>
      <c r="AD286" t="s">
        <v>53</v>
      </c>
      <c r="AE286" t="s">
        <v>53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1</v>
      </c>
      <c r="AK286">
        <v>2</v>
      </c>
      <c r="AL286">
        <v>2</v>
      </c>
      <c r="AM286">
        <v>2</v>
      </c>
      <c r="AN286" s="22">
        <v>0</v>
      </c>
      <c r="AO286" s="22">
        <v>0</v>
      </c>
      <c r="AP286" s="22">
        <v>0</v>
      </c>
      <c r="AQ286" s="22">
        <v>0</v>
      </c>
      <c r="AR286" s="35">
        <v>0</v>
      </c>
      <c r="AS286" s="35">
        <v>0</v>
      </c>
      <c r="AT286" s="35">
        <v>2</v>
      </c>
      <c r="AU286" s="31" t="str">
        <f t="shared" si="8"/>
        <v>库存为2</v>
      </c>
      <c r="AV286" s="36" t="str">
        <f>IFERROR(时间!$B$4+AU286,"上周无销量")</f>
        <v>上周无销量</v>
      </c>
    </row>
    <row r="287" spans="1:48">
      <c r="A287" s="20" t="s">
        <v>675</v>
      </c>
      <c r="B287" t="s">
        <v>676</v>
      </c>
      <c r="C287" t="s">
        <v>672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1</v>
      </c>
      <c r="J287" s="33">
        <v>0</v>
      </c>
      <c r="K287" s="33">
        <v>0</v>
      </c>
      <c r="L287" s="33">
        <v>0</v>
      </c>
      <c r="M287">
        <v>1</v>
      </c>
      <c r="N287">
        <v>0</v>
      </c>
      <c r="O287">
        <v>0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3</v>
      </c>
      <c r="AK287">
        <v>6</v>
      </c>
      <c r="AL287">
        <v>6</v>
      </c>
      <c r="AM287">
        <v>3</v>
      </c>
      <c r="AN287" s="22">
        <v>0</v>
      </c>
      <c r="AO287" s="22">
        <v>0</v>
      </c>
      <c r="AP287" s="22">
        <v>0</v>
      </c>
      <c r="AQ287" s="22">
        <v>0</v>
      </c>
      <c r="AR287" s="35">
        <v>0</v>
      </c>
      <c r="AS287" s="35">
        <v>0</v>
      </c>
      <c r="AT287" s="35">
        <v>1</v>
      </c>
      <c r="AU287" s="31" t="str">
        <f t="shared" si="8"/>
        <v>库存为1</v>
      </c>
      <c r="AV287" s="36" t="str">
        <f>IFERROR(时间!$B$4+AU287,"上周无销量")</f>
        <v>上周无销量</v>
      </c>
    </row>
    <row r="288" spans="1:48">
      <c r="A288" s="20" t="s">
        <v>677</v>
      </c>
      <c r="B288" t="s">
        <v>678</v>
      </c>
      <c r="C288" t="s">
        <v>672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3</v>
      </c>
      <c r="J288" s="33">
        <v>0</v>
      </c>
      <c r="K288" s="33">
        <v>0</v>
      </c>
      <c r="L288" s="33">
        <v>0</v>
      </c>
      <c r="M288">
        <v>3</v>
      </c>
      <c r="N288">
        <v>0</v>
      </c>
      <c r="O288">
        <v>3</v>
      </c>
      <c r="P288" t="s">
        <v>53</v>
      </c>
      <c r="Q288" t="s">
        <v>53</v>
      </c>
      <c r="R288" t="s">
        <v>53</v>
      </c>
      <c r="S288" t="s">
        <v>53</v>
      </c>
      <c r="T288" t="s">
        <v>53</v>
      </c>
      <c r="U288" t="s">
        <v>53</v>
      </c>
      <c r="V288" t="s">
        <v>53</v>
      </c>
      <c r="W288" t="s">
        <v>53</v>
      </c>
      <c r="X288" s="22" t="s">
        <v>53</v>
      </c>
      <c r="Y288" s="22" t="s">
        <v>53</v>
      </c>
      <c r="Z288" s="22" t="s">
        <v>53</v>
      </c>
      <c r="AA288" s="22" t="s">
        <v>53</v>
      </c>
      <c r="AB288" t="s">
        <v>53</v>
      </c>
      <c r="AC288" t="s">
        <v>53</v>
      </c>
      <c r="AD288" t="s">
        <v>53</v>
      </c>
      <c r="AE288" t="s">
        <v>53</v>
      </c>
      <c r="AF288" s="22" t="s">
        <v>53</v>
      </c>
      <c r="AG288" s="22" t="s">
        <v>53</v>
      </c>
      <c r="AH288" s="22" t="s">
        <v>53</v>
      </c>
      <c r="AI288" s="22" t="s">
        <v>53</v>
      </c>
      <c r="AJ288">
        <v>3</v>
      </c>
      <c r="AK288">
        <v>2</v>
      </c>
      <c r="AL288">
        <v>2</v>
      </c>
      <c r="AM288">
        <v>2</v>
      </c>
      <c r="AN288" s="22">
        <v>0</v>
      </c>
      <c r="AO288" s="22">
        <v>0</v>
      </c>
      <c r="AP288" s="22">
        <v>0</v>
      </c>
      <c r="AQ288" s="22">
        <v>0</v>
      </c>
      <c r="AR288" s="35">
        <v>0</v>
      </c>
      <c r="AS288" s="35">
        <v>0</v>
      </c>
      <c r="AT288" s="35">
        <v>3</v>
      </c>
      <c r="AU288" s="31" t="str">
        <f t="shared" si="8"/>
        <v>库存为3</v>
      </c>
      <c r="AV288" s="36" t="str">
        <f>IFERROR(时间!$B$4+AU288,"上周无销量")</f>
        <v>上周无销量</v>
      </c>
    </row>
    <row r="289" spans="1:48">
      <c r="A289" s="20" t="s">
        <v>679</v>
      </c>
      <c r="B289" t="s">
        <v>680</v>
      </c>
      <c r="C289" t="s">
        <v>672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2</v>
      </c>
      <c r="J289" s="33">
        <v>0</v>
      </c>
      <c r="K289" s="33">
        <v>0</v>
      </c>
      <c r="L289" s="33">
        <v>0</v>
      </c>
      <c r="M289">
        <v>2</v>
      </c>
      <c r="N289">
        <v>0</v>
      </c>
      <c r="O289">
        <v>2</v>
      </c>
      <c r="P289" t="s">
        <v>53</v>
      </c>
      <c r="Q289" t="s">
        <v>53</v>
      </c>
      <c r="R289" t="s">
        <v>53</v>
      </c>
      <c r="S289" t="s">
        <v>53</v>
      </c>
      <c r="T289" t="s">
        <v>53</v>
      </c>
      <c r="U289" t="s">
        <v>53</v>
      </c>
      <c r="V289" t="s">
        <v>53</v>
      </c>
      <c r="W289" t="s">
        <v>53</v>
      </c>
      <c r="X289" s="22" t="s">
        <v>53</v>
      </c>
      <c r="Y289" s="22" t="s">
        <v>53</v>
      </c>
      <c r="Z289" s="22" t="s">
        <v>53</v>
      </c>
      <c r="AA289" s="22" t="s">
        <v>53</v>
      </c>
      <c r="AB289" t="s">
        <v>53</v>
      </c>
      <c r="AC289" t="s">
        <v>53</v>
      </c>
      <c r="AD289" t="s">
        <v>53</v>
      </c>
      <c r="AE289" t="s">
        <v>53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2</v>
      </c>
      <c r="AK289">
        <v>2</v>
      </c>
      <c r="AL289">
        <v>3</v>
      </c>
      <c r="AM289">
        <v>2</v>
      </c>
      <c r="AN289" s="22">
        <v>0</v>
      </c>
      <c r="AO289" s="22">
        <v>0</v>
      </c>
      <c r="AP289" s="22">
        <v>0</v>
      </c>
      <c r="AQ289" s="22">
        <v>0</v>
      </c>
      <c r="AR289" s="35">
        <v>0</v>
      </c>
      <c r="AS289" s="35">
        <v>0</v>
      </c>
      <c r="AT289" s="35">
        <v>2</v>
      </c>
      <c r="AU289" s="31" t="str">
        <f t="shared" si="8"/>
        <v>库存为2</v>
      </c>
      <c r="AV289" s="36" t="str">
        <f>IFERROR(时间!$B$4+AU289,"上周无销量")</f>
        <v>上周无销量</v>
      </c>
    </row>
    <row r="290" spans="1:48">
      <c r="A290" s="20" t="s">
        <v>681</v>
      </c>
      <c r="B290" t="s">
        <v>682</v>
      </c>
      <c r="C290" t="s">
        <v>672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2</v>
      </c>
      <c r="J290" s="33">
        <v>0</v>
      </c>
      <c r="K290" s="33">
        <v>0</v>
      </c>
      <c r="L290" s="33">
        <v>0</v>
      </c>
      <c r="M290">
        <v>2</v>
      </c>
      <c r="N290">
        <v>0</v>
      </c>
      <c r="O290">
        <v>2</v>
      </c>
      <c r="P290" t="s">
        <v>53</v>
      </c>
      <c r="Q290" t="s">
        <v>53</v>
      </c>
      <c r="R290" t="s">
        <v>53</v>
      </c>
      <c r="S290" t="s">
        <v>53</v>
      </c>
      <c r="T290" t="s">
        <v>53</v>
      </c>
      <c r="U290" t="s">
        <v>53</v>
      </c>
      <c r="V290" t="s">
        <v>53</v>
      </c>
      <c r="W290" t="s">
        <v>53</v>
      </c>
      <c r="X290" s="22" t="s">
        <v>53</v>
      </c>
      <c r="Y290" s="22" t="s">
        <v>53</v>
      </c>
      <c r="Z290" s="22" t="s">
        <v>53</v>
      </c>
      <c r="AA290" s="22" t="s">
        <v>53</v>
      </c>
      <c r="AB290" t="s">
        <v>53</v>
      </c>
      <c r="AC290" t="s">
        <v>53</v>
      </c>
      <c r="AD290" t="s">
        <v>53</v>
      </c>
      <c r="AE290" t="s">
        <v>53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3</v>
      </c>
      <c r="AK290">
        <v>5</v>
      </c>
      <c r="AL290">
        <v>3</v>
      </c>
      <c r="AM290">
        <v>2</v>
      </c>
      <c r="AN290" s="22">
        <v>0</v>
      </c>
      <c r="AO290" s="22">
        <v>0</v>
      </c>
      <c r="AP290" s="22">
        <v>0</v>
      </c>
      <c r="AQ290" s="22">
        <v>0</v>
      </c>
      <c r="AR290" s="35">
        <v>0</v>
      </c>
      <c r="AS290" s="35">
        <v>0</v>
      </c>
      <c r="AT290" s="35">
        <v>2</v>
      </c>
      <c r="AU290" s="31" t="str">
        <f t="shared" si="8"/>
        <v>库存为2</v>
      </c>
      <c r="AV290" s="36" t="str">
        <f>IFERROR(时间!$B$4+AU290,"上周无销量")</f>
        <v>上周无销量</v>
      </c>
    </row>
    <row r="291" spans="1:48">
      <c r="A291" s="20" t="s">
        <v>683</v>
      </c>
      <c r="B291" t="s">
        <v>684</v>
      </c>
      <c r="C291" t="s">
        <v>685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2</v>
      </c>
      <c r="J291" s="33">
        <v>0</v>
      </c>
      <c r="K291" s="33">
        <v>0</v>
      </c>
      <c r="L291" s="33">
        <v>0</v>
      </c>
      <c r="M291">
        <v>2</v>
      </c>
      <c r="N291">
        <v>0</v>
      </c>
      <c r="O291">
        <v>2</v>
      </c>
      <c r="P291" t="s">
        <v>53</v>
      </c>
      <c r="Q291" t="s">
        <v>53</v>
      </c>
      <c r="R291" t="s">
        <v>53</v>
      </c>
      <c r="S291" t="s">
        <v>53</v>
      </c>
      <c r="T291" t="s">
        <v>53</v>
      </c>
      <c r="U291" t="s">
        <v>53</v>
      </c>
      <c r="V291" t="s">
        <v>53</v>
      </c>
      <c r="W291" t="s">
        <v>53</v>
      </c>
      <c r="X291" s="22" t="s">
        <v>53</v>
      </c>
      <c r="Y291" s="22" t="s">
        <v>53</v>
      </c>
      <c r="Z291" s="22" t="s">
        <v>53</v>
      </c>
      <c r="AA291" s="22" t="s">
        <v>53</v>
      </c>
      <c r="AB291" t="s">
        <v>53</v>
      </c>
      <c r="AC291" t="s">
        <v>53</v>
      </c>
      <c r="AD291" t="s">
        <v>53</v>
      </c>
      <c r="AE291" t="s">
        <v>53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9</v>
      </c>
      <c r="AK291">
        <v>7</v>
      </c>
      <c r="AL291">
        <v>6</v>
      </c>
      <c r="AM291">
        <v>3</v>
      </c>
      <c r="AN291" s="22">
        <v>0</v>
      </c>
      <c r="AO291" s="22">
        <v>0</v>
      </c>
      <c r="AP291" s="22">
        <v>0</v>
      </c>
      <c r="AQ291" s="22">
        <v>0</v>
      </c>
      <c r="AR291" s="35">
        <v>0</v>
      </c>
      <c r="AS291" s="35">
        <v>0</v>
      </c>
      <c r="AT291" s="35">
        <v>2</v>
      </c>
      <c r="AU291" s="31" t="str">
        <f t="shared" si="8"/>
        <v>库存为2</v>
      </c>
      <c r="AV291" s="36" t="str">
        <f>IFERROR(时间!$B$4+AU291,"上周无销量")</f>
        <v>上周无销量</v>
      </c>
    </row>
    <row r="292" spans="1:48">
      <c r="A292" s="20" t="s">
        <v>686</v>
      </c>
      <c r="B292" t="s">
        <v>687</v>
      </c>
      <c r="C292" t="s">
        <v>688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0</v>
      </c>
      <c r="AK292">
        <v>0</v>
      </c>
      <c r="AL292">
        <v>0</v>
      </c>
      <c r="AM292">
        <v>0</v>
      </c>
      <c r="AN292" s="22" t="s">
        <v>53</v>
      </c>
      <c r="AO292" s="22" t="s">
        <v>53</v>
      </c>
      <c r="AP292" s="22" t="s">
        <v>53</v>
      </c>
      <c r="AQ292" s="22" t="s">
        <v>53</v>
      </c>
      <c r="AR292" s="35">
        <v>0</v>
      </c>
      <c r="AS292" s="35">
        <v>0</v>
      </c>
      <c r="AT292" s="35">
        <v>0</v>
      </c>
      <c r="AU292" s="31" t="str">
        <f t="shared" si="8"/>
        <v>库存为0</v>
      </c>
      <c r="AV292" s="36" t="str">
        <f>IFERROR(时间!$B$4+AU292,"上周无销量")</f>
        <v>上周无销量</v>
      </c>
    </row>
    <row r="293" spans="1:48">
      <c r="A293" s="20" t="s">
        <v>689</v>
      </c>
      <c r="B293" t="s">
        <v>690</v>
      </c>
      <c r="C293" t="s">
        <v>688</v>
      </c>
      <c r="D293" s="31">
        <v>6</v>
      </c>
      <c r="E293" s="31">
        <v>2</v>
      </c>
      <c r="F293" s="31">
        <v>1</v>
      </c>
      <c r="G293" s="31">
        <v>0</v>
      </c>
      <c r="H293" s="32">
        <v>9.9</v>
      </c>
      <c r="I293">
        <v>6</v>
      </c>
      <c r="J293" s="33">
        <v>0</v>
      </c>
      <c r="K293" s="33">
        <v>0</v>
      </c>
      <c r="L293" s="33">
        <v>0</v>
      </c>
      <c r="M293">
        <v>6</v>
      </c>
      <c r="N293">
        <v>0</v>
      </c>
      <c r="O293">
        <v>0</v>
      </c>
      <c r="P293" t="s">
        <v>53</v>
      </c>
      <c r="Q293" t="s">
        <v>53</v>
      </c>
      <c r="R293" t="s">
        <v>53</v>
      </c>
      <c r="S293" t="s">
        <v>53</v>
      </c>
      <c r="T293" t="s">
        <v>53</v>
      </c>
      <c r="U293" t="s">
        <v>53</v>
      </c>
      <c r="V293" t="s">
        <v>53</v>
      </c>
      <c r="W293" t="s">
        <v>53</v>
      </c>
      <c r="X293" s="22" t="s">
        <v>53</v>
      </c>
      <c r="Y293" s="22" t="s">
        <v>53</v>
      </c>
      <c r="Z293" s="22" t="s">
        <v>53</v>
      </c>
      <c r="AA293" s="22" t="s">
        <v>53</v>
      </c>
      <c r="AB293" t="s">
        <v>53</v>
      </c>
      <c r="AC293" t="s">
        <v>53</v>
      </c>
      <c r="AD293" t="s">
        <v>53</v>
      </c>
      <c r="AE293" t="s">
        <v>53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28</v>
      </c>
      <c r="AK293">
        <v>21</v>
      </c>
      <c r="AL293">
        <v>22</v>
      </c>
      <c r="AM293">
        <v>22</v>
      </c>
      <c r="AN293" s="22">
        <v>0.214285714285714</v>
      </c>
      <c r="AO293" s="22">
        <v>0.0952380952380952</v>
      </c>
      <c r="AP293" s="22">
        <v>0.0454545454545455</v>
      </c>
      <c r="AQ293" s="22">
        <v>0</v>
      </c>
      <c r="AR293" s="35">
        <v>0.857142857142857</v>
      </c>
      <c r="AS293" s="35">
        <v>51.4285714285714</v>
      </c>
      <c r="AT293" s="35">
        <v>-45.4285714285714</v>
      </c>
      <c r="AU293" s="31">
        <f t="shared" si="8"/>
        <v>7</v>
      </c>
      <c r="AV293" s="36">
        <f>IFERROR(时间!$B$4+AU293,"上周无销量")</f>
        <v>43325</v>
      </c>
    </row>
    <row r="294" spans="1:48">
      <c r="A294" s="20" t="s">
        <v>691</v>
      </c>
      <c r="B294" t="s">
        <v>692</v>
      </c>
      <c r="C294" t="s">
        <v>693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0</v>
      </c>
      <c r="AK294">
        <v>0</v>
      </c>
      <c r="AL294">
        <v>0</v>
      </c>
      <c r="AM294">
        <v>0</v>
      </c>
      <c r="AN294" s="22" t="s">
        <v>53</v>
      </c>
      <c r="AO294" s="22" t="s">
        <v>53</v>
      </c>
      <c r="AP294" s="22" t="s">
        <v>53</v>
      </c>
      <c r="AQ294" s="22" t="s">
        <v>53</v>
      </c>
      <c r="AR294" s="35">
        <v>0</v>
      </c>
      <c r="AS294" s="35">
        <v>0</v>
      </c>
      <c r="AT294" s="35">
        <v>0</v>
      </c>
      <c r="AU294" s="31" t="str">
        <f t="shared" si="8"/>
        <v>库存为0</v>
      </c>
      <c r="AV294" s="36" t="str">
        <f>IFERROR(时间!$B$4+AU294,"上周无销量")</f>
        <v>上周无销量</v>
      </c>
    </row>
    <row r="295" spans="1:48">
      <c r="A295" s="20" t="s">
        <v>694</v>
      </c>
      <c r="B295" t="s">
        <v>695</v>
      </c>
      <c r="C295" t="s">
        <v>696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3</v>
      </c>
      <c r="J295" s="33">
        <v>0</v>
      </c>
      <c r="K295" s="33">
        <v>0</v>
      </c>
      <c r="L295" s="33">
        <v>0</v>
      </c>
      <c r="M295">
        <v>3</v>
      </c>
      <c r="N295">
        <v>0</v>
      </c>
      <c r="O295">
        <v>3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4</v>
      </c>
      <c r="AK295">
        <v>3</v>
      </c>
      <c r="AL295">
        <v>7</v>
      </c>
      <c r="AM295">
        <v>3</v>
      </c>
      <c r="AN295" s="22">
        <v>0</v>
      </c>
      <c r="AO295" s="22">
        <v>0</v>
      </c>
      <c r="AP295" s="22">
        <v>0</v>
      </c>
      <c r="AQ295" s="22">
        <v>0</v>
      </c>
      <c r="AR295" s="35">
        <v>0</v>
      </c>
      <c r="AS295" s="35">
        <v>0</v>
      </c>
      <c r="AT295" s="35">
        <v>3</v>
      </c>
      <c r="AU295" s="31" t="str">
        <f t="shared" si="8"/>
        <v>库存为3</v>
      </c>
      <c r="AV295" s="36" t="str">
        <f>IFERROR(时间!$B$4+AU295,"上周无销量")</f>
        <v>上周无销量</v>
      </c>
    </row>
    <row r="296" spans="1:48">
      <c r="A296" s="20" t="s">
        <v>697</v>
      </c>
      <c r="B296" t="s">
        <v>698</v>
      </c>
      <c r="C296" t="s">
        <v>696</v>
      </c>
      <c r="D296" s="31">
        <v>0</v>
      </c>
      <c r="E296" s="31">
        <v>0</v>
      </c>
      <c r="F296" s="31">
        <v>1</v>
      </c>
      <c r="G296" s="31">
        <v>1</v>
      </c>
      <c r="H296" s="32">
        <v>29.9</v>
      </c>
      <c r="I296">
        <v>1</v>
      </c>
      <c r="J296" s="33">
        <v>0</v>
      </c>
      <c r="K296" s="33">
        <v>0</v>
      </c>
      <c r="L296" s="33">
        <v>0</v>
      </c>
      <c r="M296">
        <v>1</v>
      </c>
      <c r="N296">
        <v>0</v>
      </c>
      <c r="O296">
        <v>0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10</v>
      </c>
      <c r="AK296">
        <v>0</v>
      </c>
      <c r="AL296">
        <v>3</v>
      </c>
      <c r="AM296">
        <v>6</v>
      </c>
      <c r="AN296" s="22">
        <v>0</v>
      </c>
      <c r="AO296" s="22" t="s">
        <v>53</v>
      </c>
      <c r="AP296" s="22">
        <v>0.333333333333333</v>
      </c>
      <c r="AQ296" s="22">
        <v>0.166666666666667</v>
      </c>
      <c r="AR296" s="35">
        <v>0</v>
      </c>
      <c r="AS296" s="35">
        <v>0</v>
      </c>
      <c r="AT296" s="35">
        <v>1</v>
      </c>
      <c r="AU296" s="31" t="str">
        <f t="shared" si="8"/>
        <v>库存为1</v>
      </c>
      <c r="AV296" s="36" t="str">
        <f>IFERROR(时间!$B$4+AU296,"上周无销量")</f>
        <v>上周无销量</v>
      </c>
    </row>
    <row r="297" spans="1:48">
      <c r="A297" s="20" t="s">
        <v>699</v>
      </c>
      <c r="B297" t="s">
        <v>700</v>
      </c>
      <c r="C297" t="s">
        <v>696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6</v>
      </c>
      <c r="J297" s="33">
        <v>0</v>
      </c>
      <c r="K297" s="33">
        <v>0</v>
      </c>
      <c r="L297" s="33">
        <v>0</v>
      </c>
      <c r="M297">
        <v>6</v>
      </c>
      <c r="N297">
        <v>0</v>
      </c>
      <c r="O297">
        <v>6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18</v>
      </c>
      <c r="AK297">
        <v>17</v>
      </c>
      <c r="AL297">
        <v>10</v>
      </c>
      <c r="AM297">
        <v>7</v>
      </c>
      <c r="AN297" s="22">
        <v>0</v>
      </c>
      <c r="AO297" s="22">
        <v>0</v>
      </c>
      <c r="AP297" s="22">
        <v>0</v>
      </c>
      <c r="AQ297" s="22">
        <v>0</v>
      </c>
      <c r="AR297" s="35">
        <v>0</v>
      </c>
      <c r="AS297" s="35">
        <v>0</v>
      </c>
      <c r="AT297" s="35">
        <v>6</v>
      </c>
      <c r="AU297" s="31" t="str">
        <f t="shared" si="8"/>
        <v>库存为6</v>
      </c>
      <c r="AV297" s="36" t="str">
        <f>IFERROR(时间!$B$4+AU297,"上周无销量")</f>
        <v>上周无销量</v>
      </c>
    </row>
    <row r="298" spans="1:48">
      <c r="A298" s="20" t="s">
        <v>701</v>
      </c>
      <c r="B298" t="s">
        <v>702</v>
      </c>
      <c r="C298" t="s">
        <v>696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9</v>
      </c>
      <c r="J298" s="33">
        <v>0</v>
      </c>
      <c r="K298" s="33">
        <v>0</v>
      </c>
      <c r="L298" s="33">
        <v>0</v>
      </c>
      <c r="M298">
        <v>9</v>
      </c>
      <c r="N298">
        <v>0</v>
      </c>
      <c r="O298">
        <v>9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2</v>
      </c>
      <c r="AK298">
        <v>3</v>
      </c>
      <c r="AL298">
        <v>5</v>
      </c>
      <c r="AM298">
        <v>2</v>
      </c>
      <c r="AN298" s="22">
        <v>0</v>
      </c>
      <c r="AO298" s="22">
        <v>0</v>
      </c>
      <c r="AP298" s="22">
        <v>0</v>
      </c>
      <c r="AQ298" s="22">
        <v>0</v>
      </c>
      <c r="AR298" s="35">
        <v>0</v>
      </c>
      <c r="AS298" s="35">
        <v>0</v>
      </c>
      <c r="AT298" s="35">
        <v>9</v>
      </c>
      <c r="AU298" s="31" t="str">
        <f t="shared" si="8"/>
        <v>库存为9</v>
      </c>
      <c r="AV298" s="36" t="str">
        <f>IFERROR(时间!$B$4+AU298,"上周无销量")</f>
        <v>上周无销量</v>
      </c>
    </row>
    <row r="299" spans="1:48">
      <c r="A299" s="20" t="s">
        <v>703</v>
      </c>
      <c r="B299" t="s">
        <v>704</v>
      </c>
      <c r="C299" t="s">
        <v>705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0</v>
      </c>
      <c r="AK299">
        <v>0</v>
      </c>
      <c r="AL299">
        <v>0</v>
      </c>
      <c r="AM299">
        <v>0</v>
      </c>
      <c r="AN299" s="22" t="s">
        <v>53</v>
      </c>
      <c r="AO299" s="22" t="s">
        <v>53</v>
      </c>
      <c r="AP299" s="22" t="s">
        <v>53</v>
      </c>
      <c r="AQ299" s="22" t="s">
        <v>53</v>
      </c>
      <c r="AR299" s="35">
        <v>0</v>
      </c>
      <c r="AS299" s="35">
        <v>0</v>
      </c>
      <c r="AT299" s="35">
        <v>0</v>
      </c>
      <c r="AU299" s="31" t="str">
        <f t="shared" si="8"/>
        <v>库存为0</v>
      </c>
      <c r="AV299" s="36" t="str">
        <f>IFERROR(时间!$B$4+AU299,"上周无销量")</f>
        <v>上周无销量</v>
      </c>
    </row>
    <row r="300" spans="1:48">
      <c r="A300" s="20" t="s">
        <v>706</v>
      </c>
      <c r="B300" t="s">
        <v>707</v>
      </c>
      <c r="C300" t="s">
        <v>708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7</v>
      </c>
      <c r="J300" s="33">
        <v>0</v>
      </c>
      <c r="K300" s="33">
        <v>0</v>
      </c>
      <c r="L300" s="33">
        <v>0</v>
      </c>
      <c r="M300">
        <v>7</v>
      </c>
      <c r="N300">
        <v>0</v>
      </c>
      <c r="O300">
        <v>7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3</v>
      </c>
      <c r="AK300">
        <v>1</v>
      </c>
      <c r="AL300">
        <v>7</v>
      </c>
      <c r="AM300">
        <v>3</v>
      </c>
      <c r="AN300" s="22">
        <v>0</v>
      </c>
      <c r="AO300" s="22">
        <v>0</v>
      </c>
      <c r="AP300" s="22">
        <v>0</v>
      </c>
      <c r="AQ300" s="22">
        <v>0</v>
      </c>
      <c r="AR300" s="35">
        <v>0</v>
      </c>
      <c r="AS300" s="35">
        <v>0</v>
      </c>
      <c r="AT300" s="35">
        <v>7</v>
      </c>
      <c r="AU300" s="31" t="str">
        <f t="shared" si="8"/>
        <v>库存为7</v>
      </c>
      <c r="AV300" s="36" t="str">
        <f>IFERROR(时间!$B$4+AU300,"上周无销量")</f>
        <v>上周无销量</v>
      </c>
    </row>
    <row r="301" spans="1:48">
      <c r="A301" s="20" t="s">
        <v>709</v>
      </c>
      <c r="B301" t="s">
        <v>710</v>
      </c>
      <c r="C301" t="s">
        <v>708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10</v>
      </c>
      <c r="J301" s="33">
        <v>0</v>
      </c>
      <c r="K301" s="33">
        <v>0</v>
      </c>
      <c r="L301" s="33">
        <v>0</v>
      </c>
      <c r="M301">
        <v>10</v>
      </c>
      <c r="N301">
        <v>0</v>
      </c>
      <c r="O301">
        <v>10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3</v>
      </c>
      <c r="AK301">
        <v>4</v>
      </c>
      <c r="AL301">
        <v>7</v>
      </c>
      <c r="AM301">
        <v>3</v>
      </c>
      <c r="AN301" s="22">
        <v>0</v>
      </c>
      <c r="AO301" s="22">
        <v>0</v>
      </c>
      <c r="AP301" s="22">
        <v>0</v>
      </c>
      <c r="AQ301" s="22">
        <v>0</v>
      </c>
      <c r="AR301" s="35">
        <v>0</v>
      </c>
      <c r="AS301" s="35">
        <v>0</v>
      </c>
      <c r="AT301" s="35">
        <v>10</v>
      </c>
      <c r="AU301" s="31" t="str">
        <f t="shared" si="8"/>
        <v>库存为10</v>
      </c>
      <c r="AV301" s="36" t="str">
        <f>IFERROR(时间!$B$4+AU301,"上周无销量")</f>
        <v>上周无销量</v>
      </c>
    </row>
    <row r="302" spans="1:48">
      <c r="A302" s="20" t="s">
        <v>711</v>
      </c>
      <c r="B302" t="s">
        <v>712</v>
      </c>
      <c r="C302" t="s">
        <v>713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0</v>
      </c>
      <c r="AK302">
        <v>0</v>
      </c>
      <c r="AL302">
        <v>0</v>
      </c>
      <c r="AM302">
        <v>0</v>
      </c>
      <c r="AN302" s="22" t="s">
        <v>53</v>
      </c>
      <c r="AO302" s="22" t="s">
        <v>53</v>
      </c>
      <c r="AP302" s="22" t="s">
        <v>53</v>
      </c>
      <c r="AQ302" s="22" t="s">
        <v>53</v>
      </c>
      <c r="AR302" s="35">
        <v>0</v>
      </c>
      <c r="AS302" s="35">
        <v>0</v>
      </c>
      <c r="AT302" s="35">
        <v>0</v>
      </c>
      <c r="AU302" s="31" t="str">
        <f t="shared" si="8"/>
        <v>库存为0</v>
      </c>
      <c r="AV302" s="36" t="str">
        <f>IFERROR(时间!$B$4+AU302,"上周无销量")</f>
        <v>上周无销量</v>
      </c>
    </row>
    <row r="303" spans="1:48">
      <c r="A303" s="20" t="s">
        <v>714</v>
      </c>
      <c r="B303" t="s">
        <v>715</v>
      </c>
      <c r="C303" t="s">
        <v>713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53</v>
      </c>
      <c r="Q303" t="s">
        <v>53</v>
      </c>
      <c r="R303" t="s">
        <v>53</v>
      </c>
      <c r="S303" t="s">
        <v>53</v>
      </c>
      <c r="T303" t="s">
        <v>53</v>
      </c>
      <c r="U303" t="s">
        <v>53</v>
      </c>
      <c r="V303" t="s">
        <v>53</v>
      </c>
      <c r="W303" t="s">
        <v>53</v>
      </c>
      <c r="X303" s="22" t="s">
        <v>53</v>
      </c>
      <c r="Y303" s="22" t="s">
        <v>53</v>
      </c>
      <c r="Z303" s="22" t="s">
        <v>53</v>
      </c>
      <c r="AA303" s="22" t="s">
        <v>53</v>
      </c>
      <c r="AB303" t="s">
        <v>53</v>
      </c>
      <c r="AC303" t="s">
        <v>53</v>
      </c>
      <c r="AD303" t="s">
        <v>53</v>
      </c>
      <c r="AE303" t="s">
        <v>53</v>
      </c>
      <c r="AF303" s="22" t="s">
        <v>53</v>
      </c>
      <c r="AG303" s="22" t="s">
        <v>53</v>
      </c>
      <c r="AH303" s="22" t="s">
        <v>53</v>
      </c>
      <c r="AI303" s="22" t="s">
        <v>53</v>
      </c>
      <c r="AJ303">
        <v>0</v>
      </c>
      <c r="AK303">
        <v>0</v>
      </c>
      <c r="AL303">
        <v>0</v>
      </c>
      <c r="AM303">
        <v>0</v>
      </c>
      <c r="AN303" s="22" t="s">
        <v>53</v>
      </c>
      <c r="AO303" s="22" t="s">
        <v>53</v>
      </c>
      <c r="AP303" s="22" t="s">
        <v>53</v>
      </c>
      <c r="AQ303" s="22" t="s">
        <v>53</v>
      </c>
      <c r="AR303" s="35">
        <v>0</v>
      </c>
      <c r="AS303" s="35">
        <v>0</v>
      </c>
      <c r="AT303" s="35">
        <v>0</v>
      </c>
      <c r="AU303" s="31" t="str">
        <f t="shared" si="8"/>
        <v>库存为0</v>
      </c>
      <c r="AV303" s="36" t="str">
        <f>IFERROR(时间!$B$4+AU303,"上周无销量")</f>
        <v>上周无销量</v>
      </c>
    </row>
    <row r="304" spans="1:48">
      <c r="A304" s="20" t="s">
        <v>716</v>
      </c>
      <c r="B304" t="s">
        <v>717</v>
      </c>
      <c r="C304" t="s">
        <v>718</v>
      </c>
      <c r="D304" s="31">
        <v>1</v>
      </c>
      <c r="E304" s="31">
        <v>0</v>
      </c>
      <c r="F304" s="31">
        <v>0</v>
      </c>
      <c r="G304" s="31">
        <v>0</v>
      </c>
      <c r="H304" s="32">
        <v>22.7</v>
      </c>
      <c r="I304">
        <v>3</v>
      </c>
      <c r="J304" s="33">
        <v>0</v>
      </c>
      <c r="K304" s="33">
        <v>0</v>
      </c>
      <c r="L304" s="33">
        <v>0</v>
      </c>
      <c r="M304">
        <v>3</v>
      </c>
      <c r="N304">
        <v>0</v>
      </c>
      <c r="O304">
        <v>2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2</v>
      </c>
      <c r="AK304">
        <v>7</v>
      </c>
      <c r="AL304">
        <v>1</v>
      </c>
      <c r="AM304">
        <v>6</v>
      </c>
      <c r="AN304" s="22">
        <v>0.5</v>
      </c>
      <c r="AO304" s="22">
        <v>0</v>
      </c>
      <c r="AP304" s="22">
        <v>0</v>
      </c>
      <c r="AQ304" s="22">
        <v>0</v>
      </c>
      <c r="AR304" s="35">
        <v>0.142857142857143</v>
      </c>
      <c r="AS304" s="35">
        <v>8.57142857142857</v>
      </c>
      <c r="AT304" s="35">
        <v>-5.57142857142857</v>
      </c>
      <c r="AU304" s="31">
        <f t="shared" si="8"/>
        <v>21</v>
      </c>
      <c r="AV304" s="36">
        <f>IFERROR(时间!$B$4+AU304,"上周无销量")</f>
        <v>43339</v>
      </c>
    </row>
    <row r="305" spans="1:48">
      <c r="A305" s="20" t="s">
        <v>719</v>
      </c>
      <c r="B305" t="s">
        <v>720</v>
      </c>
      <c r="C305" t="s">
        <v>718</v>
      </c>
      <c r="D305" s="31">
        <v>0</v>
      </c>
      <c r="E305" s="31">
        <v>1</v>
      </c>
      <c r="F305" s="31">
        <v>0</v>
      </c>
      <c r="G305" s="31">
        <v>1</v>
      </c>
      <c r="H305" s="32">
        <v>22.7</v>
      </c>
      <c r="I305">
        <v>2</v>
      </c>
      <c r="J305" s="33">
        <v>0</v>
      </c>
      <c r="K305" s="33">
        <v>0</v>
      </c>
      <c r="L305" s="33">
        <v>0</v>
      </c>
      <c r="M305">
        <v>2</v>
      </c>
      <c r="N305">
        <v>0</v>
      </c>
      <c r="O305">
        <v>1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4</v>
      </c>
      <c r="AK305">
        <v>6</v>
      </c>
      <c r="AL305">
        <v>3</v>
      </c>
      <c r="AM305">
        <v>5</v>
      </c>
      <c r="AN305" s="22">
        <v>0</v>
      </c>
      <c r="AO305" s="22">
        <v>0.166666666666667</v>
      </c>
      <c r="AP305" s="22">
        <v>0</v>
      </c>
      <c r="AQ305" s="22">
        <v>0.2</v>
      </c>
      <c r="AR305" s="35">
        <v>0</v>
      </c>
      <c r="AS305" s="35">
        <v>0</v>
      </c>
      <c r="AT305" s="35">
        <v>2</v>
      </c>
      <c r="AU305" s="31" t="str">
        <f t="shared" si="8"/>
        <v>库存为2</v>
      </c>
      <c r="AV305" s="36" t="str">
        <f>IFERROR(时间!$B$4+AU305,"上周无销量")</f>
        <v>上周无销量</v>
      </c>
    </row>
    <row r="306" spans="1:48">
      <c r="A306" s="20" t="s">
        <v>721</v>
      </c>
      <c r="B306" t="s">
        <v>722</v>
      </c>
      <c r="C306" t="s">
        <v>718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3</v>
      </c>
      <c r="AK306">
        <v>7</v>
      </c>
      <c r="AL306">
        <v>1</v>
      </c>
      <c r="AM306">
        <v>3</v>
      </c>
      <c r="AN306" s="22">
        <v>0</v>
      </c>
      <c r="AO306" s="22">
        <v>0</v>
      </c>
      <c r="AP306" s="22">
        <v>0</v>
      </c>
      <c r="AQ306" s="22">
        <v>0</v>
      </c>
      <c r="AR306" s="35">
        <v>0</v>
      </c>
      <c r="AS306" s="35">
        <v>0</v>
      </c>
      <c r="AT306" s="35">
        <v>0</v>
      </c>
      <c r="AU306" s="31" t="str">
        <f t="shared" si="8"/>
        <v>库存为0</v>
      </c>
      <c r="AV306" s="36" t="str">
        <f>IFERROR(时间!$B$4+AU306,"上周无销量")</f>
        <v>上周无销量</v>
      </c>
    </row>
    <row r="307" spans="1:48">
      <c r="A307" s="20" t="s">
        <v>723</v>
      </c>
      <c r="B307" t="s">
        <v>724</v>
      </c>
      <c r="C307" t="s">
        <v>718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6</v>
      </c>
      <c r="J307" s="33">
        <v>0</v>
      </c>
      <c r="K307" s="33">
        <v>0</v>
      </c>
      <c r="L307" s="33">
        <v>0</v>
      </c>
      <c r="M307">
        <v>6</v>
      </c>
      <c r="N307">
        <v>0</v>
      </c>
      <c r="O307">
        <v>5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14</v>
      </c>
      <c r="AK307">
        <v>12</v>
      </c>
      <c r="AL307">
        <v>12</v>
      </c>
      <c r="AM307">
        <v>17</v>
      </c>
      <c r="AN307" s="22">
        <v>0</v>
      </c>
      <c r="AO307" s="22">
        <v>0</v>
      </c>
      <c r="AP307" s="22">
        <v>0</v>
      </c>
      <c r="AQ307" s="22">
        <v>0</v>
      </c>
      <c r="AR307" s="35">
        <v>0</v>
      </c>
      <c r="AS307" s="35">
        <v>0</v>
      </c>
      <c r="AT307" s="35">
        <v>6</v>
      </c>
      <c r="AU307" s="31" t="str">
        <f t="shared" si="8"/>
        <v>库存为6</v>
      </c>
      <c r="AV307" s="36" t="str">
        <f>IFERROR(时间!$B$4+AU307,"上周无销量")</f>
        <v>上周无销量</v>
      </c>
    </row>
    <row r="308" spans="1:48">
      <c r="A308" s="20" t="s">
        <v>725</v>
      </c>
      <c r="B308" t="s">
        <v>726</v>
      </c>
      <c r="C308" t="s">
        <v>718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0</v>
      </c>
      <c r="AK308">
        <v>0</v>
      </c>
      <c r="AL308">
        <v>0</v>
      </c>
      <c r="AM308">
        <v>0</v>
      </c>
      <c r="AN308" s="22" t="s">
        <v>53</v>
      </c>
      <c r="AO308" s="22" t="s">
        <v>53</v>
      </c>
      <c r="AP308" s="22" t="s">
        <v>53</v>
      </c>
      <c r="AQ308" s="22" t="s">
        <v>53</v>
      </c>
      <c r="AR308" s="35">
        <v>0</v>
      </c>
      <c r="AS308" s="35">
        <v>0</v>
      </c>
      <c r="AT308" s="35">
        <v>0</v>
      </c>
      <c r="AU308" s="31" t="str">
        <f t="shared" si="8"/>
        <v>库存为0</v>
      </c>
      <c r="AV308" s="36" t="str">
        <f>IFERROR(时间!$B$4+AU308,"上周无销量")</f>
        <v>上周无销量</v>
      </c>
    </row>
    <row r="309" spans="1:48">
      <c r="A309" s="20" t="s">
        <v>727</v>
      </c>
      <c r="B309" t="s">
        <v>728</v>
      </c>
      <c r="C309" t="s">
        <v>718</v>
      </c>
      <c r="D309" s="31">
        <v>1</v>
      </c>
      <c r="E309" s="31">
        <v>0</v>
      </c>
      <c r="F309" s="31">
        <v>0</v>
      </c>
      <c r="G309" s="31">
        <v>0</v>
      </c>
      <c r="H309" s="32">
        <v>22.7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53</v>
      </c>
      <c r="Q309" t="s">
        <v>53</v>
      </c>
      <c r="R309" t="s">
        <v>53</v>
      </c>
      <c r="S309" t="s">
        <v>53</v>
      </c>
      <c r="T309" t="s">
        <v>53</v>
      </c>
      <c r="U309" t="s">
        <v>53</v>
      </c>
      <c r="V309" t="s">
        <v>53</v>
      </c>
      <c r="W309" t="s">
        <v>53</v>
      </c>
      <c r="X309" s="22" t="s">
        <v>53</v>
      </c>
      <c r="Y309" s="22" t="s">
        <v>53</v>
      </c>
      <c r="Z309" s="22" t="s">
        <v>53</v>
      </c>
      <c r="AA309" s="22" t="s">
        <v>53</v>
      </c>
      <c r="AB309" t="s">
        <v>53</v>
      </c>
      <c r="AC309" t="s">
        <v>53</v>
      </c>
      <c r="AD309" t="s">
        <v>53</v>
      </c>
      <c r="AE309" t="s">
        <v>53</v>
      </c>
      <c r="AF309" s="22" t="s">
        <v>53</v>
      </c>
      <c r="AG309" s="22" t="s">
        <v>53</v>
      </c>
      <c r="AH309" s="22" t="s">
        <v>53</v>
      </c>
      <c r="AI309" s="22" t="s">
        <v>53</v>
      </c>
      <c r="AJ309">
        <v>4</v>
      </c>
      <c r="AK309">
        <v>6</v>
      </c>
      <c r="AL309">
        <v>2</v>
      </c>
      <c r="AM309">
        <v>6</v>
      </c>
      <c r="AN309" s="22">
        <v>0.25</v>
      </c>
      <c r="AO309" s="22">
        <v>0</v>
      </c>
      <c r="AP309" s="22">
        <v>0</v>
      </c>
      <c r="AQ309" s="22">
        <v>0</v>
      </c>
      <c r="AR309" s="35">
        <v>0.142857142857143</v>
      </c>
      <c r="AS309" s="35">
        <v>8.57142857142857</v>
      </c>
      <c r="AT309" s="35">
        <v>-8.57142857142857</v>
      </c>
      <c r="AU309" s="31">
        <f t="shared" si="8"/>
        <v>0</v>
      </c>
      <c r="AV309" s="36">
        <f>IFERROR(时间!$B$4+AU309,"上周无销量")</f>
        <v>43318</v>
      </c>
    </row>
    <row r="310" spans="1:48">
      <c r="A310" s="20" t="s">
        <v>729</v>
      </c>
      <c r="B310" t="s">
        <v>730</v>
      </c>
      <c r="C310" t="s">
        <v>731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0</v>
      </c>
      <c r="AK310">
        <v>0</v>
      </c>
      <c r="AL310">
        <v>0</v>
      </c>
      <c r="AM310">
        <v>0</v>
      </c>
      <c r="AN310" s="22" t="s">
        <v>53</v>
      </c>
      <c r="AO310" s="22" t="s">
        <v>53</v>
      </c>
      <c r="AP310" s="22" t="s">
        <v>53</v>
      </c>
      <c r="AQ310" s="22" t="s">
        <v>53</v>
      </c>
      <c r="AR310" s="35">
        <v>0</v>
      </c>
      <c r="AS310" s="35">
        <v>0</v>
      </c>
      <c r="AT310" s="35">
        <v>0</v>
      </c>
      <c r="AU310" s="31" t="str">
        <f t="shared" si="8"/>
        <v>库存为0</v>
      </c>
      <c r="AV310" s="36" t="str">
        <f>IFERROR(时间!$B$4+AU310,"上周无销量")</f>
        <v>上周无销量</v>
      </c>
    </row>
    <row r="311" spans="1:48">
      <c r="A311" s="20" t="s">
        <v>732</v>
      </c>
      <c r="B311" t="s">
        <v>733</v>
      </c>
      <c r="C311" t="s">
        <v>732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4</v>
      </c>
      <c r="J311" s="33">
        <v>0</v>
      </c>
      <c r="K311" s="33">
        <v>0</v>
      </c>
      <c r="L311" s="33">
        <v>0</v>
      </c>
      <c r="M311">
        <v>4</v>
      </c>
      <c r="N311">
        <v>0</v>
      </c>
      <c r="O311">
        <v>4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1</v>
      </c>
      <c r="AK311">
        <v>4</v>
      </c>
      <c r="AL311">
        <v>2</v>
      </c>
      <c r="AM311">
        <v>5</v>
      </c>
      <c r="AN311" s="22">
        <v>0</v>
      </c>
      <c r="AO311" s="22">
        <v>0</v>
      </c>
      <c r="AP311" s="22">
        <v>0</v>
      </c>
      <c r="AQ311" s="22">
        <v>0</v>
      </c>
      <c r="AR311" s="35">
        <v>0</v>
      </c>
      <c r="AS311" s="35">
        <v>0</v>
      </c>
      <c r="AT311" s="35">
        <v>4</v>
      </c>
      <c r="AU311" s="31" t="str">
        <f t="shared" si="8"/>
        <v>库存为4</v>
      </c>
      <c r="AV311" s="36" t="str">
        <f>IFERROR(时间!$B$4+AU311,"上周无销量")</f>
        <v>上周无销量</v>
      </c>
    </row>
    <row r="312" spans="1:48">
      <c r="A312" s="20" t="s">
        <v>734</v>
      </c>
      <c r="B312" t="s">
        <v>735</v>
      </c>
      <c r="C312" t="s">
        <v>734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1</v>
      </c>
      <c r="J312" s="33">
        <v>0</v>
      </c>
      <c r="K312" s="33">
        <v>0</v>
      </c>
      <c r="L312" s="33">
        <v>0</v>
      </c>
      <c r="M312">
        <v>1</v>
      </c>
      <c r="N312">
        <v>0</v>
      </c>
      <c r="O312">
        <v>1</v>
      </c>
      <c r="P312" t="s">
        <v>53</v>
      </c>
      <c r="Q312" t="s">
        <v>53</v>
      </c>
      <c r="R312" t="s">
        <v>53</v>
      </c>
      <c r="S312" t="s">
        <v>53</v>
      </c>
      <c r="T312" t="s">
        <v>53</v>
      </c>
      <c r="U312" t="s">
        <v>53</v>
      </c>
      <c r="V312" t="s">
        <v>53</v>
      </c>
      <c r="W312" t="s">
        <v>53</v>
      </c>
      <c r="X312" s="22" t="s">
        <v>53</v>
      </c>
      <c r="Y312" s="22" t="s">
        <v>53</v>
      </c>
      <c r="Z312" s="22" t="s">
        <v>53</v>
      </c>
      <c r="AA312" s="22" t="s">
        <v>53</v>
      </c>
      <c r="AB312" t="s">
        <v>53</v>
      </c>
      <c r="AC312" t="s">
        <v>53</v>
      </c>
      <c r="AD312" t="s">
        <v>53</v>
      </c>
      <c r="AE312" t="s">
        <v>53</v>
      </c>
      <c r="AF312" s="22" t="s">
        <v>53</v>
      </c>
      <c r="AG312" s="22" t="s">
        <v>53</v>
      </c>
      <c r="AH312" s="22" t="s">
        <v>53</v>
      </c>
      <c r="AI312" s="22" t="s">
        <v>53</v>
      </c>
      <c r="AJ312">
        <v>3</v>
      </c>
      <c r="AK312">
        <v>5</v>
      </c>
      <c r="AL312">
        <v>4</v>
      </c>
      <c r="AM312">
        <v>6</v>
      </c>
      <c r="AN312" s="22">
        <v>0</v>
      </c>
      <c r="AO312" s="22">
        <v>0</v>
      </c>
      <c r="AP312" s="22">
        <v>0</v>
      </c>
      <c r="AQ312" s="22">
        <v>0</v>
      </c>
      <c r="AR312" s="35">
        <v>0</v>
      </c>
      <c r="AS312" s="35">
        <v>0</v>
      </c>
      <c r="AT312" s="35">
        <v>1</v>
      </c>
      <c r="AU312" s="31" t="str">
        <f t="shared" si="8"/>
        <v>库存为1</v>
      </c>
      <c r="AV312" s="36" t="str">
        <f>IFERROR(时间!$B$4+AU312,"上周无销量")</f>
        <v>上周无销量</v>
      </c>
    </row>
    <row r="313" spans="1:48">
      <c r="A313" s="20" t="s">
        <v>736</v>
      </c>
      <c r="B313" t="s">
        <v>737</v>
      </c>
      <c r="C313" t="s">
        <v>738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4</v>
      </c>
      <c r="J313" s="33">
        <v>0</v>
      </c>
      <c r="K313" s="33">
        <v>0</v>
      </c>
      <c r="L313" s="33">
        <v>0</v>
      </c>
      <c r="M313">
        <v>4</v>
      </c>
      <c r="N313">
        <v>0</v>
      </c>
      <c r="O313">
        <v>4</v>
      </c>
      <c r="P313" t="s">
        <v>53</v>
      </c>
      <c r="Q313" t="s">
        <v>53</v>
      </c>
      <c r="R313" t="s">
        <v>53</v>
      </c>
      <c r="S313" t="s">
        <v>53</v>
      </c>
      <c r="T313" t="s">
        <v>53</v>
      </c>
      <c r="U313" t="s">
        <v>53</v>
      </c>
      <c r="V313" t="s">
        <v>53</v>
      </c>
      <c r="W313" t="s">
        <v>53</v>
      </c>
      <c r="X313" s="22" t="s">
        <v>53</v>
      </c>
      <c r="Y313" s="22" t="s">
        <v>53</v>
      </c>
      <c r="Z313" s="22" t="s">
        <v>53</v>
      </c>
      <c r="AA313" s="22" t="s">
        <v>53</v>
      </c>
      <c r="AB313" t="s">
        <v>53</v>
      </c>
      <c r="AC313" t="s">
        <v>53</v>
      </c>
      <c r="AD313" t="s">
        <v>53</v>
      </c>
      <c r="AE313" t="s">
        <v>53</v>
      </c>
      <c r="AF313" s="22" t="s">
        <v>53</v>
      </c>
      <c r="AG313" s="22" t="s">
        <v>53</v>
      </c>
      <c r="AH313" s="22" t="s">
        <v>53</v>
      </c>
      <c r="AI313" s="22" t="s">
        <v>53</v>
      </c>
      <c r="AJ313">
        <v>6</v>
      </c>
      <c r="AK313">
        <v>5</v>
      </c>
      <c r="AL313">
        <v>3</v>
      </c>
      <c r="AM313">
        <v>5</v>
      </c>
      <c r="AN313" s="22">
        <v>0</v>
      </c>
      <c r="AO313" s="22">
        <v>0</v>
      </c>
      <c r="AP313" s="22">
        <v>0</v>
      </c>
      <c r="AQ313" s="22">
        <v>0</v>
      </c>
      <c r="AR313" s="35">
        <v>0</v>
      </c>
      <c r="AS313" s="35">
        <v>0</v>
      </c>
      <c r="AT313" s="35">
        <v>4</v>
      </c>
      <c r="AU313" s="31" t="str">
        <f t="shared" si="8"/>
        <v>库存为4</v>
      </c>
      <c r="AV313" s="36" t="str">
        <f>IFERROR(时间!$B$4+AU313,"上周无销量")</f>
        <v>上周无销量</v>
      </c>
    </row>
    <row r="314" spans="1:48">
      <c r="A314" s="20" t="s">
        <v>739</v>
      </c>
      <c r="B314" t="s">
        <v>740</v>
      </c>
      <c r="C314" t="s">
        <v>739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0</v>
      </c>
      <c r="AK314">
        <v>0</v>
      </c>
      <c r="AL314">
        <v>0</v>
      </c>
      <c r="AM314">
        <v>0</v>
      </c>
      <c r="AN314" s="22" t="s">
        <v>53</v>
      </c>
      <c r="AO314" s="22" t="s">
        <v>53</v>
      </c>
      <c r="AP314" s="22" t="s">
        <v>53</v>
      </c>
      <c r="AQ314" s="22" t="s">
        <v>53</v>
      </c>
      <c r="AR314" s="35">
        <v>0</v>
      </c>
      <c r="AS314" s="35">
        <v>0</v>
      </c>
      <c r="AT314" s="35">
        <v>0</v>
      </c>
      <c r="AU314" s="31" t="str">
        <f t="shared" si="8"/>
        <v>库存为0</v>
      </c>
      <c r="AV314" s="36" t="str">
        <f>IFERROR(时间!$B$4+AU314,"上周无销量")</f>
        <v>上周无销量</v>
      </c>
    </row>
    <row r="315" spans="1:48">
      <c r="A315" s="20" t="s">
        <v>741</v>
      </c>
      <c r="B315" t="s">
        <v>742</v>
      </c>
      <c r="C315" t="s">
        <v>743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7</v>
      </c>
      <c r="J315" s="33">
        <v>0</v>
      </c>
      <c r="K315" s="33">
        <v>0</v>
      </c>
      <c r="L315" s="33">
        <v>0</v>
      </c>
      <c r="M315">
        <v>7</v>
      </c>
      <c r="N315">
        <v>0</v>
      </c>
      <c r="O315">
        <v>7</v>
      </c>
      <c r="P315" t="s">
        <v>53</v>
      </c>
      <c r="Q315" t="s">
        <v>53</v>
      </c>
      <c r="R315" t="s">
        <v>53</v>
      </c>
      <c r="S315" t="s">
        <v>53</v>
      </c>
      <c r="T315" t="s">
        <v>53</v>
      </c>
      <c r="U315" t="s">
        <v>53</v>
      </c>
      <c r="V315" t="s">
        <v>53</v>
      </c>
      <c r="W315" t="s">
        <v>53</v>
      </c>
      <c r="X315" s="22" t="s">
        <v>53</v>
      </c>
      <c r="Y315" s="22" t="s">
        <v>53</v>
      </c>
      <c r="Z315" s="22" t="s">
        <v>53</v>
      </c>
      <c r="AA315" s="22" t="s">
        <v>53</v>
      </c>
      <c r="AB315" t="s">
        <v>53</v>
      </c>
      <c r="AC315" t="s">
        <v>53</v>
      </c>
      <c r="AD315" t="s">
        <v>53</v>
      </c>
      <c r="AE315" t="s">
        <v>53</v>
      </c>
      <c r="AF315" s="22" t="s">
        <v>53</v>
      </c>
      <c r="AG315" s="22" t="s">
        <v>53</v>
      </c>
      <c r="AH315" s="22" t="s">
        <v>53</v>
      </c>
      <c r="AI315" s="22" t="s">
        <v>53</v>
      </c>
      <c r="AJ315">
        <v>4</v>
      </c>
      <c r="AK315">
        <v>3</v>
      </c>
      <c r="AL315">
        <v>2</v>
      </c>
      <c r="AM315">
        <v>3</v>
      </c>
      <c r="AN315" s="22">
        <v>0</v>
      </c>
      <c r="AO315" s="22">
        <v>0</v>
      </c>
      <c r="AP315" s="22">
        <v>0</v>
      </c>
      <c r="AQ315" s="22">
        <v>0</v>
      </c>
      <c r="AR315" s="35">
        <v>0</v>
      </c>
      <c r="AS315" s="35">
        <v>0</v>
      </c>
      <c r="AT315" s="35">
        <v>7</v>
      </c>
      <c r="AU315" s="31" t="str">
        <f t="shared" si="8"/>
        <v>库存为7</v>
      </c>
      <c r="AV315" s="36" t="str">
        <f>IFERROR(时间!$B$4+AU315,"上周无销量")</f>
        <v>上周无销量</v>
      </c>
    </row>
    <row r="316" spans="1:48">
      <c r="A316" s="20" t="s">
        <v>744</v>
      </c>
      <c r="B316" t="s">
        <v>745</v>
      </c>
      <c r="C316" t="s">
        <v>743</v>
      </c>
      <c r="D316" s="31">
        <v>0</v>
      </c>
      <c r="E316" s="31">
        <v>0</v>
      </c>
      <c r="F316" s="31">
        <v>1</v>
      </c>
      <c r="G316" s="31">
        <v>0</v>
      </c>
      <c r="H316" s="32">
        <v>10.99</v>
      </c>
      <c r="I316">
        <v>6</v>
      </c>
      <c r="J316" s="33">
        <v>0</v>
      </c>
      <c r="K316" s="33">
        <v>0</v>
      </c>
      <c r="L316" s="33">
        <v>0</v>
      </c>
      <c r="M316">
        <v>6</v>
      </c>
      <c r="N316">
        <v>0</v>
      </c>
      <c r="O316">
        <v>6</v>
      </c>
      <c r="P316" t="s">
        <v>53</v>
      </c>
      <c r="Q316" t="s">
        <v>53</v>
      </c>
      <c r="R316" t="s">
        <v>53</v>
      </c>
      <c r="S316" t="s">
        <v>53</v>
      </c>
      <c r="T316" t="s">
        <v>53</v>
      </c>
      <c r="U316" t="s">
        <v>53</v>
      </c>
      <c r="V316" t="s">
        <v>53</v>
      </c>
      <c r="W316" t="s">
        <v>53</v>
      </c>
      <c r="X316" s="22" t="s">
        <v>53</v>
      </c>
      <c r="Y316" s="22" t="s">
        <v>53</v>
      </c>
      <c r="Z316" s="22" t="s">
        <v>53</v>
      </c>
      <c r="AA316" s="22" t="s">
        <v>53</v>
      </c>
      <c r="AB316" t="s">
        <v>53</v>
      </c>
      <c r="AC316" t="s">
        <v>53</v>
      </c>
      <c r="AD316" t="s">
        <v>53</v>
      </c>
      <c r="AE316" t="s">
        <v>53</v>
      </c>
      <c r="AF316" s="22" t="s">
        <v>53</v>
      </c>
      <c r="AG316" s="22" t="s">
        <v>53</v>
      </c>
      <c r="AH316" s="22" t="s">
        <v>53</v>
      </c>
      <c r="AI316" s="22" t="s">
        <v>53</v>
      </c>
      <c r="AJ316">
        <v>7</v>
      </c>
      <c r="AK316">
        <v>7</v>
      </c>
      <c r="AL316">
        <v>5</v>
      </c>
      <c r="AM316">
        <v>10</v>
      </c>
      <c r="AN316" s="22">
        <v>0</v>
      </c>
      <c r="AO316" s="22">
        <v>0</v>
      </c>
      <c r="AP316" s="22">
        <v>0.2</v>
      </c>
      <c r="AQ316" s="22">
        <v>0</v>
      </c>
      <c r="AR316" s="35">
        <v>0</v>
      </c>
      <c r="AS316" s="35">
        <v>0</v>
      </c>
      <c r="AT316" s="35">
        <v>6</v>
      </c>
      <c r="AU316" s="31" t="str">
        <f t="shared" si="8"/>
        <v>库存为6</v>
      </c>
      <c r="AV316" s="36" t="str">
        <f>IFERROR(时间!$B$4+AU316,"上周无销量")</f>
        <v>上周无销量</v>
      </c>
    </row>
    <row r="317" spans="1:48">
      <c r="A317" s="20" t="s">
        <v>746</v>
      </c>
      <c r="B317" t="s">
        <v>747</v>
      </c>
      <c r="C317" t="s">
        <v>748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28</v>
      </c>
      <c r="J317" s="33">
        <v>0</v>
      </c>
      <c r="K317" s="33">
        <v>0</v>
      </c>
      <c r="L317" s="33">
        <v>0</v>
      </c>
      <c r="M317">
        <v>28</v>
      </c>
      <c r="N317">
        <v>0</v>
      </c>
      <c r="O317">
        <v>28</v>
      </c>
      <c r="P317" t="s">
        <v>53</v>
      </c>
      <c r="Q317" t="s">
        <v>53</v>
      </c>
      <c r="R317" t="s">
        <v>53</v>
      </c>
      <c r="S317" t="s">
        <v>53</v>
      </c>
      <c r="T317" t="s">
        <v>53</v>
      </c>
      <c r="U317" t="s">
        <v>53</v>
      </c>
      <c r="V317" t="s">
        <v>53</v>
      </c>
      <c r="W317" t="s">
        <v>53</v>
      </c>
      <c r="X317" s="22" t="s">
        <v>53</v>
      </c>
      <c r="Y317" s="22" t="s">
        <v>53</v>
      </c>
      <c r="Z317" s="22" t="s">
        <v>53</v>
      </c>
      <c r="AA317" s="22" t="s">
        <v>53</v>
      </c>
      <c r="AB317" t="s">
        <v>53</v>
      </c>
      <c r="AC317" t="s">
        <v>53</v>
      </c>
      <c r="AD317" t="s">
        <v>53</v>
      </c>
      <c r="AE317" t="s">
        <v>53</v>
      </c>
      <c r="AF317" s="22" t="s">
        <v>53</v>
      </c>
      <c r="AG317" s="22" t="s">
        <v>53</v>
      </c>
      <c r="AH317" s="22" t="s">
        <v>53</v>
      </c>
      <c r="AI317" s="22" t="s">
        <v>53</v>
      </c>
      <c r="AJ317">
        <v>2</v>
      </c>
      <c r="AK317">
        <v>2</v>
      </c>
      <c r="AL317">
        <v>3</v>
      </c>
      <c r="AM317">
        <v>2</v>
      </c>
      <c r="AN317" s="22">
        <v>0</v>
      </c>
      <c r="AO317" s="22">
        <v>0</v>
      </c>
      <c r="AP317" s="22">
        <v>0</v>
      </c>
      <c r="AQ317" s="22">
        <v>0</v>
      </c>
      <c r="AR317" s="35">
        <v>0</v>
      </c>
      <c r="AS317" s="35">
        <v>0</v>
      </c>
      <c r="AT317" s="35">
        <v>28</v>
      </c>
      <c r="AU317" s="31" t="str">
        <f t="shared" si="8"/>
        <v>库存为28</v>
      </c>
      <c r="AV317" s="36" t="str">
        <f>IFERROR(时间!$B$4+AU317,"上周无销量")</f>
        <v>上周无销量</v>
      </c>
    </row>
    <row r="318" spans="1:48">
      <c r="A318" s="20" t="s">
        <v>749</v>
      </c>
      <c r="B318" t="s">
        <v>750</v>
      </c>
      <c r="C318" t="s">
        <v>748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2</v>
      </c>
      <c r="J318" s="33">
        <v>0</v>
      </c>
      <c r="K318" s="33">
        <v>0</v>
      </c>
      <c r="L318" s="33">
        <v>0</v>
      </c>
      <c r="M318">
        <v>2</v>
      </c>
      <c r="N318">
        <v>0</v>
      </c>
      <c r="O318">
        <v>2</v>
      </c>
      <c r="P318" t="s">
        <v>53</v>
      </c>
      <c r="Q318" t="s">
        <v>53</v>
      </c>
      <c r="R318" t="s">
        <v>53</v>
      </c>
      <c r="S318" t="s">
        <v>53</v>
      </c>
      <c r="T318" t="s">
        <v>53</v>
      </c>
      <c r="U318" t="s">
        <v>53</v>
      </c>
      <c r="V318" t="s">
        <v>53</v>
      </c>
      <c r="W318" t="s">
        <v>53</v>
      </c>
      <c r="X318" s="22" t="s">
        <v>53</v>
      </c>
      <c r="Y318" s="22" t="s">
        <v>53</v>
      </c>
      <c r="Z318" s="22" t="s">
        <v>53</v>
      </c>
      <c r="AA318" s="22" t="s">
        <v>53</v>
      </c>
      <c r="AB318" t="s">
        <v>53</v>
      </c>
      <c r="AC318" t="s">
        <v>53</v>
      </c>
      <c r="AD318" t="s">
        <v>53</v>
      </c>
      <c r="AE318" t="s">
        <v>53</v>
      </c>
      <c r="AF318" s="22" t="s">
        <v>53</v>
      </c>
      <c r="AG318" s="22" t="s">
        <v>53</v>
      </c>
      <c r="AH318" s="22" t="s">
        <v>53</v>
      </c>
      <c r="AI318" s="22" t="s">
        <v>53</v>
      </c>
      <c r="AJ318">
        <v>1</v>
      </c>
      <c r="AK318">
        <v>2</v>
      </c>
      <c r="AL318">
        <v>2</v>
      </c>
      <c r="AM318">
        <v>2</v>
      </c>
      <c r="AN318" s="22">
        <v>0</v>
      </c>
      <c r="AO318" s="22">
        <v>0</v>
      </c>
      <c r="AP318" s="22">
        <v>0</v>
      </c>
      <c r="AQ318" s="22">
        <v>0</v>
      </c>
      <c r="AR318" s="35">
        <v>0</v>
      </c>
      <c r="AS318" s="35">
        <v>0</v>
      </c>
      <c r="AT318" s="35">
        <v>2</v>
      </c>
      <c r="AU318" s="31" t="str">
        <f t="shared" si="8"/>
        <v>库存为2</v>
      </c>
      <c r="AV318" s="36" t="str">
        <f>IFERROR(时间!$B$4+AU318,"上周无销量")</f>
        <v>上周无销量</v>
      </c>
    </row>
    <row r="319" spans="1:48">
      <c r="A319" s="20" t="s">
        <v>751</v>
      </c>
      <c r="B319" t="s">
        <v>752</v>
      </c>
      <c r="C319" t="s">
        <v>748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26</v>
      </c>
      <c r="J319" s="33">
        <v>0</v>
      </c>
      <c r="K319" s="33">
        <v>0</v>
      </c>
      <c r="L319" s="33">
        <v>0</v>
      </c>
      <c r="M319">
        <v>26</v>
      </c>
      <c r="N319">
        <v>0</v>
      </c>
      <c r="O319">
        <v>26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1</v>
      </c>
      <c r="AK319">
        <v>4</v>
      </c>
      <c r="AL319">
        <v>3</v>
      </c>
      <c r="AM319">
        <v>7</v>
      </c>
      <c r="AN319" s="22">
        <v>0</v>
      </c>
      <c r="AO319" s="22">
        <v>0</v>
      </c>
      <c r="AP319" s="22">
        <v>0</v>
      </c>
      <c r="AQ319" s="22">
        <v>0</v>
      </c>
      <c r="AR319" s="35">
        <v>0</v>
      </c>
      <c r="AS319" s="35">
        <v>0</v>
      </c>
      <c r="AT319" s="35">
        <v>26</v>
      </c>
      <c r="AU319" s="31" t="str">
        <f t="shared" si="8"/>
        <v>库存为26</v>
      </c>
      <c r="AV319" s="36" t="str">
        <f>IFERROR(时间!$B$4+AU319,"上周无销量")</f>
        <v>上周无销量</v>
      </c>
    </row>
    <row r="320" spans="1:48">
      <c r="A320" s="20" t="s">
        <v>753</v>
      </c>
      <c r="B320" t="s">
        <v>754</v>
      </c>
      <c r="C320" t="s">
        <v>748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18</v>
      </c>
      <c r="J320" s="33">
        <v>0</v>
      </c>
      <c r="K320" s="33">
        <v>0</v>
      </c>
      <c r="L320" s="33">
        <v>0</v>
      </c>
      <c r="M320">
        <v>18</v>
      </c>
      <c r="N320">
        <v>0</v>
      </c>
      <c r="O320">
        <v>6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4</v>
      </c>
      <c r="AK320">
        <v>2</v>
      </c>
      <c r="AL320">
        <v>5</v>
      </c>
      <c r="AM320">
        <v>1</v>
      </c>
      <c r="AN320" s="22">
        <v>0</v>
      </c>
      <c r="AO320" s="22">
        <v>0</v>
      </c>
      <c r="AP320" s="22">
        <v>0</v>
      </c>
      <c r="AQ320" s="22">
        <v>0</v>
      </c>
      <c r="AR320" s="35">
        <v>0</v>
      </c>
      <c r="AS320" s="35">
        <v>0</v>
      </c>
      <c r="AT320" s="35">
        <v>18</v>
      </c>
      <c r="AU320" s="31" t="str">
        <f t="shared" si="8"/>
        <v>库存为18</v>
      </c>
      <c r="AV320" s="36" t="str">
        <f>IFERROR(时间!$B$4+AU320,"上周无销量")</f>
        <v>上周无销量</v>
      </c>
    </row>
    <row r="321" spans="1:48">
      <c r="A321" s="20" t="s">
        <v>755</v>
      </c>
      <c r="B321" t="s">
        <v>756</v>
      </c>
      <c r="C321" t="s">
        <v>748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15</v>
      </c>
      <c r="J321" s="33">
        <v>0</v>
      </c>
      <c r="K321" s="33">
        <v>0</v>
      </c>
      <c r="L321" s="33">
        <v>0</v>
      </c>
      <c r="M321">
        <v>15</v>
      </c>
      <c r="N321">
        <v>0</v>
      </c>
      <c r="O321">
        <v>13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11</v>
      </c>
      <c r="AK321">
        <v>6</v>
      </c>
      <c r="AL321">
        <v>5</v>
      </c>
      <c r="AM321">
        <v>8</v>
      </c>
      <c r="AN321" s="22">
        <v>0</v>
      </c>
      <c r="AO321" s="22">
        <v>0</v>
      </c>
      <c r="AP321" s="22">
        <v>0</v>
      </c>
      <c r="AQ321" s="22">
        <v>0</v>
      </c>
      <c r="AR321" s="35">
        <v>0</v>
      </c>
      <c r="AS321" s="35">
        <v>0</v>
      </c>
      <c r="AT321" s="35">
        <v>15</v>
      </c>
      <c r="AU321" s="31" t="str">
        <f t="shared" si="8"/>
        <v>库存为15</v>
      </c>
      <c r="AV321" s="36" t="str">
        <f>IFERROR(时间!$B$4+AU321,"上周无销量")</f>
        <v>上周无销量</v>
      </c>
    </row>
    <row r="322" spans="1:48">
      <c r="A322" s="20" t="s">
        <v>757</v>
      </c>
      <c r="B322" t="s">
        <v>758</v>
      </c>
      <c r="C322" t="s">
        <v>759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9</v>
      </c>
      <c r="J322" s="33">
        <v>0</v>
      </c>
      <c r="K322" s="33">
        <v>0</v>
      </c>
      <c r="L322" s="33">
        <v>0</v>
      </c>
      <c r="M322">
        <v>9</v>
      </c>
      <c r="N322">
        <v>0</v>
      </c>
      <c r="O322">
        <v>9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2</v>
      </c>
      <c r="AK322">
        <v>5</v>
      </c>
      <c r="AL322">
        <v>4</v>
      </c>
      <c r="AM322">
        <v>7</v>
      </c>
      <c r="AN322" s="22">
        <v>0</v>
      </c>
      <c r="AO322" s="22">
        <v>0</v>
      </c>
      <c r="AP322" s="22">
        <v>0</v>
      </c>
      <c r="AQ322" s="22">
        <v>0</v>
      </c>
      <c r="AR322" s="35">
        <v>0</v>
      </c>
      <c r="AS322" s="35">
        <v>0</v>
      </c>
      <c r="AT322" s="35">
        <v>9</v>
      </c>
      <c r="AU322" s="31" t="str">
        <f t="shared" si="8"/>
        <v>库存为9</v>
      </c>
      <c r="AV322" s="36" t="str">
        <f>IFERROR(时间!$B$4+AU322,"上周无销量")</f>
        <v>上周无销量</v>
      </c>
    </row>
    <row r="323" spans="1:48">
      <c r="A323" s="20" t="s">
        <v>760</v>
      </c>
      <c r="B323" t="s">
        <v>761</v>
      </c>
      <c r="C323" t="s">
        <v>759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53</v>
      </c>
      <c r="Q323" t="s">
        <v>53</v>
      </c>
      <c r="R323" t="s">
        <v>53</v>
      </c>
      <c r="S323" t="s">
        <v>53</v>
      </c>
      <c r="T323" t="s">
        <v>53</v>
      </c>
      <c r="U323" t="s">
        <v>53</v>
      </c>
      <c r="V323" t="s">
        <v>53</v>
      </c>
      <c r="W323" t="s">
        <v>53</v>
      </c>
      <c r="X323" s="22" t="s">
        <v>53</v>
      </c>
      <c r="Y323" s="22" t="s">
        <v>53</v>
      </c>
      <c r="Z323" s="22" t="s">
        <v>53</v>
      </c>
      <c r="AA323" s="22" t="s">
        <v>53</v>
      </c>
      <c r="AB323" t="s">
        <v>53</v>
      </c>
      <c r="AC323" t="s">
        <v>53</v>
      </c>
      <c r="AD323" t="s">
        <v>53</v>
      </c>
      <c r="AE323" t="s">
        <v>53</v>
      </c>
      <c r="AF323" s="22" t="s">
        <v>53</v>
      </c>
      <c r="AG323" s="22" t="s">
        <v>53</v>
      </c>
      <c r="AH323" s="22" t="s">
        <v>53</v>
      </c>
      <c r="AI323" s="22" t="s">
        <v>53</v>
      </c>
      <c r="AJ323">
        <v>0</v>
      </c>
      <c r="AK323">
        <v>0</v>
      </c>
      <c r="AL323">
        <v>0</v>
      </c>
      <c r="AM323">
        <v>0</v>
      </c>
      <c r="AN323" s="22" t="s">
        <v>53</v>
      </c>
      <c r="AO323" s="22" t="s">
        <v>53</v>
      </c>
      <c r="AP323" s="22" t="s">
        <v>53</v>
      </c>
      <c r="AQ323" s="22" t="s">
        <v>53</v>
      </c>
      <c r="AR323" s="35">
        <v>0</v>
      </c>
      <c r="AS323" s="35">
        <v>0</v>
      </c>
      <c r="AT323" s="35">
        <v>0</v>
      </c>
      <c r="AU323" s="31" t="str">
        <f t="shared" si="8"/>
        <v>库存为0</v>
      </c>
      <c r="AV323" s="36" t="str">
        <f>IFERROR(时间!$B$4+AU323,"上周无销量")</f>
        <v>上周无销量</v>
      </c>
    </row>
    <row r="324" spans="1:48">
      <c r="A324" s="20" t="s">
        <v>762</v>
      </c>
      <c r="B324" t="s">
        <v>763</v>
      </c>
      <c r="C324" t="s">
        <v>764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0</v>
      </c>
      <c r="AK324">
        <v>0</v>
      </c>
      <c r="AL324">
        <v>0</v>
      </c>
      <c r="AM324">
        <v>0</v>
      </c>
      <c r="AN324" s="22" t="s">
        <v>53</v>
      </c>
      <c r="AO324" s="22" t="s">
        <v>53</v>
      </c>
      <c r="AP324" s="22" t="s">
        <v>53</v>
      </c>
      <c r="AQ324" s="22" t="s">
        <v>53</v>
      </c>
      <c r="AR324" s="35">
        <v>0</v>
      </c>
      <c r="AS324" s="35">
        <v>0</v>
      </c>
      <c r="AT324" s="35">
        <v>0</v>
      </c>
      <c r="AU324" s="31" t="str">
        <f t="shared" si="8"/>
        <v>库存为0</v>
      </c>
      <c r="AV324" s="36" t="str">
        <f>IFERROR(时间!$B$4+AU324,"上周无销量")</f>
        <v>上周无销量</v>
      </c>
    </row>
    <row r="325" spans="1:48">
      <c r="A325" s="20" t="s">
        <v>765</v>
      </c>
      <c r="B325" t="s">
        <v>766</v>
      </c>
      <c r="C325" t="s">
        <v>764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0</v>
      </c>
      <c r="AK325">
        <v>0</v>
      </c>
      <c r="AL325">
        <v>0</v>
      </c>
      <c r="AM325">
        <v>0</v>
      </c>
      <c r="AN325" s="22" t="s">
        <v>53</v>
      </c>
      <c r="AO325" s="22" t="s">
        <v>53</v>
      </c>
      <c r="AP325" s="22" t="s">
        <v>53</v>
      </c>
      <c r="AQ325" s="22" t="s">
        <v>53</v>
      </c>
      <c r="AR325" s="35">
        <v>0</v>
      </c>
      <c r="AS325" s="35">
        <v>0</v>
      </c>
      <c r="AT325" s="35">
        <v>0</v>
      </c>
      <c r="AU325" s="31" t="str">
        <f t="shared" ref="AU325:AU388" si="9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0" t="s">
        <v>767</v>
      </c>
      <c r="B326" t="s">
        <v>768</v>
      </c>
      <c r="C326" t="s">
        <v>769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2</v>
      </c>
      <c r="J326" s="33">
        <v>0</v>
      </c>
      <c r="K326" s="33">
        <v>0</v>
      </c>
      <c r="L326" s="33">
        <v>0</v>
      </c>
      <c r="M326">
        <v>2</v>
      </c>
      <c r="N326">
        <v>0</v>
      </c>
      <c r="O326">
        <v>2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1</v>
      </c>
      <c r="AK326">
        <v>0</v>
      </c>
      <c r="AL326">
        <v>0</v>
      </c>
      <c r="AM326">
        <v>1</v>
      </c>
      <c r="AN326" s="22">
        <v>0</v>
      </c>
      <c r="AO326" s="22" t="s">
        <v>53</v>
      </c>
      <c r="AP326" s="22" t="s">
        <v>53</v>
      </c>
      <c r="AQ326" s="22">
        <v>0</v>
      </c>
      <c r="AR326" s="35">
        <v>0</v>
      </c>
      <c r="AS326" s="35">
        <v>0</v>
      </c>
      <c r="AT326" s="35">
        <v>2</v>
      </c>
      <c r="AU326" s="31" t="str">
        <f t="shared" si="9"/>
        <v>库存为2</v>
      </c>
      <c r="AV326" s="36" t="str">
        <f>IFERROR(时间!$B$4+AU326,"上周无销量")</f>
        <v>上周无销量</v>
      </c>
    </row>
    <row r="327" spans="1:48">
      <c r="A327" s="20" t="s">
        <v>770</v>
      </c>
      <c r="B327" t="s">
        <v>771</v>
      </c>
      <c r="C327" t="s">
        <v>769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4</v>
      </c>
      <c r="J327" s="33">
        <v>0</v>
      </c>
      <c r="K327" s="33">
        <v>0</v>
      </c>
      <c r="L327" s="33">
        <v>0</v>
      </c>
      <c r="M327">
        <v>4</v>
      </c>
      <c r="N327">
        <v>0</v>
      </c>
      <c r="O327">
        <v>4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1</v>
      </c>
      <c r="AL327">
        <v>2</v>
      </c>
      <c r="AM327">
        <v>2</v>
      </c>
      <c r="AN327" s="22" t="s">
        <v>53</v>
      </c>
      <c r="AO327" s="22">
        <v>0</v>
      </c>
      <c r="AP327" s="22">
        <v>0</v>
      </c>
      <c r="AQ327" s="22">
        <v>0</v>
      </c>
      <c r="AR327" s="35">
        <v>0</v>
      </c>
      <c r="AS327" s="35">
        <v>0</v>
      </c>
      <c r="AT327" s="35">
        <v>4</v>
      </c>
      <c r="AU327" s="31" t="str">
        <f t="shared" si="9"/>
        <v>库存为4</v>
      </c>
      <c r="AV327" s="36" t="str">
        <f>IFERROR(时间!$B$4+AU327,"上周无销量")</f>
        <v>上周无销量</v>
      </c>
    </row>
    <row r="328" spans="1:48">
      <c r="A328" s="20" t="s">
        <v>772</v>
      </c>
      <c r="B328" t="s">
        <v>773</v>
      </c>
      <c r="C328" t="s">
        <v>769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2</v>
      </c>
      <c r="J328" s="33">
        <v>0</v>
      </c>
      <c r="K328" s="33">
        <v>0</v>
      </c>
      <c r="L328" s="33">
        <v>0</v>
      </c>
      <c r="M328">
        <v>2</v>
      </c>
      <c r="N328">
        <v>0</v>
      </c>
      <c r="O328">
        <v>2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2</v>
      </c>
      <c r="AK328">
        <v>4</v>
      </c>
      <c r="AL328">
        <v>2</v>
      </c>
      <c r="AM328">
        <v>3</v>
      </c>
      <c r="AN328" s="22">
        <v>0</v>
      </c>
      <c r="AO328" s="22">
        <v>0</v>
      </c>
      <c r="AP328" s="22">
        <v>0</v>
      </c>
      <c r="AQ328" s="22">
        <v>0</v>
      </c>
      <c r="AR328" s="35">
        <v>0</v>
      </c>
      <c r="AS328" s="35">
        <v>0</v>
      </c>
      <c r="AT328" s="35">
        <v>2</v>
      </c>
      <c r="AU328" s="31" t="str">
        <f t="shared" si="9"/>
        <v>库存为2</v>
      </c>
      <c r="AV328" s="36" t="str">
        <f>IFERROR(时间!$B$4+AU328,"上周无销量")</f>
        <v>上周无销量</v>
      </c>
    </row>
    <row r="329" spans="1:48">
      <c r="A329" s="20" t="s">
        <v>774</v>
      </c>
      <c r="B329" t="s">
        <v>775</v>
      </c>
      <c r="C329" t="s">
        <v>769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5</v>
      </c>
      <c r="J329" s="33">
        <v>0</v>
      </c>
      <c r="K329" s="33">
        <v>0</v>
      </c>
      <c r="L329" s="33">
        <v>0</v>
      </c>
      <c r="M329">
        <v>5</v>
      </c>
      <c r="N329">
        <v>0</v>
      </c>
      <c r="O329">
        <v>5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1</v>
      </c>
      <c r="AK329">
        <v>1</v>
      </c>
      <c r="AL329">
        <v>0</v>
      </c>
      <c r="AM329">
        <v>1</v>
      </c>
      <c r="AN329" s="22">
        <v>0</v>
      </c>
      <c r="AO329" s="22">
        <v>0</v>
      </c>
      <c r="AP329" s="22" t="s">
        <v>53</v>
      </c>
      <c r="AQ329" s="22">
        <v>0</v>
      </c>
      <c r="AR329" s="35">
        <v>0</v>
      </c>
      <c r="AS329" s="35">
        <v>0</v>
      </c>
      <c r="AT329" s="35">
        <v>5</v>
      </c>
      <c r="AU329" s="31" t="str">
        <f t="shared" si="9"/>
        <v>库存为5</v>
      </c>
      <c r="AV329" s="36" t="str">
        <f>IFERROR(时间!$B$4+AU329,"上周无销量")</f>
        <v>上周无销量</v>
      </c>
    </row>
    <row r="330" spans="1:48">
      <c r="A330" s="20" t="s">
        <v>776</v>
      </c>
      <c r="B330" t="s">
        <v>777</v>
      </c>
      <c r="C330" t="s">
        <v>769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0</v>
      </c>
      <c r="AK330">
        <v>0</v>
      </c>
      <c r="AL330">
        <v>0</v>
      </c>
      <c r="AM330">
        <v>0</v>
      </c>
      <c r="AN330" s="22" t="s">
        <v>53</v>
      </c>
      <c r="AO330" s="22" t="s">
        <v>53</v>
      </c>
      <c r="AP330" s="22" t="s">
        <v>53</v>
      </c>
      <c r="AQ330" s="22" t="s">
        <v>53</v>
      </c>
      <c r="AR330" s="35">
        <v>0</v>
      </c>
      <c r="AS330" s="35">
        <v>0</v>
      </c>
      <c r="AT330" s="35">
        <v>0</v>
      </c>
      <c r="AU330" s="31" t="str">
        <f t="shared" si="9"/>
        <v>库存为0</v>
      </c>
      <c r="AV330" s="36" t="str">
        <f>IFERROR(时间!$B$4+AU330,"上周无销量")</f>
        <v>上周无销量</v>
      </c>
    </row>
    <row r="331" spans="1:48">
      <c r="A331" s="20" t="s">
        <v>778</v>
      </c>
      <c r="B331" t="s">
        <v>779</v>
      </c>
      <c r="C331" t="s">
        <v>780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4</v>
      </c>
      <c r="J331" s="33">
        <v>0</v>
      </c>
      <c r="K331" s="33">
        <v>0</v>
      </c>
      <c r="L331" s="33">
        <v>0</v>
      </c>
      <c r="M331">
        <v>4</v>
      </c>
      <c r="N331">
        <v>0</v>
      </c>
      <c r="O331">
        <v>0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2</v>
      </c>
      <c r="AK331">
        <v>0</v>
      </c>
      <c r="AL331">
        <v>0</v>
      </c>
      <c r="AM331">
        <v>0</v>
      </c>
      <c r="AN331" s="22">
        <v>0</v>
      </c>
      <c r="AO331" s="22" t="s">
        <v>53</v>
      </c>
      <c r="AP331" s="22" t="s">
        <v>53</v>
      </c>
      <c r="AQ331" s="22" t="s">
        <v>53</v>
      </c>
      <c r="AR331" s="35">
        <v>0</v>
      </c>
      <c r="AS331" s="35">
        <v>0</v>
      </c>
      <c r="AT331" s="35">
        <v>4</v>
      </c>
      <c r="AU331" s="31" t="str">
        <f t="shared" si="9"/>
        <v>库存为4</v>
      </c>
      <c r="AV331" s="36" t="str">
        <f>IFERROR(时间!$B$4+AU331,"上周无销量")</f>
        <v>上周无销量</v>
      </c>
    </row>
    <row r="332" spans="1:48">
      <c r="A332" s="20" t="s">
        <v>781</v>
      </c>
      <c r="B332" t="s">
        <v>782</v>
      </c>
      <c r="C332" t="s">
        <v>780</v>
      </c>
      <c r="D332" s="31">
        <v>2</v>
      </c>
      <c r="E332" s="31">
        <v>0</v>
      </c>
      <c r="F332" s="31">
        <v>0</v>
      </c>
      <c r="G332" s="31">
        <v>0</v>
      </c>
      <c r="H332" s="32">
        <v>15.99</v>
      </c>
      <c r="I332">
        <v>3</v>
      </c>
      <c r="J332" s="33">
        <v>0</v>
      </c>
      <c r="K332" s="33">
        <v>0</v>
      </c>
      <c r="L332" s="33">
        <v>0</v>
      </c>
      <c r="M332">
        <v>3</v>
      </c>
      <c r="N332">
        <v>0</v>
      </c>
      <c r="O332">
        <v>0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4</v>
      </c>
      <c r="AK332">
        <v>0</v>
      </c>
      <c r="AL332">
        <v>0</v>
      </c>
      <c r="AM332">
        <v>0</v>
      </c>
      <c r="AN332" s="22">
        <v>0.5</v>
      </c>
      <c r="AO332" s="22" t="s">
        <v>53</v>
      </c>
      <c r="AP332" s="22" t="s">
        <v>53</v>
      </c>
      <c r="AQ332" s="22" t="s">
        <v>53</v>
      </c>
      <c r="AR332" s="35">
        <v>0.285714285714286</v>
      </c>
      <c r="AS332" s="35">
        <v>17.1428571428571</v>
      </c>
      <c r="AT332" s="35">
        <v>-14.1428571428571</v>
      </c>
      <c r="AU332" s="31">
        <f t="shared" si="9"/>
        <v>10</v>
      </c>
      <c r="AV332" s="36">
        <f>IFERROR(时间!$B$4+AU332,"上周无销量")</f>
        <v>43328</v>
      </c>
    </row>
    <row r="333" spans="1:48">
      <c r="A333" s="20" t="s">
        <v>783</v>
      </c>
      <c r="B333" t="s">
        <v>784</v>
      </c>
      <c r="C333" t="s">
        <v>780</v>
      </c>
      <c r="D333" s="31">
        <v>5</v>
      </c>
      <c r="E333" s="31">
        <v>0</v>
      </c>
      <c r="F333" s="31">
        <v>0</v>
      </c>
      <c r="G333" s="31">
        <v>0</v>
      </c>
      <c r="H333" s="32">
        <v>15.99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>
        <v>909</v>
      </c>
      <c r="Q333">
        <v>0</v>
      </c>
      <c r="R333">
        <v>0</v>
      </c>
      <c r="S333">
        <v>0</v>
      </c>
      <c r="T333">
        <v>2</v>
      </c>
      <c r="U333">
        <v>0</v>
      </c>
      <c r="V333">
        <v>0</v>
      </c>
      <c r="W333">
        <v>0</v>
      </c>
      <c r="X333" s="22">
        <v>0.0022002200220022</v>
      </c>
      <c r="Y333" s="22" t="s">
        <v>53</v>
      </c>
      <c r="Z333" s="22" t="s">
        <v>53</v>
      </c>
      <c r="AA333" s="22" t="s">
        <v>53</v>
      </c>
      <c r="AB333">
        <v>0.74</v>
      </c>
      <c r="AC333">
        <v>0</v>
      </c>
      <c r="AD333">
        <v>0</v>
      </c>
      <c r="AE333">
        <v>0</v>
      </c>
      <c r="AF333" s="22">
        <v>0.00925578486554096</v>
      </c>
      <c r="AG333" s="22" t="s">
        <v>53</v>
      </c>
      <c r="AH333" s="22" t="s">
        <v>53</v>
      </c>
      <c r="AI333" s="22" t="s">
        <v>53</v>
      </c>
      <c r="AJ333">
        <v>7</v>
      </c>
      <c r="AK333">
        <v>4</v>
      </c>
      <c r="AL333">
        <v>0</v>
      </c>
      <c r="AM333">
        <v>0</v>
      </c>
      <c r="AN333" s="22">
        <v>0.714285714285714</v>
      </c>
      <c r="AO333" s="22">
        <v>0</v>
      </c>
      <c r="AP333" s="22" t="s">
        <v>53</v>
      </c>
      <c r="AQ333" s="22" t="s">
        <v>53</v>
      </c>
      <c r="AR333" s="35">
        <v>0.714285714285714</v>
      </c>
      <c r="AS333" s="35">
        <v>42.8571428571429</v>
      </c>
      <c r="AT333" s="35">
        <v>-42.8571428571429</v>
      </c>
      <c r="AU333" s="31">
        <f t="shared" si="9"/>
        <v>0</v>
      </c>
      <c r="AV333" s="36">
        <f>IFERROR(时间!$B$4+AU333,"上周无销量")</f>
        <v>43318</v>
      </c>
    </row>
    <row r="334" spans="1:48">
      <c r="A334" s="20" t="s">
        <v>785</v>
      </c>
      <c r="B334" t="s">
        <v>786</v>
      </c>
      <c r="C334" t="s">
        <v>780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5</v>
      </c>
      <c r="J334" s="33">
        <v>0</v>
      </c>
      <c r="K334" s="33">
        <v>0</v>
      </c>
      <c r="L334" s="33">
        <v>0</v>
      </c>
      <c r="M334">
        <v>5</v>
      </c>
      <c r="N334">
        <v>0</v>
      </c>
      <c r="O334">
        <v>0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2</v>
      </c>
      <c r="AK334">
        <v>0</v>
      </c>
      <c r="AL334">
        <v>0</v>
      </c>
      <c r="AM334">
        <v>0</v>
      </c>
      <c r="AN334" s="22">
        <v>0</v>
      </c>
      <c r="AO334" s="22" t="s">
        <v>53</v>
      </c>
      <c r="AP334" s="22" t="s">
        <v>53</v>
      </c>
      <c r="AQ334" s="22" t="s">
        <v>53</v>
      </c>
      <c r="AR334" s="35">
        <v>0</v>
      </c>
      <c r="AS334" s="35">
        <v>0</v>
      </c>
      <c r="AT334" s="35">
        <v>5</v>
      </c>
      <c r="AU334" s="31" t="str">
        <f t="shared" si="9"/>
        <v>库存为5</v>
      </c>
      <c r="AV334" s="36" t="str">
        <f>IFERROR(时间!$B$4+AU334,"上周无销量")</f>
        <v>上周无销量</v>
      </c>
    </row>
    <row r="335" spans="1:48">
      <c r="A335" s="20" t="s">
        <v>787</v>
      </c>
      <c r="B335" t="s">
        <v>788</v>
      </c>
      <c r="C335" t="s">
        <v>780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5</v>
      </c>
      <c r="J335" s="33">
        <v>0</v>
      </c>
      <c r="K335" s="33">
        <v>0</v>
      </c>
      <c r="L335" s="33">
        <v>0</v>
      </c>
      <c r="M335">
        <v>5</v>
      </c>
      <c r="N335">
        <v>0</v>
      </c>
      <c r="O335">
        <v>0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2</v>
      </c>
      <c r="AK335">
        <v>0</v>
      </c>
      <c r="AL335">
        <v>0</v>
      </c>
      <c r="AM335">
        <v>0</v>
      </c>
      <c r="AN335" s="22">
        <v>0</v>
      </c>
      <c r="AO335" s="22" t="s">
        <v>53</v>
      </c>
      <c r="AP335" s="22" t="s">
        <v>53</v>
      </c>
      <c r="AQ335" s="22" t="s">
        <v>53</v>
      </c>
      <c r="AR335" s="35">
        <v>0</v>
      </c>
      <c r="AS335" s="35">
        <v>0</v>
      </c>
      <c r="AT335" s="35">
        <v>5</v>
      </c>
      <c r="AU335" s="31" t="str">
        <f t="shared" si="9"/>
        <v>库存为5</v>
      </c>
      <c r="AV335" s="36" t="str">
        <f>IFERROR(时间!$B$4+AU335,"上周无销量")</f>
        <v>上周无销量</v>
      </c>
    </row>
    <row r="336" spans="1:48">
      <c r="A336" s="20" t="s">
        <v>789</v>
      </c>
      <c r="B336" t="s">
        <v>790</v>
      </c>
      <c r="C336" t="s">
        <v>780</v>
      </c>
      <c r="D336" s="31">
        <v>1</v>
      </c>
      <c r="E336" s="31">
        <v>0</v>
      </c>
      <c r="F336" s="31">
        <v>0</v>
      </c>
      <c r="G336" s="31">
        <v>0</v>
      </c>
      <c r="H336" s="32">
        <v>15.99</v>
      </c>
      <c r="I336">
        <v>4</v>
      </c>
      <c r="J336" s="33">
        <v>0</v>
      </c>
      <c r="K336" s="33">
        <v>0</v>
      </c>
      <c r="L336" s="33">
        <v>0</v>
      </c>
      <c r="M336">
        <v>4</v>
      </c>
      <c r="N336">
        <v>0</v>
      </c>
      <c r="O336">
        <v>0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4</v>
      </c>
      <c r="AK336">
        <v>0</v>
      </c>
      <c r="AL336">
        <v>0</v>
      </c>
      <c r="AM336">
        <v>0</v>
      </c>
      <c r="AN336" s="22">
        <v>0.25</v>
      </c>
      <c r="AO336" s="22" t="s">
        <v>53</v>
      </c>
      <c r="AP336" s="22" t="s">
        <v>53</v>
      </c>
      <c r="AQ336" s="22" t="s">
        <v>53</v>
      </c>
      <c r="AR336" s="35">
        <v>0.142857142857143</v>
      </c>
      <c r="AS336" s="35">
        <v>8.57142857142857</v>
      </c>
      <c r="AT336" s="35">
        <v>-4.57142857142857</v>
      </c>
      <c r="AU336" s="31">
        <f t="shared" si="9"/>
        <v>28</v>
      </c>
      <c r="AV336" s="36">
        <f>IFERROR(时间!$B$4+AU336,"上周无销量")</f>
        <v>43346</v>
      </c>
    </row>
    <row r="337" spans="1:48">
      <c r="A337" s="20" t="s">
        <v>791</v>
      </c>
      <c r="B337" t="s">
        <v>792</v>
      </c>
      <c r="C337" t="s">
        <v>793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3</v>
      </c>
      <c r="J337" s="33">
        <v>0</v>
      </c>
      <c r="K337" s="33">
        <v>0</v>
      </c>
      <c r="L337" s="33">
        <v>0</v>
      </c>
      <c r="M337">
        <v>3</v>
      </c>
      <c r="N337">
        <v>0</v>
      </c>
      <c r="O337">
        <v>0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0</v>
      </c>
      <c r="AK337">
        <v>0</v>
      </c>
      <c r="AL337">
        <v>0</v>
      </c>
      <c r="AM337">
        <v>0</v>
      </c>
      <c r="AN337" s="22" t="s">
        <v>53</v>
      </c>
      <c r="AO337" s="22" t="s">
        <v>53</v>
      </c>
      <c r="AP337" s="22" t="s">
        <v>53</v>
      </c>
      <c r="AQ337" s="22" t="s">
        <v>53</v>
      </c>
      <c r="AR337" s="35">
        <v>0</v>
      </c>
      <c r="AS337" s="35">
        <v>0</v>
      </c>
      <c r="AT337" s="35">
        <v>3</v>
      </c>
      <c r="AU337" s="31" t="str">
        <f t="shared" si="9"/>
        <v>库存为3</v>
      </c>
      <c r="AV337" s="36" t="str">
        <f>IFERROR(时间!$B$4+AU337,"上周无销量")</f>
        <v>上周无销量</v>
      </c>
    </row>
    <row r="338" spans="1:48">
      <c r="A338" s="20" t="s">
        <v>794</v>
      </c>
      <c r="B338" t="s">
        <v>795</v>
      </c>
      <c r="C338" t="s">
        <v>793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6</v>
      </c>
      <c r="J338" s="33">
        <v>0</v>
      </c>
      <c r="K338" s="33">
        <v>0</v>
      </c>
      <c r="L338" s="33">
        <v>0</v>
      </c>
      <c r="M338">
        <v>6</v>
      </c>
      <c r="N338">
        <v>0</v>
      </c>
      <c r="O338">
        <v>0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0</v>
      </c>
      <c r="AK338">
        <v>0</v>
      </c>
      <c r="AL338">
        <v>0</v>
      </c>
      <c r="AM338">
        <v>0</v>
      </c>
      <c r="AN338" s="22" t="s">
        <v>53</v>
      </c>
      <c r="AO338" s="22" t="s">
        <v>53</v>
      </c>
      <c r="AP338" s="22" t="s">
        <v>53</v>
      </c>
      <c r="AQ338" s="22" t="s">
        <v>53</v>
      </c>
      <c r="AR338" s="35">
        <v>0</v>
      </c>
      <c r="AS338" s="35">
        <v>0</v>
      </c>
      <c r="AT338" s="35">
        <v>6</v>
      </c>
      <c r="AU338" s="31" t="str">
        <f t="shared" si="9"/>
        <v>库存为6</v>
      </c>
      <c r="AV338" s="36" t="str">
        <f>IFERROR(时间!$B$4+AU338,"上周无销量")</f>
        <v>上周无销量</v>
      </c>
    </row>
    <row r="339" spans="1:48">
      <c r="A339" s="20" t="s">
        <v>796</v>
      </c>
      <c r="B339" t="s">
        <v>797</v>
      </c>
      <c r="C339" t="s">
        <v>793</v>
      </c>
      <c r="D339" s="31">
        <v>1</v>
      </c>
      <c r="E339" s="31">
        <v>0</v>
      </c>
      <c r="F339" s="31">
        <v>0</v>
      </c>
      <c r="G339" s="31">
        <v>0</v>
      </c>
      <c r="H339" s="32">
        <v>16.99</v>
      </c>
      <c r="I339">
        <v>4</v>
      </c>
      <c r="J339" s="33">
        <v>0</v>
      </c>
      <c r="K339" s="33">
        <v>0</v>
      </c>
      <c r="L339" s="33">
        <v>0</v>
      </c>
      <c r="M339">
        <v>4</v>
      </c>
      <c r="N339">
        <v>0</v>
      </c>
      <c r="O339">
        <v>0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3</v>
      </c>
      <c r="AK339">
        <v>0</v>
      </c>
      <c r="AL339">
        <v>0</v>
      </c>
      <c r="AM339">
        <v>0</v>
      </c>
      <c r="AN339" s="22">
        <v>0.333333333333333</v>
      </c>
      <c r="AO339" s="22" t="s">
        <v>53</v>
      </c>
      <c r="AP339" s="22" t="s">
        <v>53</v>
      </c>
      <c r="AQ339" s="22" t="s">
        <v>53</v>
      </c>
      <c r="AR339" s="35">
        <v>0.142857142857143</v>
      </c>
      <c r="AS339" s="35">
        <v>8.57142857142857</v>
      </c>
      <c r="AT339" s="35">
        <v>-4.57142857142857</v>
      </c>
      <c r="AU339" s="31">
        <f t="shared" si="9"/>
        <v>28</v>
      </c>
      <c r="AV339" s="36">
        <f>IFERROR(时间!$B$4+AU339,"上周无销量")</f>
        <v>43346</v>
      </c>
    </row>
    <row r="340" spans="1:48">
      <c r="A340" s="20" t="s">
        <v>798</v>
      </c>
      <c r="B340" t="s">
        <v>799</v>
      </c>
      <c r="C340" t="s">
        <v>793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5</v>
      </c>
      <c r="J340" s="33">
        <v>0</v>
      </c>
      <c r="K340" s="33">
        <v>0</v>
      </c>
      <c r="L340" s="33">
        <v>0</v>
      </c>
      <c r="M340">
        <v>5</v>
      </c>
      <c r="N340">
        <v>0</v>
      </c>
      <c r="O340">
        <v>0</v>
      </c>
      <c r="P340">
        <v>253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 s="22">
        <v>0</v>
      </c>
      <c r="Y340" s="22" t="s">
        <v>53</v>
      </c>
      <c r="Z340" s="22" t="s">
        <v>53</v>
      </c>
      <c r="AA340" s="22" t="s">
        <v>53</v>
      </c>
      <c r="AB340">
        <v>0</v>
      </c>
      <c r="AC340">
        <v>0</v>
      </c>
      <c r="AD340">
        <v>0</v>
      </c>
      <c r="AE340">
        <v>0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5</v>
      </c>
      <c r="AK340">
        <v>0</v>
      </c>
      <c r="AL340">
        <v>0</v>
      </c>
      <c r="AM340">
        <v>0</v>
      </c>
      <c r="AN340" s="22">
        <v>0</v>
      </c>
      <c r="AO340" s="22" t="s">
        <v>53</v>
      </c>
      <c r="AP340" s="22" t="s">
        <v>53</v>
      </c>
      <c r="AQ340" s="22" t="s">
        <v>53</v>
      </c>
      <c r="AR340" s="35">
        <v>0</v>
      </c>
      <c r="AS340" s="35">
        <v>0</v>
      </c>
      <c r="AT340" s="35">
        <v>5</v>
      </c>
      <c r="AU340" s="31" t="str">
        <f t="shared" si="9"/>
        <v>库存为5</v>
      </c>
      <c r="AV340" s="36" t="str">
        <f>IFERROR(时间!$B$4+AU340,"上周无销量")</f>
        <v>上周无销量</v>
      </c>
    </row>
    <row r="341" spans="1:48">
      <c r="A341" s="20" t="s">
        <v>800</v>
      </c>
      <c r="B341" t="s">
        <v>801</v>
      </c>
      <c r="C341" t="s">
        <v>793</v>
      </c>
      <c r="D341" s="31">
        <v>2</v>
      </c>
      <c r="E341" s="31">
        <v>0</v>
      </c>
      <c r="F341" s="31">
        <v>0</v>
      </c>
      <c r="G341" s="31">
        <v>0</v>
      </c>
      <c r="H341" s="32">
        <v>16.99</v>
      </c>
      <c r="I341">
        <v>3</v>
      </c>
      <c r="J341" s="33">
        <v>0</v>
      </c>
      <c r="K341" s="33">
        <v>0</v>
      </c>
      <c r="L341" s="33">
        <v>0</v>
      </c>
      <c r="M341">
        <v>3</v>
      </c>
      <c r="N341">
        <v>0</v>
      </c>
      <c r="O341">
        <v>0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0</v>
      </c>
      <c r="AL341">
        <v>0</v>
      </c>
      <c r="AM341">
        <v>0</v>
      </c>
      <c r="AN341" s="22" t="s">
        <v>53</v>
      </c>
      <c r="AO341" s="22" t="s">
        <v>53</v>
      </c>
      <c r="AP341" s="22" t="s">
        <v>53</v>
      </c>
      <c r="AQ341" s="22" t="s">
        <v>53</v>
      </c>
      <c r="AR341" s="35">
        <v>0.285714285714286</v>
      </c>
      <c r="AS341" s="35">
        <v>17.1428571428571</v>
      </c>
      <c r="AT341" s="35">
        <v>-14.1428571428571</v>
      </c>
      <c r="AU341" s="31">
        <f t="shared" si="9"/>
        <v>10</v>
      </c>
      <c r="AV341" s="36">
        <f>IFERROR(时间!$B$4+AU341,"上周无销量")</f>
        <v>43328</v>
      </c>
    </row>
    <row r="342" spans="1:48">
      <c r="A342" s="20" t="s">
        <v>802</v>
      </c>
      <c r="B342" t="s">
        <v>803</v>
      </c>
      <c r="C342" t="s">
        <v>793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5</v>
      </c>
      <c r="J342" s="33">
        <v>0</v>
      </c>
      <c r="K342" s="33">
        <v>0</v>
      </c>
      <c r="L342" s="33">
        <v>0</v>
      </c>
      <c r="M342">
        <v>5</v>
      </c>
      <c r="N342">
        <v>0</v>
      </c>
      <c r="O342">
        <v>0</v>
      </c>
      <c r="P342" t="s">
        <v>53</v>
      </c>
      <c r="Q342" t="s">
        <v>53</v>
      </c>
      <c r="R342" t="s">
        <v>53</v>
      </c>
      <c r="S342" t="s">
        <v>53</v>
      </c>
      <c r="T342" t="s">
        <v>53</v>
      </c>
      <c r="U342" t="s">
        <v>53</v>
      </c>
      <c r="V342" t="s">
        <v>53</v>
      </c>
      <c r="W342" t="s">
        <v>53</v>
      </c>
      <c r="X342" s="22" t="s">
        <v>53</v>
      </c>
      <c r="Y342" s="22" t="s">
        <v>53</v>
      </c>
      <c r="Z342" s="22" t="s">
        <v>53</v>
      </c>
      <c r="AA342" s="22" t="s">
        <v>53</v>
      </c>
      <c r="AB342" t="s">
        <v>53</v>
      </c>
      <c r="AC342" t="s">
        <v>53</v>
      </c>
      <c r="AD342" t="s">
        <v>53</v>
      </c>
      <c r="AE342" t="s">
        <v>53</v>
      </c>
      <c r="AF342" s="22" t="s">
        <v>53</v>
      </c>
      <c r="AG342" s="22" t="s">
        <v>53</v>
      </c>
      <c r="AH342" s="22" t="s">
        <v>53</v>
      </c>
      <c r="AI342" s="22" t="s">
        <v>53</v>
      </c>
      <c r="AJ342">
        <v>2</v>
      </c>
      <c r="AK342">
        <v>0</v>
      </c>
      <c r="AL342">
        <v>0</v>
      </c>
      <c r="AM342">
        <v>0</v>
      </c>
      <c r="AN342" s="22">
        <v>0</v>
      </c>
      <c r="AO342" s="22" t="s">
        <v>53</v>
      </c>
      <c r="AP342" s="22" t="s">
        <v>53</v>
      </c>
      <c r="AQ342" s="22" t="s">
        <v>53</v>
      </c>
      <c r="AR342" s="35">
        <v>0</v>
      </c>
      <c r="AS342" s="35">
        <v>0</v>
      </c>
      <c r="AT342" s="35">
        <v>5</v>
      </c>
      <c r="AU342" s="31" t="str">
        <f t="shared" si="9"/>
        <v>库存为5</v>
      </c>
      <c r="AV342" s="36" t="str">
        <f>IFERROR(时间!$B$4+AU342,"上周无销量")</f>
        <v>上周无销量</v>
      </c>
    </row>
    <row r="343" spans="1:48">
      <c r="A343" s="20" t="s">
        <v>804</v>
      </c>
      <c r="B343" t="s">
        <v>805</v>
      </c>
      <c r="C343" t="s">
        <v>793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5</v>
      </c>
      <c r="J343" s="33">
        <v>0</v>
      </c>
      <c r="K343" s="33">
        <v>0</v>
      </c>
      <c r="L343" s="33">
        <v>0</v>
      </c>
      <c r="M343">
        <v>5</v>
      </c>
      <c r="N343">
        <v>0</v>
      </c>
      <c r="O343">
        <v>0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0</v>
      </c>
      <c r="AK343">
        <v>0</v>
      </c>
      <c r="AL343">
        <v>0</v>
      </c>
      <c r="AM343">
        <v>0</v>
      </c>
      <c r="AN343" s="22" t="s">
        <v>53</v>
      </c>
      <c r="AO343" s="22" t="s">
        <v>53</v>
      </c>
      <c r="AP343" s="22" t="s">
        <v>53</v>
      </c>
      <c r="AQ343" s="22" t="s">
        <v>53</v>
      </c>
      <c r="AR343" s="35">
        <v>0</v>
      </c>
      <c r="AS343" s="35">
        <v>0</v>
      </c>
      <c r="AT343" s="35">
        <v>5</v>
      </c>
      <c r="AU343" s="31" t="str">
        <f t="shared" si="9"/>
        <v>库存为5</v>
      </c>
      <c r="AV343" s="36" t="str">
        <f>IFERROR(时间!$B$4+AU343,"上周无销量")</f>
        <v>上周无销量</v>
      </c>
    </row>
    <row r="344" spans="1:48">
      <c r="A344" s="20" t="s">
        <v>806</v>
      </c>
      <c r="B344" t="s">
        <v>807</v>
      </c>
      <c r="C344" t="s">
        <v>793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5</v>
      </c>
      <c r="J344" s="33">
        <v>0</v>
      </c>
      <c r="K344" s="33">
        <v>0</v>
      </c>
      <c r="L344" s="33">
        <v>0</v>
      </c>
      <c r="M344">
        <v>5</v>
      </c>
      <c r="N344">
        <v>0</v>
      </c>
      <c r="O344">
        <v>0</v>
      </c>
      <c r="P344">
        <v>165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 s="22">
        <v>0</v>
      </c>
      <c r="Y344" s="22" t="s">
        <v>53</v>
      </c>
      <c r="Z344" s="22" t="s">
        <v>53</v>
      </c>
      <c r="AA344" s="22" t="s">
        <v>53</v>
      </c>
      <c r="AB344">
        <v>0</v>
      </c>
      <c r="AC344">
        <v>0</v>
      </c>
      <c r="AD344">
        <v>0</v>
      </c>
      <c r="AE344">
        <v>0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1</v>
      </c>
      <c r="AK344">
        <v>0</v>
      </c>
      <c r="AL344">
        <v>0</v>
      </c>
      <c r="AM344">
        <v>0</v>
      </c>
      <c r="AN344" s="22">
        <v>0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5</v>
      </c>
      <c r="AU344" s="31" t="str">
        <f t="shared" si="9"/>
        <v>库存为5</v>
      </c>
      <c r="AV344" s="36" t="str">
        <f>IFERROR(时间!$B$4+AU344,"上周无销量")</f>
        <v>上周无销量</v>
      </c>
    </row>
    <row r="345" spans="1:48">
      <c r="A345" s="20" t="s">
        <v>808</v>
      </c>
      <c r="B345" t="s">
        <v>809</v>
      </c>
      <c r="C345" t="s">
        <v>793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4</v>
      </c>
      <c r="J345" s="33">
        <v>0</v>
      </c>
      <c r="K345" s="33">
        <v>0</v>
      </c>
      <c r="L345" s="33">
        <v>0</v>
      </c>
      <c r="M345">
        <v>4</v>
      </c>
      <c r="N345">
        <v>0</v>
      </c>
      <c r="O345">
        <v>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2</v>
      </c>
      <c r="AK345">
        <v>0</v>
      </c>
      <c r="AL345">
        <v>0</v>
      </c>
      <c r="AM345">
        <v>0</v>
      </c>
      <c r="AN345" s="22">
        <v>0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4</v>
      </c>
      <c r="AU345" s="31" t="str">
        <f t="shared" si="9"/>
        <v>库存为4</v>
      </c>
      <c r="AV345" s="36" t="str">
        <f>IFERROR(时间!$B$4+AU345,"上周无销量")</f>
        <v>上周无销量</v>
      </c>
    </row>
    <row r="346" spans="1:48">
      <c r="A346" s="20" t="s">
        <v>810</v>
      </c>
      <c r="B346" t="s">
        <v>811</v>
      </c>
      <c r="C346" t="s">
        <v>812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5</v>
      </c>
      <c r="J346" s="33">
        <v>0</v>
      </c>
      <c r="K346" s="33">
        <v>0</v>
      </c>
      <c r="L346" s="33">
        <v>0</v>
      </c>
      <c r="M346">
        <v>5</v>
      </c>
      <c r="N346">
        <v>0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1</v>
      </c>
      <c r="AK346">
        <v>0</v>
      </c>
      <c r="AL346">
        <v>0</v>
      </c>
      <c r="AM346">
        <v>0</v>
      </c>
      <c r="AN346" s="22">
        <v>0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5</v>
      </c>
      <c r="AU346" s="31" t="str">
        <f t="shared" si="9"/>
        <v>库存为5</v>
      </c>
      <c r="AV346" s="36" t="str">
        <f>IFERROR(时间!$B$4+AU346,"上周无销量")</f>
        <v>上周无销量</v>
      </c>
    </row>
    <row r="347" spans="1:48">
      <c r="A347" s="20" t="s">
        <v>813</v>
      </c>
      <c r="B347" t="s">
        <v>814</v>
      </c>
      <c r="C347" t="s">
        <v>812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5</v>
      </c>
      <c r="J347" s="33">
        <v>0</v>
      </c>
      <c r="K347" s="33">
        <v>0</v>
      </c>
      <c r="L347" s="33">
        <v>0</v>
      </c>
      <c r="M347">
        <v>5</v>
      </c>
      <c r="N347">
        <v>0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2</v>
      </c>
      <c r="AK347">
        <v>0</v>
      </c>
      <c r="AL347">
        <v>0</v>
      </c>
      <c r="AM347">
        <v>0</v>
      </c>
      <c r="AN347" s="22">
        <v>0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5</v>
      </c>
      <c r="AU347" s="31" t="str">
        <f t="shared" si="9"/>
        <v>库存为5</v>
      </c>
      <c r="AV347" s="36" t="str">
        <f>IFERROR(时间!$B$4+AU347,"上周无销量")</f>
        <v>上周无销量</v>
      </c>
    </row>
    <row r="348" spans="1:48">
      <c r="A348" s="20" t="s">
        <v>815</v>
      </c>
      <c r="B348" t="s">
        <v>816</v>
      </c>
      <c r="C348" t="s">
        <v>812</v>
      </c>
      <c r="D348" s="31">
        <v>1</v>
      </c>
      <c r="E348" s="31">
        <v>0</v>
      </c>
      <c r="F348" s="31">
        <v>0</v>
      </c>
      <c r="G348" s="31">
        <v>0</v>
      </c>
      <c r="H348" s="32">
        <v>15.99</v>
      </c>
      <c r="I348">
        <v>4</v>
      </c>
      <c r="J348" s="33">
        <v>0</v>
      </c>
      <c r="K348" s="33">
        <v>0</v>
      </c>
      <c r="L348" s="33">
        <v>0</v>
      </c>
      <c r="M348">
        <v>4</v>
      </c>
      <c r="N348">
        <v>0</v>
      </c>
      <c r="O348">
        <v>0</v>
      </c>
      <c r="P348">
        <v>1076</v>
      </c>
      <c r="Q348">
        <v>0</v>
      </c>
      <c r="R348">
        <v>0</v>
      </c>
      <c r="S348">
        <v>0</v>
      </c>
      <c r="T348">
        <v>1</v>
      </c>
      <c r="U348">
        <v>0</v>
      </c>
      <c r="V348">
        <v>0</v>
      </c>
      <c r="W348">
        <v>0</v>
      </c>
      <c r="X348" s="22">
        <v>0.000929368029739777</v>
      </c>
      <c r="Y348" s="22" t="s">
        <v>53</v>
      </c>
      <c r="Z348" s="22" t="s">
        <v>53</v>
      </c>
      <c r="AA348" s="22" t="s">
        <v>53</v>
      </c>
      <c r="AB348">
        <v>0.2</v>
      </c>
      <c r="AC348">
        <v>0</v>
      </c>
      <c r="AD348">
        <v>0</v>
      </c>
      <c r="AE348">
        <v>0</v>
      </c>
      <c r="AF348" s="22">
        <v>0.0125078173858662</v>
      </c>
      <c r="AG348" s="22" t="s">
        <v>53</v>
      </c>
      <c r="AH348" s="22" t="s">
        <v>53</v>
      </c>
      <c r="AI348" s="22" t="s">
        <v>53</v>
      </c>
      <c r="AJ348">
        <v>0</v>
      </c>
      <c r="AK348">
        <v>1</v>
      </c>
      <c r="AL348">
        <v>0</v>
      </c>
      <c r="AM348">
        <v>0</v>
      </c>
      <c r="AN348" s="22" t="s">
        <v>53</v>
      </c>
      <c r="AO348" s="22">
        <v>0</v>
      </c>
      <c r="AP348" s="22" t="s">
        <v>53</v>
      </c>
      <c r="AQ348" s="22" t="s">
        <v>53</v>
      </c>
      <c r="AR348" s="35">
        <v>0.142857142857143</v>
      </c>
      <c r="AS348" s="35">
        <v>8.57142857142857</v>
      </c>
      <c r="AT348" s="35">
        <v>-4.57142857142857</v>
      </c>
      <c r="AU348" s="31">
        <f t="shared" si="9"/>
        <v>28</v>
      </c>
      <c r="AV348" s="36">
        <f>IFERROR(时间!$B$4+AU348,"上周无销量")</f>
        <v>43346</v>
      </c>
    </row>
    <row r="349" spans="1:48">
      <c r="A349" s="20" t="s">
        <v>817</v>
      </c>
      <c r="B349" t="s">
        <v>818</v>
      </c>
      <c r="C349" t="s">
        <v>812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5</v>
      </c>
      <c r="J349" s="33">
        <v>0</v>
      </c>
      <c r="K349" s="33">
        <v>0</v>
      </c>
      <c r="L349" s="33">
        <v>0</v>
      </c>
      <c r="M349">
        <v>5</v>
      </c>
      <c r="N349">
        <v>0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5</v>
      </c>
      <c r="AU349" s="31" t="str">
        <f t="shared" si="9"/>
        <v>库存为5</v>
      </c>
      <c r="AV349" s="36" t="str">
        <f>IFERROR(时间!$B$4+AU349,"上周无销量")</f>
        <v>上周无销量</v>
      </c>
    </row>
    <row r="350" spans="1:48">
      <c r="A350" s="20" t="s">
        <v>819</v>
      </c>
      <c r="B350" t="s">
        <v>820</v>
      </c>
      <c r="C350" t="s">
        <v>812</v>
      </c>
      <c r="D350" s="31">
        <v>1</v>
      </c>
      <c r="E350" s="31">
        <v>0</v>
      </c>
      <c r="F350" s="31">
        <v>0</v>
      </c>
      <c r="G350" s="31">
        <v>0</v>
      </c>
      <c r="H350" s="32">
        <v>15.99</v>
      </c>
      <c r="I350">
        <v>4</v>
      </c>
      <c r="J350" s="33">
        <v>0</v>
      </c>
      <c r="K350" s="33">
        <v>0</v>
      </c>
      <c r="L350" s="33">
        <v>0</v>
      </c>
      <c r="M350">
        <v>4</v>
      </c>
      <c r="N350">
        <v>0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1</v>
      </c>
      <c r="AK350">
        <v>0</v>
      </c>
      <c r="AL350">
        <v>0</v>
      </c>
      <c r="AM350">
        <v>0</v>
      </c>
      <c r="AN350" s="22">
        <v>1</v>
      </c>
      <c r="AO350" s="22" t="s">
        <v>53</v>
      </c>
      <c r="AP350" s="22" t="s">
        <v>53</v>
      </c>
      <c r="AQ350" s="22" t="s">
        <v>53</v>
      </c>
      <c r="AR350" s="35">
        <v>0.142857142857143</v>
      </c>
      <c r="AS350" s="35">
        <v>8.57142857142857</v>
      </c>
      <c r="AT350" s="35">
        <v>-4.57142857142857</v>
      </c>
      <c r="AU350" s="31">
        <f t="shared" si="9"/>
        <v>28</v>
      </c>
      <c r="AV350" s="36">
        <f>IFERROR(时间!$B$4+AU350,"上周无销量")</f>
        <v>43346</v>
      </c>
    </row>
    <row r="351" spans="1:48">
      <c r="A351" s="20" t="s">
        <v>821</v>
      </c>
      <c r="B351" t="s">
        <v>822</v>
      </c>
      <c r="C351" t="s">
        <v>812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5</v>
      </c>
      <c r="J351" s="33">
        <v>0</v>
      </c>
      <c r="K351" s="33">
        <v>0</v>
      </c>
      <c r="L351" s="33">
        <v>0</v>
      </c>
      <c r="M351">
        <v>5</v>
      </c>
      <c r="N351">
        <v>0</v>
      </c>
      <c r="O351">
        <v>0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1</v>
      </c>
      <c r="AK351">
        <v>0</v>
      </c>
      <c r="AL351">
        <v>0</v>
      </c>
      <c r="AM351">
        <v>0</v>
      </c>
      <c r="AN351" s="22">
        <v>0</v>
      </c>
      <c r="AO351" s="22" t="s">
        <v>53</v>
      </c>
      <c r="AP351" s="22" t="s">
        <v>53</v>
      </c>
      <c r="AQ351" s="22" t="s">
        <v>53</v>
      </c>
      <c r="AR351" s="35">
        <v>0</v>
      </c>
      <c r="AS351" s="35">
        <v>0</v>
      </c>
      <c r="AT351" s="35">
        <v>5</v>
      </c>
      <c r="AU351" s="31" t="str">
        <f t="shared" si="9"/>
        <v>库存为5</v>
      </c>
      <c r="AV351" s="36" t="str">
        <f>IFERROR(时间!$B$4+AU351,"上周无销量")</f>
        <v>上周无销量</v>
      </c>
    </row>
    <row r="352" spans="1:48">
      <c r="A352" s="20" t="s">
        <v>823</v>
      </c>
      <c r="B352" t="s">
        <v>824</v>
      </c>
      <c r="C352" t="s">
        <v>812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5</v>
      </c>
      <c r="J352" s="33">
        <v>0</v>
      </c>
      <c r="K352" s="33">
        <v>0</v>
      </c>
      <c r="L352" s="33">
        <v>0</v>
      </c>
      <c r="M352">
        <v>5</v>
      </c>
      <c r="N352">
        <v>0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1</v>
      </c>
      <c r="AK352">
        <v>0</v>
      </c>
      <c r="AL352">
        <v>0</v>
      </c>
      <c r="AM352">
        <v>0</v>
      </c>
      <c r="AN352" s="22">
        <v>0</v>
      </c>
      <c r="AO352" s="22" t="s">
        <v>53</v>
      </c>
      <c r="AP352" s="22" t="s">
        <v>53</v>
      </c>
      <c r="AQ352" s="22" t="s">
        <v>53</v>
      </c>
      <c r="AR352" s="35">
        <v>0</v>
      </c>
      <c r="AS352" s="35">
        <v>0</v>
      </c>
      <c r="AT352" s="35">
        <v>5</v>
      </c>
      <c r="AU352" s="31" t="str">
        <f t="shared" si="9"/>
        <v>库存为5</v>
      </c>
      <c r="AV352" s="36" t="str">
        <f>IFERROR(时间!$B$4+AU352,"上周无销量")</f>
        <v>上周无销量</v>
      </c>
    </row>
    <row r="353" spans="1:48">
      <c r="A353" s="20" t="s">
        <v>825</v>
      </c>
      <c r="B353" t="s">
        <v>826</v>
      </c>
      <c r="C353" t="s">
        <v>812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5</v>
      </c>
      <c r="J353" s="33">
        <v>0</v>
      </c>
      <c r="K353" s="33">
        <v>0</v>
      </c>
      <c r="L353" s="33">
        <v>0</v>
      </c>
      <c r="M353">
        <v>5</v>
      </c>
      <c r="N353">
        <v>0</v>
      </c>
      <c r="O353">
        <v>0</v>
      </c>
      <c r="P353">
        <v>2505</v>
      </c>
      <c r="Q353">
        <v>0</v>
      </c>
      <c r="R353">
        <v>0</v>
      </c>
      <c r="S353">
        <v>0</v>
      </c>
      <c r="T353">
        <v>4</v>
      </c>
      <c r="U353">
        <v>0</v>
      </c>
      <c r="V353">
        <v>0</v>
      </c>
      <c r="W353">
        <v>0</v>
      </c>
      <c r="X353" s="22">
        <v>0.00159680638722555</v>
      </c>
      <c r="Y353" s="22" t="s">
        <v>53</v>
      </c>
      <c r="Z353" s="22" t="s">
        <v>53</v>
      </c>
      <c r="AA353" s="22" t="s">
        <v>53</v>
      </c>
      <c r="AB353">
        <v>1.57</v>
      </c>
      <c r="AC353">
        <v>0</v>
      </c>
      <c r="AD353">
        <v>0</v>
      </c>
      <c r="AE353">
        <v>0</v>
      </c>
      <c r="AF353" s="22" t="s">
        <v>827</v>
      </c>
      <c r="AG353" s="22" t="s">
        <v>53</v>
      </c>
      <c r="AH353" s="22" t="s">
        <v>53</v>
      </c>
      <c r="AI353" s="22" t="s">
        <v>53</v>
      </c>
      <c r="AJ353">
        <v>7</v>
      </c>
      <c r="AK353">
        <v>0</v>
      </c>
      <c r="AL353">
        <v>0</v>
      </c>
      <c r="AM353">
        <v>0</v>
      </c>
      <c r="AN353" s="22">
        <v>0</v>
      </c>
      <c r="AO353" s="22" t="s">
        <v>53</v>
      </c>
      <c r="AP353" s="22" t="s">
        <v>53</v>
      </c>
      <c r="AQ353" s="22" t="s">
        <v>53</v>
      </c>
      <c r="AR353" s="35">
        <v>0</v>
      </c>
      <c r="AS353" s="35">
        <v>0</v>
      </c>
      <c r="AT353" s="35">
        <v>5</v>
      </c>
      <c r="AU353" s="31" t="str">
        <f t="shared" si="9"/>
        <v>库存为5</v>
      </c>
      <c r="AV353" s="36" t="str">
        <f>IFERROR(时间!$B$4+AU353,"上周无销量")</f>
        <v>上周无销量</v>
      </c>
    </row>
    <row r="354" spans="1:48">
      <c r="A354" s="20" t="s">
        <v>828</v>
      </c>
      <c r="B354" t="s">
        <v>829</v>
      </c>
      <c r="C354" t="s">
        <v>812</v>
      </c>
      <c r="D354" s="31">
        <v>1</v>
      </c>
      <c r="E354" s="31">
        <v>0</v>
      </c>
      <c r="F354" s="31">
        <v>0</v>
      </c>
      <c r="G354" s="31">
        <v>0</v>
      </c>
      <c r="H354" s="32">
        <v>15.99</v>
      </c>
      <c r="I354">
        <v>4</v>
      </c>
      <c r="J354" s="33">
        <v>0</v>
      </c>
      <c r="K354" s="33">
        <v>0</v>
      </c>
      <c r="L354" s="33">
        <v>0</v>
      </c>
      <c r="M354">
        <v>4</v>
      </c>
      <c r="N354">
        <v>0</v>
      </c>
      <c r="O354">
        <v>0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0</v>
      </c>
      <c r="AK354">
        <v>0</v>
      </c>
      <c r="AL354">
        <v>0</v>
      </c>
      <c r="AM354">
        <v>0</v>
      </c>
      <c r="AN354" s="22" t="s">
        <v>53</v>
      </c>
      <c r="AO354" s="22" t="s">
        <v>53</v>
      </c>
      <c r="AP354" s="22" t="s">
        <v>53</v>
      </c>
      <c r="AQ354" s="22" t="s">
        <v>53</v>
      </c>
      <c r="AR354" s="35">
        <v>0.142857142857143</v>
      </c>
      <c r="AS354" s="35">
        <v>8.57142857142857</v>
      </c>
      <c r="AT354" s="35">
        <v>-4.57142857142857</v>
      </c>
      <c r="AU354" s="31">
        <f t="shared" si="9"/>
        <v>28</v>
      </c>
      <c r="AV354" s="36">
        <f>IFERROR(时间!$B$4+AU354,"上周无销量")</f>
        <v>43346</v>
      </c>
    </row>
    <row r="355" spans="1:48">
      <c r="A355" s="20" t="s">
        <v>830</v>
      </c>
      <c r="B355" t="s">
        <v>831</v>
      </c>
      <c r="C355" t="s">
        <v>832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5</v>
      </c>
      <c r="J355" s="33">
        <v>0</v>
      </c>
      <c r="K355" s="33">
        <v>0</v>
      </c>
      <c r="L355" s="33">
        <v>0</v>
      </c>
      <c r="M355">
        <v>5</v>
      </c>
      <c r="N355">
        <v>0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2</v>
      </c>
      <c r="AK355">
        <v>0</v>
      </c>
      <c r="AL355">
        <v>0</v>
      </c>
      <c r="AM355">
        <v>0</v>
      </c>
      <c r="AN355" s="22">
        <v>0</v>
      </c>
      <c r="AO355" s="22" t="s">
        <v>53</v>
      </c>
      <c r="AP355" s="22" t="s">
        <v>53</v>
      </c>
      <c r="AQ355" s="22" t="s">
        <v>53</v>
      </c>
      <c r="AR355" s="35">
        <v>0</v>
      </c>
      <c r="AS355" s="35">
        <v>0</v>
      </c>
      <c r="AT355" s="35">
        <v>5</v>
      </c>
      <c r="AU355" s="31" t="str">
        <f t="shared" si="9"/>
        <v>库存为5</v>
      </c>
      <c r="AV355" s="36" t="str">
        <f>IFERROR(时间!$B$4+AU355,"上周无销量")</f>
        <v>上周无销量</v>
      </c>
    </row>
    <row r="356" spans="1:48">
      <c r="A356" s="20" t="s">
        <v>833</v>
      </c>
      <c r="B356" t="s">
        <v>834</v>
      </c>
      <c r="C356" t="s">
        <v>832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5</v>
      </c>
      <c r="J356" s="33">
        <v>0</v>
      </c>
      <c r="K356" s="33">
        <v>0</v>
      </c>
      <c r="L356" s="33">
        <v>0</v>
      </c>
      <c r="M356">
        <v>5</v>
      </c>
      <c r="N356">
        <v>0</v>
      </c>
      <c r="O356">
        <v>0</v>
      </c>
      <c r="P356">
        <v>102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 s="22">
        <v>0</v>
      </c>
      <c r="Y356" s="22" t="s">
        <v>53</v>
      </c>
      <c r="Z356" s="22" t="s">
        <v>53</v>
      </c>
      <c r="AA356" s="22" t="s">
        <v>53</v>
      </c>
      <c r="AB356">
        <v>0</v>
      </c>
      <c r="AC356">
        <v>0</v>
      </c>
      <c r="AD356">
        <v>0</v>
      </c>
      <c r="AE356">
        <v>0</v>
      </c>
      <c r="AF356" s="22" t="s">
        <v>53</v>
      </c>
      <c r="AG356" s="22" t="s">
        <v>53</v>
      </c>
      <c r="AH356" s="22" t="s">
        <v>53</v>
      </c>
      <c r="AI356" s="22" t="s">
        <v>53</v>
      </c>
      <c r="AJ356">
        <v>1</v>
      </c>
      <c r="AK356">
        <v>0</v>
      </c>
      <c r="AL356">
        <v>0</v>
      </c>
      <c r="AM356">
        <v>0</v>
      </c>
      <c r="AN356" s="22">
        <v>0</v>
      </c>
      <c r="AO356" s="22" t="s">
        <v>53</v>
      </c>
      <c r="AP356" s="22" t="s">
        <v>53</v>
      </c>
      <c r="AQ356" s="22" t="s">
        <v>53</v>
      </c>
      <c r="AR356" s="35">
        <v>0</v>
      </c>
      <c r="AS356" s="35">
        <v>0</v>
      </c>
      <c r="AT356" s="35">
        <v>5</v>
      </c>
      <c r="AU356" s="31" t="str">
        <f t="shared" si="9"/>
        <v>库存为5</v>
      </c>
      <c r="AV356" s="36" t="str">
        <f>IFERROR(时间!$B$4+AU356,"上周无销量")</f>
        <v>上周无销量</v>
      </c>
    </row>
    <row r="357" spans="1:48">
      <c r="A357" s="20" t="s">
        <v>835</v>
      </c>
      <c r="B357" t="s">
        <v>836</v>
      </c>
      <c r="C357" t="s">
        <v>832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5</v>
      </c>
      <c r="J357" s="33">
        <v>0</v>
      </c>
      <c r="K357" s="33">
        <v>0</v>
      </c>
      <c r="L357" s="33">
        <v>0</v>
      </c>
      <c r="M357">
        <v>5</v>
      </c>
      <c r="N357">
        <v>0</v>
      </c>
      <c r="O357">
        <v>0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0</v>
      </c>
      <c r="AK357">
        <v>0</v>
      </c>
      <c r="AL357">
        <v>0</v>
      </c>
      <c r="AM357">
        <v>0</v>
      </c>
      <c r="AN357" s="22" t="s">
        <v>53</v>
      </c>
      <c r="AO357" s="22" t="s">
        <v>53</v>
      </c>
      <c r="AP357" s="22" t="s">
        <v>53</v>
      </c>
      <c r="AQ357" s="22" t="s">
        <v>53</v>
      </c>
      <c r="AR357" s="35">
        <v>0</v>
      </c>
      <c r="AS357" s="35">
        <v>0</v>
      </c>
      <c r="AT357" s="35">
        <v>5</v>
      </c>
      <c r="AU357" s="31" t="str">
        <f t="shared" si="9"/>
        <v>库存为5</v>
      </c>
      <c r="AV357" s="36" t="str">
        <f>IFERROR(时间!$B$4+AU357,"上周无销量")</f>
        <v>上周无销量</v>
      </c>
    </row>
    <row r="358" spans="1:48">
      <c r="A358" s="20" t="s">
        <v>837</v>
      </c>
      <c r="B358" t="s">
        <v>838</v>
      </c>
      <c r="C358" t="s">
        <v>832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5</v>
      </c>
      <c r="J358" s="33">
        <v>0</v>
      </c>
      <c r="K358" s="33">
        <v>0</v>
      </c>
      <c r="L358" s="33">
        <v>0</v>
      </c>
      <c r="M358">
        <v>5</v>
      </c>
      <c r="N358">
        <v>0</v>
      </c>
      <c r="O358">
        <v>0</v>
      </c>
      <c r="P358" t="s">
        <v>53</v>
      </c>
      <c r="Q358" t="s">
        <v>53</v>
      </c>
      <c r="R358" t="s">
        <v>53</v>
      </c>
      <c r="S358" t="s">
        <v>53</v>
      </c>
      <c r="T358" t="s">
        <v>53</v>
      </c>
      <c r="U358" t="s">
        <v>53</v>
      </c>
      <c r="V358" t="s">
        <v>53</v>
      </c>
      <c r="W358" t="s">
        <v>53</v>
      </c>
      <c r="X358" s="22" t="s">
        <v>53</v>
      </c>
      <c r="Y358" s="22" t="s">
        <v>53</v>
      </c>
      <c r="Z358" s="22" t="s">
        <v>53</v>
      </c>
      <c r="AA358" s="22" t="s">
        <v>53</v>
      </c>
      <c r="AB358" t="s">
        <v>53</v>
      </c>
      <c r="AC358" t="s">
        <v>53</v>
      </c>
      <c r="AD358" t="s">
        <v>53</v>
      </c>
      <c r="AE358" t="s">
        <v>53</v>
      </c>
      <c r="AF358" s="22" t="s">
        <v>53</v>
      </c>
      <c r="AG358" s="22" t="s">
        <v>53</v>
      </c>
      <c r="AH358" s="22" t="s">
        <v>53</v>
      </c>
      <c r="AI358" s="22" t="s">
        <v>53</v>
      </c>
      <c r="AJ358">
        <v>0</v>
      </c>
      <c r="AK358">
        <v>0</v>
      </c>
      <c r="AL358">
        <v>0</v>
      </c>
      <c r="AM358">
        <v>0</v>
      </c>
      <c r="AN358" s="22" t="s">
        <v>53</v>
      </c>
      <c r="AO358" s="22" t="s">
        <v>53</v>
      </c>
      <c r="AP358" s="22" t="s">
        <v>53</v>
      </c>
      <c r="AQ358" s="22" t="s">
        <v>53</v>
      </c>
      <c r="AR358" s="35">
        <v>0</v>
      </c>
      <c r="AS358" s="35">
        <v>0</v>
      </c>
      <c r="AT358" s="35">
        <v>5</v>
      </c>
      <c r="AU358" s="31" t="str">
        <f t="shared" si="9"/>
        <v>库存为5</v>
      </c>
      <c r="AV358" s="36" t="str">
        <f>IFERROR(时间!$B$4+AU358,"上周无销量")</f>
        <v>上周无销量</v>
      </c>
    </row>
    <row r="359" spans="1:48">
      <c r="A359" s="20" t="s">
        <v>839</v>
      </c>
      <c r="B359" t="s">
        <v>840</v>
      </c>
      <c r="C359" t="s">
        <v>832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5</v>
      </c>
      <c r="J359" s="33">
        <v>0</v>
      </c>
      <c r="K359" s="33">
        <v>0</v>
      </c>
      <c r="L359" s="33">
        <v>0</v>
      </c>
      <c r="M359">
        <v>5</v>
      </c>
      <c r="N359">
        <v>0</v>
      </c>
      <c r="O359">
        <v>0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s="22" t="s">
        <v>53</v>
      </c>
      <c r="Y359" s="22" t="s">
        <v>53</v>
      </c>
      <c r="Z359" s="22" t="s">
        <v>53</v>
      </c>
      <c r="AA359" s="22" t="s">
        <v>53</v>
      </c>
      <c r="AB359" t="s">
        <v>53</v>
      </c>
      <c r="AC359" t="s">
        <v>53</v>
      </c>
      <c r="AD359" t="s">
        <v>53</v>
      </c>
      <c r="AE359" t="s">
        <v>53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2</v>
      </c>
      <c r="AK359">
        <v>0</v>
      </c>
      <c r="AL359">
        <v>0</v>
      </c>
      <c r="AM359">
        <v>0</v>
      </c>
      <c r="AN359" s="22">
        <v>0</v>
      </c>
      <c r="AO359" s="22" t="s">
        <v>53</v>
      </c>
      <c r="AP359" s="22" t="s">
        <v>53</v>
      </c>
      <c r="AQ359" s="22" t="s">
        <v>53</v>
      </c>
      <c r="AR359" s="35">
        <v>0</v>
      </c>
      <c r="AS359" s="35">
        <v>0</v>
      </c>
      <c r="AT359" s="35">
        <v>5</v>
      </c>
      <c r="AU359" s="31" t="str">
        <f t="shared" si="9"/>
        <v>库存为5</v>
      </c>
      <c r="AV359" s="36" t="str">
        <f>IFERROR(时间!$B$4+AU359,"上周无销量")</f>
        <v>上周无销量</v>
      </c>
    </row>
    <row r="360" spans="1:48">
      <c r="A360" s="20" t="s">
        <v>841</v>
      </c>
      <c r="B360" t="s">
        <v>842</v>
      </c>
      <c r="C360" t="s">
        <v>832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5</v>
      </c>
      <c r="J360" s="33">
        <v>0</v>
      </c>
      <c r="K360" s="33">
        <v>0</v>
      </c>
      <c r="L360" s="33">
        <v>0</v>
      </c>
      <c r="M360">
        <v>5</v>
      </c>
      <c r="N360">
        <v>0</v>
      </c>
      <c r="O360">
        <v>0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3</v>
      </c>
      <c r="AK360">
        <v>0</v>
      </c>
      <c r="AL360">
        <v>0</v>
      </c>
      <c r="AM360">
        <v>0</v>
      </c>
      <c r="AN360" s="22">
        <v>0</v>
      </c>
      <c r="AO360" s="22" t="s">
        <v>53</v>
      </c>
      <c r="AP360" s="22" t="s">
        <v>53</v>
      </c>
      <c r="AQ360" s="22" t="s">
        <v>53</v>
      </c>
      <c r="AR360" s="35">
        <v>0</v>
      </c>
      <c r="AS360" s="35">
        <v>0</v>
      </c>
      <c r="AT360" s="35">
        <v>5</v>
      </c>
      <c r="AU360" s="31" t="str">
        <f t="shared" si="9"/>
        <v>库存为5</v>
      </c>
      <c r="AV360" s="36" t="str">
        <f>IFERROR(时间!$B$4+AU360,"上周无销量")</f>
        <v>上周无销量</v>
      </c>
    </row>
    <row r="361" spans="1:48">
      <c r="A361" s="20" t="s">
        <v>843</v>
      </c>
      <c r="B361" t="s">
        <v>844</v>
      </c>
      <c r="C361" t="s">
        <v>832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5</v>
      </c>
      <c r="J361" s="33">
        <v>0</v>
      </c>
      <c r="K361" s="33">
        <v>0</v>
      </c>
      <c r="L361" s="33">
        <v>0</v>
      </c>
      <c r="M361">
        <v>5</v>
      </c>
      <c r="N361">
        <v>0</v>
      </c>
      <c r="O361">
        <v>0</v>
      </c>
      <c r="P361" t="s">
        <v>53</v>
      </c>
      <c r="Q361" t="s">
        <v>53</v>
      </c>
      <c r="R361" t="s">
        <v>53</v>
      </c>
      <c r="S361" t="s">
        <v>53</v>
      </c>
      <c r="T361" t="s">
        <v>53</v>
      </c>
      <c r="U361" t="s">
        <v>53</v>
      </c>
      <c r="V361" t="s">
        <v>53</v>
      </c>
      <c r="W361" t="s">
        <v>53</v>
      </c>
      <c r="X361" s="22" t="s">
        <v>53</v>
      </c>
      <c r="Y361" s="22" t="s">
        <v>53</v>
      </c>
      <c r="Z361" s="22" t="s">
        <v>53</v>
      </c>
      <c r="AA361" s="22" t="s">
        <v>53</v>
      </c>
      <c r="AB361" t="s">
        <v>53</v>
      </c>
      <c r="AC361" t="s">
        <v>53</v>
      </c>
      <c r="AD361" t="s">
        <v>53</v>
      </c>
      <c r="AE361" t="s">
        <v>53</v>
      </c>
      <c r="AF361" s="22" t="s">
        <v>53</v>
      </c>
      <c r="AG361" s="22" t="s">
        <v>53</v>
      </c>
      <c r="AH361" s="22" t="s">
        <v>53</v>
      </c>
      <c r="AI361" s="22" t="s">
        <v>53</v>
      </c>
      <c r="AJ361">
        <v>3</v>
      </c>
      <c r="AK361">
        <v>0</v>
      </c>
      <c r="AL361">
        <v>0</v>
      </c>
      <c r="AM361">
        <v>0</v>
      </c>
      <c r="AN361" s="22">
        <v>0</v>
      </c>
      <c r="AO361" s="22" t="s">
        <v>53</v>
      </c>
      <c r="AP361" s="22" t="s">
        <v>53</v>
      </c>
      <c r="AQ361" s="22" t="s">
        <v>53</v>
      </c>
      <c r="AR361" s="35">
        <v>0</v>
      </c>
      <c r="AS361" s="35">
        <v>0</v>
      </c>
      <c r="AT361" s="35">
        <v>5</v>
      </c>
      <c r="AU361" s="31" t="str">
        <f t="shared" si="9"/>
        <v>库存为5</v>
      </c>
      <c r="AV361" s="36" t="str">
        <f>IFERROR(时间!$B$4+AU361,"上周无销量")</f>
        <v>上周无销量</v>
      </c>
    </row>
    <row r="362" spans="1:48">
      <c r="A362" s="20" t="s">
        <v>845</v>
      </c>
      <c r="B362" t="s">
        <v>846</v>
      </c>
      <c r="C362" t="s">
        <v>832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5</v>
      </c>
      <c r="J362" s="33">
        <v>0</v>
      </c>
      <c r="K362" s="33">
        <v>0</v>
      </c>
      <c r="L362" s="33">
        <v>0</v>
      </c>
      <c r="M362">
        <v>5</v>
      </c>
      <c r="N362">
        <v>0</v>
      </c>
      <c r="O362">
        <v>0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0</v>
      </c>
      <c r="AK362">
        <v>0</v>
      </c>
      <c r="AL362">
        <v>0</v>
      </c>
      <c r="AM362">
        <v>0</v>
      </c>
      <c r="AN362" s="22" t="s">
        <v>53</v>
      </c>
      <c r="AO362" s="22" t="s">
        <v>53</v>
      </c>
      <c r="AP362" s="22" t="s">
        <v>53</v>
      </c>
      <c r="AQ362" s="22" t="s">
        <v>53</v>
      </c>
      <c r="AR362" s="35">
        <v>0</v>
      </c>
      <c r="AS362" s="35">
        <v>0</v>
      </c>
      <c r="AT362" s="35">
        <v>5</v>
      </c>
      <c r="AU362" s="31" t="str">
        <f t="shared" si="9"/>
        <v>库存为5</v>
      </c>
      <c r="AV362" s="36" t="str">
        <f>IFERROR(时间!$B$4+AU362,"上周无销量")</f>
        <v>上周无销量</v>
      </c>
    </row>
    <row r="363" spans="1:48">
      <c r="A363" s="20" t="s">
        <v>847</v>
      </c>
      <c r="B363" t="s">
        <v>848</v>
      </c>
      <c r="C363" t="s">
        <v>832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5</v>
      </c>
      <c r="J363" s="33">
        <v>0</v>
      </c>
      <c r="K363" s="33">
        <v>0</v>
      </c>
      <c r="L363" s="33">
        <v>0</v>
      </c>
      <c r="M363">
        <v>5</v>
      </c>
      <c r="N363">
        <v>0</v>
      </c>
      <c r="O363">
        <v>0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3</v>
      </c>
      <c r="AK363">
        <v>0</v>
      </c>
      <c r="AL363">
        <v>0</v>
      </c>
      <c r="AM363">
        <v>0</v>
      </c>
      <c r="AN363" s="22">
        <v>0</v>
      </c>
      <c r="AO363" s="22" t="s">
        <v>53</v>
      </c>
      <c r="AP363" s="22" t="s">
        <v>53</v>
      </c>
      <c r="AQ363" s="22" t="s">
        <v>53</v>
      </c>
      <c r="AR363" s="35">
        <v>0</v>
      </c>
      <c r="AS363" s="35">
        <v>0</v>
      </c>
      <c r="AT363" s="35">
        <v>5</v>
      </c>
      <c r="AU363" s="31" t="str">
        <f t="shared" si="9"/>
        <v>库存为5</v>
      </c>
      <c r="AV363" s="36" t="str">
        <f>IFERROR(时间!$B$4+AU363,"上周无销量")</f>
        <v>上周无销量</v>
      </c>
    </row>
    <row r="364" spans="1:48">
      <c r="A364" s="20" t="s">
        <v>849</v>
      </c>
      <c r="B364" t="s">
        <v>850</v>
      </c>
      <c r="C364" t="s">
        <v>832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4</v>
      </c>
      <c r="J364" s="33">
        <v>0</v>
      </c>
      <c r="K364" s="33">
        <v>0</v>
      </c>
      <c r="L364" s="33">
        <v>0</v>
      </c>
      <c r="M364">
        <v>4</v>
      </c>
      <c r="N364">
        <v>0</v>
      </c>
      <c r="O364">
        <v>0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0</v>
      </c>
      <c r="AK364">
        <v>0</v>
      </c>
      <c r="AL364">
        <v>0</v>
      </c>
      <c r="AM364">
        <v>0</v>
      </c>
      <c r="AN364" s="22" t="s">
        <v>53</v>
      </c>
      <c r="AO364" s="22" t="s">
        <v>53</v>
      </c>
      <c r="AP364" s="22" t="s">
        <v>53</v>
      </c>
      <c r="AQ364" s="22" t="s">
        <v>53</v>
      </c>
      <c r="AR364" s="35">
        <v>0</v>
      </c>
      <c r="AS364" s="35">
        <v>0</v>
      </c>
      <c r="AT364" s="35">
        <v>4</v>
      </c>
      <c r="AU364" s="31" t="str">
        <f t="shared" si="9"/>
        <v>库存为4</v>
      </c>
      <c r="AV364" s="36" t="str">
        <f>IFERROR(时间!$B$4+AU364,"上周无销量")</f>
        <v>上周无销量</v>
      </c>
    </row>
    <row r="365" spans="1:48">
      <c r="A365" s="20" t="s">
        <v>851</v>
      </c>
      <c r="B365" t="s">
        <v>852</v>
      </c>
      <c r="C365" t="s">
        <v>832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5</v>
      </c>
      <c r="J365" s="33">
        <v>0</v>
      </c>
      <c r="K365" s="33">
        <v>0</v>
      </c>
      <c r="L365" s="33">
        <v>0</v>
      </c>
      <c r="M365">
        <v>5</v>
      </c>
      <c r="N365">
        <v>0</v>
      </c>
      <c r="O365">
        <v>0</v>
      </c>
      <c r="P365" t="s">
        <v>53</v>
      </c>
      <c r="Q365" t="s">
        <v>53</v>
      </c>
      <c r="R365" t="s">
        <v>53</v>
      </c>
      <c r="S365" t="s">
        <v>53</v>
      </c>
      <c r="T365" t="s">
        <v>53</v>
      </c>
      <c r="U365" t="s">
        <v>53</v>
      </c>
      <c r="V365" t="s">
        <v>53</v>
      </c>
      <c r="W365" t="s">
        <v>53</v>
      </c>
      <c r="X365" s="22" t="s">
        <v>53</v>
      </c>
      <c r="Y365" s="22" t="s">
        <v>53</v>
      </c>
      <c r="Z365" s="22" t="s">
        <v>53</v>
      </c>
      <c r="AA365" s="22" t="s">
        <v>53</v>
      </c>
      <c r="AB365" t="s">
        <v>53</v>
      </c>
      <c r="AC365" t="s">
        <v>53</v>
      </c>
      <c r="AD365" t="s">
        <v>53</v>
      </c>
      <c r="AE365" t="s">
        <v>53</v>
      </c>
      <c r="AF365" s="22" t="s">
        <v>53</v>
      </c>
      <c r="AG365" s="22" t="s">
        <v>53</v>
      </c>
      <c r="AH365" s="22" t="s">
        <v>53</v>
      </c>
      <c r="AI365" s="22" t="s">
        <v>53</v>
      </c>
      <c r="AJ365">
        <v>0</v>
      </c>
      <c r="AK365">
        <v>0</v>
      </c>
      <c r="AL365">
        <v>0</v>
      </c>
      <c r="AM365">
        <v>0</v>
      </c>
      <c r="AN365" s="22" t="s">
        <v>53</v>
      </c>
      <c r="AO365" s="22" t="s">
        <v>53</v>
      </c>
      <c r="AP365" s="22" t="s">
        <v>53</v>
      </c>
      <c r="AQ365" s="22" t="s">
        <v>53</v>
      </c>
      <c r="AR365" s="35">
        <v>0</v>
      </c>
      <c r="AS365" s="35">
        <v>0</v>
      </c>
      <c r="AT365" s="35">
        <v>5</v>
      </c>
      <c r="AU365" s="31" t="str">
        <f t="shared" si="9"/>
        <v>库存为5</v>
      </c>
      <c r="AV365" s="36" t="str">
        <f>IFERROR(时间!$B$4+AU365,"上周无销量")</f>
        <v>上周无销量</v>
      </c>
    </row>
    <row r="366" spans="1:48">
      <c r="A366" s="20" t="s">
        <v>853</v>
      </c>
      <c r="B366" t="s">
        <v>854</v>
      </c>
      <c r="C366" t="s">
        <v>832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5</v>
      </c>
      <c r="J366" s="33">
        <v>0</v>
      </c>
      <c r="K366" s="33">
        <v>0</v>
      </c>
      <c r="L366" s="33">
        <v>0</v>
      </c>
      <c r="M366">
        <v>5</v>
      </c>
      <c r="N366">
        <v>0</v>
      </c>
      <c r="O366">
        <v>0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0</v>
      </c>
      <c r="AK366">
        <v>0</v>
      </c>
      <c r="AL366">
        <v>0</v>
      </c>
      <c r="AM366">
        <v>0</v>
      </c>
      <c r="AN366" s="22" t="s">
        <v>53</v>
      </c>
      <c r="AO366" s="22" t="s">
        <v>53</v>
      </c>
      <c r="AP366" s="22" t="s">
        <v>53</v>
      </c>
      <c r="AQ366" s="22" t="s">
        <v>53</v>
      </c>
      <c r="AR366" s="35">
        <v>0</v>
      </c>
      <c r="AS366" s="35">
        <v>0</v>
      </c>
      <c r="AT366" s="35">
        <v>5</v>
      </c>
      <c r="AU366" s="31" t="str">
        <f t="shared" si="9"/>
        <v>库存为5</v>
      </c>
      <c r="AV366" s="36" t="str">
        <f>IFERROR(时间!$B$4+AU366,"上周无销量")</f>
        <v>上周无销量</v>
      </c>
    </row>
    <row r="367" spans="1:48">
      <c r="A367" s="20" t="s">
        <v>855</v>
      </c>
      <c r="B367" t="s">
        <v>856</v>
      </c>
      <c r="C367" t="s">
        <v>857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5</v>
      </c>
      <c r="J367" s="33">
        <v>0</v>
      </c>
      <c r="K367" s="33">
        <v>0</v>
      </c>
      <c r="L367" s="33">
        <v>0</v>
      </c>
      <c r="M367">
        <v>5</v>
      </c>
      <c r="N367">
        <v>0</v>
      </c>
      <c r="O367">
        <v>0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5</v>
      </c>
      <c r="AK367">
        <v>0</v>
      </c>
      <c r="AL367">
        <v>0</v>
      </c>
      <c r="AM367">
        <v>0</v>
      </c>
      <c r="AN367" s="22">
        <v>0</v>
      </c>
      <c r="AO367" s="22" t="s">
        <v>53</v>
      </c>
      <c r="AP367" s="22" t="s">
        <v>53</v>
      </c>
      <c r="AQ367" s="22" t="s">
        <v>53</v>
      </c>
      <c r="AR367" s="35">
        <v>0</v>
      </c>
      <c r="AS367" s="35">
        <v>0</v>
      </c>
      <c r="AT367" s="35">
        <v>5</v>
      </c>
      <c r="AU367" s="31" t="str">
        <f t="shared" si="9"/>
        <v>库存为5</v>
      </c>
      <c r="AV367" s="36" t="str">
        <f>IFERROR(时间!$B$4+AU367,"上周无销量")</f>
        <v>上周无销量</v>
      </c>
    </row>
    <row r="368" spans="1:48">
      <c r="A368" s="20" t="s">
        <v>858</v>
      </c>
      <c r="B368" t="s">
        <v>859</v>
      </c>
      <c r="C368" t="s">
        <v>857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5</v>
      </c>
      <c r="J368" s="33">
        <v>0</v>
      </c>
      <c r="K368" s="33">
        <v>0</v>
      </c>
      <c r="L368" s="33">
        <v>0</v>
      </c>
      <c r="M368">
        <v>5</v>
      </c>
      <c r="N368">
        <v>0</v>
      </c>
      <c r="O368">
        <v>0</v>
      </c>
      <c r="P368">
        <v>4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 s="22">
        <v>0</v>
      </c>
      <c r="Y368" s="22" t="s">
        <v>53</v>
      </c>
      <c r="Z368" s="22" t="s">
        <v>53</v>
      </c>
      <c r="AA368" s="22" t="s">
        <v>53</v>
      </c>
      <c r="AB368">
        <v>0</v>
      </c>
      <c r="AC368">
        <v>0</v>
      </c>
      <c r="AD368">
        <v>0</v>
      </c>
      <c r="AE368">
        <v>0</v>
      </c>
      <c r="AF368" s="22" t="s">
        <v>53</v>
      </c>
      <c r="AG368" s="22" t="s">
        <v>53</v>
      </c>
      <c r="AH368" s="22" t="s">
        <v>53</v>
      </c>
      <c r="AI368" s="22" t="s">
        <v>53</v>
      </c>
      <c r="AJ368">
        <v>3</v>
      </c>
      <c r="AK368">
        <v>0</v>
      </c>
      <c r="AL368">
        <v>0</v>
      </c>
      <c r="AM368">
        <v>0</v>
      </c>
      <c r="AN368" s="22">
        <v>0</v>
      </c>
      <c r="AO368" s="22" t="s">
        <v>53</v>
      </c>
      <c r="AP368" s="22" t="s">
        <v>53</v>
      </c>
      <c r="AQ368" s="22" t="s">
        <v>53</v>
      </c>
      <c r="AR368" s="35">
        <v>0</v>
      </c>
      <c r="AS368" s="35">
        <v>0</v>
      </c>
      <c r="AT368" s="35">
        <v>5</v>
      </c>
      <c r="AU368" s="31" t="str">
        <f t="shared" si="9"/>
        <v>库存为5</v>
      </c>
      <c r="AV368" s="36" t="str">
        <f>IFERROR(时间!$B$4+AU368,"上周无销量")</f>
        <v>上周无销量</v>
      </c>
    </row>
    <row r="369" spans="1:48">
      <c r="A369" s="20" t="s">
        <v>860</v>
      </c>
      <c r="B369" t="s">
        <v>861</v>
      </c>
      <c r="C369" t="s">
        <v>857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5</v>
      </c>
      <c r="J369" s="33">
        <v>0</v>
      </c>
      <c r="K369" s="33">
        <v>0</v>
      </c>
      <c r="L369" s="33">
        <v>0</v>
      </c>
      <c r="M369">
        <v>5</v>
      </c>
      <c r="N369">
        <v>0</v>
      </c>
      <c r="O369">
        <v>0</v>
      </c>
      <c r="P369" t="s">
        <v>53</v>
      </c>
      <c r="Q369" t="s">
        <v>53</v>
      </c>
      <c r="R369" t="s">
        <v>53</v>
      </c>
      <c r="S369" t="s">
        <v>53</v>
      </c>
      <c r="T369" t="s">
        <v>53</v>
      </c>
      <c r="U369" t="s">
        <v>53</v>
      </c>
      <c r="V369" t="s">
        <v>53</v>
      </c>
      <c r="W369" t="s">
        <v>53</v>
      </c>
      <c r="X369" s="22" t="s">
        <v>53</v>
      </c>
      <c r="Y369" s="22" t="s">
        <v>53</v>
      </c>
      <c r="Z369" s="22" t="s">
        <v>53</v>
      </c>
      <c r="AA369" s="22" t="s">
        <v>53</v>
      </c>
      <c r="AB369" t="s">
        <v>53</v>
      </c>
      <c r="AC369" t="s">
        <v>53</v>
      </c>
      <c r="AD369" t="s">
        <v>53</v>
      </c>
      <c r="AE369" t="s">
        <v>53</v>
      </c>
      <c r="AF369" s="22" t="s">
        <v>53</v>
      </c>
      <c r="AG369" s="22" t="s">
        <v>53</v>
      </c>
      <c r="AH369" s="22" t="s">
        <v>53</v>
      </c>
      <c r="AI369" s="22" t="s">
        <v>53</v>
      </c>
      <c r="AJ369">
        <v>2</v>
      </c>
      <c r="AK369">
        <v>0</v>
      </c>
      <c r="AL369">
        <v>0</v>
      </c>
      <c r="AM369">
        <v>0</v>
      </c>
      <c r="AN369" s="22">
        <v>0</v>
      </c>
      <c r="AO369" s="22" t="s">
        <v>53</v>
      </c>
      <c r="AP369" s="22" t="s">
        <v>53</v>
      </c>
      <c r="AQ369" s="22" t="s">
        <v>53</v>
      </c>
      <c r="AR369" s="35">
        <v>0</v>
      </c>
      <c r="AS369" s="35">
        <v>0</v>
      </c>
      <c r="AT369" s="35">
        <v>5</v>
      </c>
      <c r="AU369" s="31" t="str">
        <f t="shared" si="9"/>
        <v>库存为5</v>
      </c>
      <c r="AV369" s="36" t="str">
        <f>IFERROR(时间!$B$4+AU369,"上周无销量")</f>
        <v>上周无销量</v>
      </c>
    </row>
    <row r="370" spans="1:48">
      <c r="A370" s="20" t="s">
        <v>862</v>
      </c>
      <c r="B370" t="s">
        <v>863</v>
      </c>
      <c r="C370" t="s">
        <v>857</v>
      </c>
      <c r="D370" s="31">
        <v>1</v>
      </c>
      <c r="E370" s="31">
        <v>0</v>
      </c>
      <c r="F370" s="31">
        <v>0</v>
      </c>
      <c r="G370" s="31">
        <v>0</v>
      </c>
      <c r="H370" s="32">
        <v>11.99</v>
      </c>
      <c r="I370">
        <v>4</v>
      </c>
      <c r="J370" s="33">
        <v>0</v>
      </c>
      <c r="K370" s="33">
        <v>0</v>
      </c>
      <c r="L370" s="33">
        <v>0</v>
      </c>
      <c r="M370">
        <v>4</v>
      </c>
      <c r="N370">
        <v>0</v>
      </c>
      <c r="O370">
        <v>0</v>
      </c>
      <c r="P370" t="s">
        <v>53</v>
      </c>
      <c r="Q370" t="s">
        <v>53</v>
      </c>
      <c r="R370" t="s">
        <v>53</v>
      </c>
      <c r="S370" t="s">
        <v>53</v>
      </c>
      <c r="T370" t="s">
        <v>53</v>
      </c>
      <c r="U370" t="s">
        <v>53</v>
      </c>
      <c r="V370" t="s">
        <v>53</v>
      </c>
      <c r="W370" t="s">
        <v>53</v>
      </c>
      <c r="X370" s="22" t="s">
        <v>53</v>
      </c>
      <c r="Y370" s="22" t="s">
        <v>53</v>
      </c>
      <c r="Z370" s="22" t="s">
        <v>53</v>
      </c>
      <c r="AA370" s="22" t="s">
        <v>53</v>
      </c>
      <c r="AB370" t="s">
        <v>53</v>
      </c>
      <c r="AC370" t="s">
        <v>53</v>
      </c>
      <c r="AD370" t="s">
        <v>53</v>
      </c>
      <c r="AE370" t="s">
        <v>53</v>
      </c>
      <c r="AF370" s="22" t="s">
        <v>53</v>
      </c>
      <c r="AG370" s="22" t="s">
        <v>53</v>
      </c>
      <c r="AH370" s="22" t="s">
        <v>53</v>
      </c>
      <c r="AI370" s="22" t="s">
        <v>53</v>
      </c>
      <c r="AJ370">
        <v>1</v>
      </c>
      <c r="AK370">
        <v>0</v>
      </c>
      <c r="AL370">
        <v>0</v>
      </c>
      <c r="AM370">
        <v>0</v>
      </c>
      <c r="AN370" s="22">
        <v>1</v>
      </c>
      <c r="AO370" s="22" t="s">
        <v>53</v>
      </c>
      <c r="AP370" s="22" t="s">
        <v>53</v>
      </c>
      <c r="AQ370" s="22" t="s">
        <v>53</v>
      </c>
      <c r="AR370" s="35">
        <v>0.142857142857143</v>
      </c>
      <c r="AS370" s="35">
        <v>8.57142857142857</v>
      </c>
      <c r="AT370" s="35">
        <v>-4.57142857142857</v>
      </c>
      <c r="AU370" s="31">
        <f t="shared" si="9"/>
        <v>28</v>
      </c>
      <c r="AV370" s="36">
        <f>IFERROR(时间!$B$4+AU370,"上周无销量")</f>
        <v>43346</v>
      </c>
    </row>
    <row r="371" spans="1:48">
      <c r="A371" s="20" t="s">
        <v>864</v>
      </c>
      <c r="B371" t="s">
        <v>865</v>
      </c>
      <c r="C371" t="s">
        <v>857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5</v>
      </c>
      <c r="J371" s="33">
        <v>0</v>
      </c>
      <c r="K371" s="33">
        <v>0</v>
      </c>
      <c r="L371" s="33">
        <v>0</v>
      </c>
      <c r="M371">
        <v>5</v>
      </c>
      <c r="N371">
        <v>0</v>
      </c>
      <c r="O371">
        <v>0</v>
      </c>
      <c r="P371" t="s">
        <v>53</v>
      </c>
      <c r="Q371" t="s">
        <v>53</v>
      </c>
      <c r="R371" t="s">
        <v>53</v>
      </c>
      <c r="S371" t="s">
        <v>53</v>
      </c>
      <c r="T371" t="s">
        <v>53</v>
      </c>
      <c r="U371" t="s">
        <v>53</v>
      </c>
      <c r="V371" t="s">
        <v>53</v>
      </c>
      <c r="W371" t="s">
        <v>53</v>
      </c>
      <c r="X371" s="22" t="s">
        <v>53</v>
      </c>
      <c r="Y371" s="22" t="s">
        <v>53</v>
      </c>
      <c r="Z371" s="22" t="s">
        <v>53</v>
      </c>
      <c r="AA371" s="22" t="s">
        <v>53</v>
      </c>
      <c r="AB371" t="s">
        <v>53</v>
      </c>
      <c r="AC371" t="s">
        <v>53</v>
      </c>
      <c r="AD371" t="s">
        <v>53</v>
      </c>
      <c r="AE371" t="s">
        <v>53</v>
      </c>
      <c r="AF371" s="22" t="s">
        <v>53</v>
      </c>
      <c r="AG371" s="22" t="s">
        <v>53</v>
      </c>
      <c r="AH371" s="22" t="s">
        <v>53</v>
      </c>
      <c r="AI371" s="22" t="s">
        <v>53</v>
      </c>
      <c r="AJ371">
        <v>0</v>
      </c>
      <c r="AK371">
        <v>0</v>
      </c>
      <c r="AL371">
        <v>0</v>
      </c>
      <c r="AM371">
        <v>0</v>
      </c>
      <c r="AN371" s="22" t="s">
        <v>53</v>
      </c>
      <c r="AO371" s="22" t="s">
        <v>53</v>
      </c>
      <c r="AP371" s="22" t="s">
        <v>53</v>
      </c>
      <c r="AQ371" s="22" t="s">
        <v>53</v>
      </c>
      <c r="AR371" s="35">
        <v>0</v>
      </c>
      <c r="AS371" s="35">
        <v>0</v>
      </c>
      <c r="AT371" s="35">
        <v>5</v>
      </c>
      <c r="AU371" s="31" t="str">
        <f t="shared" si="9"/>
        <v>库存为5</v>
      </c>
      <c r="AV371" s="36" t="str">
        <f>IFERROR(时间!$B$4+AU371,"上周无销量")</f>
        <v>上周无销量</v>
      </c>
    </row>
    <row r="372" spans="1:48">
      <c r="A372" s="20" t="s">
        <v>866</v>
      </c>
      <c r="B372" t="s">
        <v>867</v>
      </c>
      <c r="C372" t="s">
        <v>857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5</v>
      </c>
      <c r="J372" s="33">
        <v>0</v>
      </c>
      <c r="K372" s="33">
        <v>0</v>
      </c>
      <c r="L372" s="33">
        <v>0</v>
      </c>
      <c r="M372">
        <v>5</v>
      </c>
      <c r="N372">
        <v>0</v>
      </c>
      <c r="O372">
        <v>0</v>
      </c>
      <c r="P372" t="s">
        <v>53</v>
      </c>
      <c r="Q372" t="s">
        <v>53</v>
      </c>
      <c r="R372" t="s">
        <v>53</v>
      </c>
      <c r="S372" t="s">
        <v>53</v>
      </c>
      <c r="T372" t="s">
        <v>53</v>
      </c>
      <c r="U372" t="s">
        <v>53</v>
      </c>
      <c r="V372" t="s">
        <v>53</v>
      </c>
      <c r="W372" t="s">
        <v>53</v>
      </c>
      <c r="X372" s="22" t="s">
        <v>53</v>
      </c>
      <c r="Y372" s="22" t="s">
        <v>53</v>
      </c>
      <c r="Z372" s="22" t="s">
        <v>53</v>
      </c>
      <c r="AA372" s="22" t="s">
        <v>53</v>
      </c>
      <c r="AB372" t="s">
        <v>53</v>
      </c>
      <c r="AC372" t="s">
        <v>53</v>
      </c>
      <c r="AD372" t="s">
        <v>53</v>
      </c>
      <c r="AE372" t="s">
        <v>53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0</v>
      </c>
      <c r="AK372">
        <v>0</v>
      </c>
      <c r="AL372">
        <v>0</v>
      </c>
      <c r="AM372">
        <v>0</v>
      </c>
      <c r="AN372" s="22" t="s">
        <v>53</v>
      </c>
      <c r="AO372" s="22" t="s">
        <v>53</v>
      </c>
      <c r="AP372" s="22" t="s">
        <v>53</v>
      </c>
      <c r="AQ372" s="22" t="s">
        <v>53</v>
      </c>
      <c r="AR372" s="35">
        <v>0</v>
      </c>
      <c r="AS372" s="35">
        <v>0</v>
      </c>
      <c r="AT372" s="35">
        <v>5</v>
      </c>
      <c r="AU372" s="31" t="str">
        <f t="shared" si="9"/>
        <v>库存为5</v>
      </c>
      <c r="AV372" s="36" t="str">
        <f>IFERROR(时间!$B$4+AU372,"上周无销量")</f>
        <v>上周无销量</v>
      </c>
    </row>
    <row r="373" spans="1:48">
      <c r="A373" s="20" t="s">
        <v>868</v>
      </c>
      <c r="B373" t="s">
        <v>869</v>
      </c>
      <c r="C373" t="s">
        <v>870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53</v>
      </c>
      <c r="Q373" t="s">
        <v>53</v>
      </c>
      <c r="R373" t="s">
        <v>53</v>
      </c>
      <c r="S373" t="s">
        <v>53</v>
      </c>
      <c r="T373" t="s">
        <v>53</v>
      </c>
      <c r="U373" t="s">
        <v>53</v>
      </c>
      <c r="V373" t="s">
        <v>53</v>
      </c>
      <c r="W373" t="s">
        <v>53</v>
      </c>
      <c r="X373" s="22" t="s">
        <v>53</v>
      </c>
      <c r="Y373" s="22" t="s">
        <v>53</v>
      </c>
      <c r="Z373" s="22" t="s">
        <v>53</v>
      </c>
      <c r="AA373" s="22" t="s">
        <v>53</v>
      </c>
      <c r="AB373" t="s">
        <v>53</v>
      </c>
      <c r="AC373" t="s">
        <v>53</v>
      </c>
      <c r="AD373" t="s">
        <v>53</v>
      </c>
      <c r="AE373" t="s">
        <v>53</v>
      </c>
      <c r="AF373" s="22" t="s">
        <v>53</v>
      </c>
      <c r="AG373" s="22" t="s">
        <v>53</v>
      </c>
      <c r="AH373" s="22" t="s">
        <v>53</v>
      </c>
      <c r="AI373" s="22" t="s">
        <v>53</v>
      </c>
      <c r="AJ373">
        <v>0</v>
      </c>
      <c r="AK373">
        <v>0</v>
      </c>
      <c r="AL373">
        <v>0</v>
      </c>
      <c r="AM373">
        <v>0</v>
      </c>
      <c r="AN373" s="22" t="s">
        <v>53</v>
      </c>
      <c r="AO373" s="22" t="s">
        <v>53</v>
      </c>
      <c r="AP373" s="22" t="s">
        <v>53</v>
      </c>
      <c r="AQ373" s="22" t="s">
        <v>53</v>
      </c>
      <c r="AR373" s="35">
        <v>0</v>
      </c>
      <c r="AS373" s="35">
        <v>0</v>
      </c>
      <c r="AT373" s="35">
        <v>0</v>
      </c>
      <c r="AU373" s="31" t="str">
        <f t="shared" si="9"/>
        <v>库存为0</v>
      </c>
      <c r="AV373" s="36" t="str">
        <f>IFERROR(时间!$B$4+AU373,"上周无销量")</f>
        <v>上周无销量</v>
      </c>
    </row>
    <row r="374" spans="1:48">
      <c r="A374" s="20" t="s">
        <v>871</v>
      </c>
      <c r="B374" t="s">
        <v>872</v>
      </c>
      <c r="C374" t="s">
        <v>873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5</v>
      </c>
      <c r="J374" s="33">
        <v>0</v>
      </c>
      <c r="K374" s="33">
        <v>0</v>
      </c>
      <c r="L374" s="33">
        <v>0</v>
      </c>
      <c r="M374">
        <v>5</v>
      </c>
      <c r="N374">
        <v>0</v>
      </c>
      <c r="O374">
        <v>5</v>
      </c>
      <c r="P374" t="s">
        <v>53</v>
      </c>
      <c r="Q374" t="s">
        <v>53</v>
      </c>
      <c r="R374" t="s">
        <v>53</v>
      </c>
      <c r="S374" t="s">
        <v>53</v>
      </c>
      <c r="T374" t="s">
        <v>53</v>
      </c>
      <c r="U374" t="s">
        <v>53</v>
      </c>
      <c r="V374" t="s">
        <v>53</v>
      </c>
      <c r="W374" t="s">
        <v>53</v>
      </c>
      <c r="X374" s="22" t="s">
        <v>53</v>
      </c>
      <c r="Y374" s="22" t="s">
        <v>53</v>
      </c>
      <c r="Z374" s="22" t="s">
        <v>53</v>
      </c>
      <c r="AA374" s="22" t="s">
        <v>53</v>
      </c>
      <c r="AB374" t="s">
        <v>53</v>
      </c>
      <c r="AC374" t="s">
        <v>53</v>
      </c>
      <c r="AD374" t="s">
        <v>53</v>
      </c>
      <c r="AE374" t="s">
        <v>53</v>
      </c>
      <c r="AF374" s="22" t="s">
        <v>53</v>
      </c>
      <c r="AG374" s="22" t="s">
        <v>53</v>
      </c>
      <c r="AH374" s="22" t="s">
        <v>53</v>
      </c>
      <c r="AI374" s="22" t="s">
        <v>53</v>
      </c>
      <c r="AJ374">
        <v>1</v>
      </c>
      <c r="AK374">
        <v>0</v>
      </c>
      <c r="AL374">
        <v>0</v>
      </c>
      <c r="AM374">
        <v>0</v>
      </c>
      <c r="AN374" s="22">
        <v>0</v>
      </c>
      <c r="AO374" s="22" t="s">
        <v>53</v>
      </c>
      <c r="AP374" s="22" t="s">
        <v>53</v>
      </c>
      <c r="AQ374" s="22" t="s">
        <v>53</v>
      </c>
      <c r="AR374" s="35">
        <v>0</v>
      </c>
      <c r="AS374" s="35">
        <v>0</v>
      </c>
      <c r="AT374" s="35">
        <v>5</v>
      </c>
      <c r="AU374" s="31" t="str">
        <f t="shared" si="9"/>
        <v>库存为5</v>
      </c>
      <c r="AV374" s="36" t="str">
        <f>IFERROR(时间!$B$4+AU374,"上周无销量")</f>
        <v>上周无销量</v>
      </c>
    </row>
    <row r="375" spans="1:48">
      <c r="A375" s="20" t="s">
        <v>874</v>
      </c>
      <c r="B375" t="s">
        <v>875</v>
      </c>
      <c r="C375" t="s">
        <v>873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0</v>
      </c>
      <c r="AK375">
        <v>0</v>
      </c>
      <c r="AL375">
        <v>0</v>
      </c>
      <c r="AM375">
        <v>0</v>
      </c>
      <c r="AN375" s="22" t="s">
        <v>53</v>
      </c>
      <c r="AO375" s="22" t="s">
        <v>53</v>
      </c>
      <c r="AP375" s="22" t="s">
        <v>53</v>
      </c>
      <c r="AQ375" s="22" t="s">
        <v>53</v>
      </c>
      <c r="AR375" s="35">
        <v>0</v>
      </c>
      <c r="AS375" s="35">
        <v>0</v>
      </c>
      <c r="AT375" s="35">
        <v>0</v>
      </c>
      <c r="AU375" s="31" t="str">
        <f t="shared" si="9"/>
        <v>库存为0</v>
      </c>
      <c r="AV375" s="36" t="str">
        <f>IFERROR(时间!$B$4+AU375,"上周无销量")</f>
        <v>上周无销量</v>
      </c>
    </row>
    <row r="376" spans="1:48">
      <c r="A376" s="20" t="s">
        <v>876</v>
      </c>
      <c r="B376" t="s">
        <v>877</v>
      </c>
      <c r="C376" t="s">
        <v>873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53</v>
      </c>
      <c r="Q376" t="s">
        <v>53</v>
      </c>
      <c r="R376" t="s">
        <v>53</v>
      </c>
      <c r="S376" t="s">
        <v>53</v>
      </c>
      <c r="T376" t="s">
        <v>53</v>
      </c>
      <c r="U376" t="s">
        <v>53</v>
      </c>
      <c r="V376" t="s">
        <v>53</v>
      </c>
      <c r="W376" t="s">
        <v>53</v>
      </c>
      <c r="X376" s="22" t="s">
        <v>53</v>
      </c>
      <c r="Y376" s="22" t="s">
        <v>53</v>
      </c>
      <c r="Z376" s="22" t="s">
        <v>53</v>
      </c>
      <c r="AA376" s="22" t="s">
        <v>53</v>
      </c>
      <c r="AB376" t="s">
        <v>53</v>
      </c>
      <c r="AC376" t="s">
        <v>53</v>
      </c>
      <c r="AD376" t="s">
        <v>53</v>
      </c>
      <c r="AE376" t="s">
        <v>53</v>
      </c>
      <c r="AF376" s="22" t="s">
        <v>53</v>
      </c>
      <c r="AG376" s="22" t="s">
        <v>53</v>
      </c>
      <c r="AH376" s="22" t="s">
        <v>53</v>
      </c>
      <c r="AI376" s="22" t="s">
        <v>53</v>
      </c>
      <c r="AJ376">
        <v>0</v>
      </c>
      <c r="AK376">
        <v>0</v>
      </c>
      <c r="AL376">
        <v>0</v>
      </c>
      <c r="AM376">
        <v>0</v>
      </c>
      <c r="AN376" s="22" t="s">
        <v>53</v>
      </c>
      <c r="AO376" s="22" t="s">
        <v>53</v>
      </c>
      <c r="AP376" s="22" t="s">
        <v>53</v>
      </c>
      <c r="AQ376" s="22" t="s">
        <v>53</v>
      </c>
      <c r="AR376" s="35">
        <v>0</v>
      </c>
      <c r="AS376" s="35">
        <v>0</v>
      </c>
      <c r="AT376" s="35">
        <v>0</v>
      </c>
      <c r="AU376" s="31" t="str">
        <f t="shared" si="9"/>
        <v>库存为0</v>
      </c>
      <c r="AV376" s="36" t="str">
        <f>IFERROR(时间!$B$4+AU376,"上周无销量")</f>
        <v>上周无销量</v>
      </c>
    </row>
    <row r="377" spans="1:48">
      <c r="A377" s="20" t="s">
        <v>878</v>
      </c>
      <c r="B377" t="s">
        <v>879</v>
      </c>
      <c r="C377" t="s">
        <v>873</v>
      </c>
      <c r="D377" s="31">
        <v>1</v>
      </c>
      <c r="E377" s="31">
        <v>0</v>
      </c>
      <c r="F377" s="31">
        <v>3</v>
      </c>
      <c r="G377" s="31">
        <v>1</v>
      </c>
      <c r="H377" s="32">
        <v>25.8</v>
      </c>
      <c r="I377">
        <v>9</v>
      </c>
      <c r="J377" s="33">
        <v>0</v>
      </c>
      <c r="K377" s="33">
        <v>0</v>
      </c>
      <c r="L377" s="33">
        <v>0</v>
      </c>
      <c r="M377">
        <v>9</v>
      </c>
      <c r="N377">
        <v>0</v>
      </c>
      <c r="O377">
        <v>0</v>
      </c>
      <c r="P377" t="s">
        <v>53</v>
      </c>
      <c r="Q377" t="s">
        <v>53</v>
      </c>
      <c r="R377" t="s">
        <v>53</v>
      </c>
      <c r="S377" t="s">
        <v>53</v>
      </c>
      <c r="T377" t="s">
        <v>53</v>
      </c>
      <c r="U377" t="s">
        <v>53</v>
      </c>
      <c r="V377" t="s">
        <v>53</v>
      </c>
      <c r="W377" t="s">
        <v>53</v>
      </c>
      <c r="X377" s="22" t="s">
        <v>53</v>
      </c>
      <c r="Y377" s="22" t="s">
        <v>53</v>
      </c>
      <c r="Z377" s="22" t="s">
        <v>53</v>
      </c>
      <c r="AA377" s="22" t="s">
        <v>53</v>
      </c>
      <c r="AB377" t="s">
        <v>53</v>
      </c>
      <c r="AC377" t="s">
        <v>53</v>
      </c>
      <c r="AD377" t="s">
        <v>53</v>
      </c>
      <c r="AE377" t="s">
        <v>53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35</v>
      </c>
      <c r="AK377">
        <v>60</v>
      </c>
      <c r="AL377">
        <v>58</v>
      </c>
      <c r="AM377">
        <v>41</v>
      </c>
      <c r="AN377" s="22">
        <v>0.0285714285714286</v>
      </c>
      <c r="AO377" s="22">
        <v>0</v>
      </c>
      <c r="AP377" s="22">
        <v>0.0517241379310345</v>
      </c>
      <c r="AQ377" s="22">
        <v>0.024390243902439</v>
      </c>
      <c r="AR377" s="35">
        <v>0.142857142857143</v>
      </c>
      <c r="AS377" s="35">
        <v>8.57142857142857</v>
      </c>
      <c r="AT377" s="35">
        <v>0.428571428571429</v>
      </c>
      <c r="AU377" s="31">
        <f t="shared" si="9"/>
        <v>63</v>
      </c>
      <c r="AV377" s="36">
        <f>IFERROR(时间!$B$4+AU377,"上周无销量")</f>
        <v>43381</v>
      </c>
    </row>
    <row r="378" spans="1:48">
      <c r="A378" s="20" t="s">
        <v>880</v>
      </c>
      <c r="B378" t="s">
        <v>881</v>
      </c>
      <c r="C378" t="s">
        <v>873</v>
      </c>
      <c r="D378" s="31">
        <v>1</v>
      </c>
      <c r="E378" s="31">
        <v>0</v>
      </c>
      <c r="F378" s="31">
        <v>0</v>
      </c>
      <c r="G378" s="31">
        <v>1</v>
      </c>
      <c r="H378" s="32">
        <v>31.4</v>
      </c>
      <c r="I378">
        <v>5</v>
      </c>
      <c r="J378" s="33">
        <v>0</v>
      </c>
      <c r="K378" s="33">
        <v>0</v>
      </c>
      <c r="L378" s="33">
        <v>0</v>
      </c>
      <c r="M378">
        <v>5</v>
      </c>
      <c r="N378">
        <v>0</v>
      </c>
      <c r="O378">
        <v>0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16</v>
      </c>
      <c r="AK378">
        <v>13</v>
      </c>
      <c r="AL378">
        <v>15</v>
      </c>
      <c r="AM378">
        <v>15</v>
      </c>
      <c r="AN378" s="22">
        <v>0.0625</v>
      </c>
      <c r="AO378" s="22">
        <v>0</v>
      </c>
      <c r="AP378" s="22">
        <v>0</v>
      </c>
      <c r="AQ378" s="22">
        <v>0.0666666666666667</v>
      </c>
      <c r="AR378" s="35">
        <v>0.142857142857143</v>
      </c>
      <c r="AS378" s="35">
        <v>8.57142857142857</v>
      </c>
      <c r="AT378" s="35">
        <v>-3.57142857142857</v>
      </c>
      <c r="AU378" s="31">
        <f t="shared" si="9"/>
        <v>35</v>
      </c>
      <c r="AV378" s="36">
        <f>IFERROR(时间!$B$4+AU378,"上周无销量")</f>
        <v>43353</v>
      </c>
    </row>
    <row r="379" spans="1:48">
      <c r="A379" s="20" t="s">
        <v>882</v>
      </c>
      <c r="B379" t="s">
        <v>883</v>
      </c>
      <c r="C379" t="s">
        <v>873</v>
      </c>
      <c r="D379" s="31">
        <v>0</v>
      </c>
      <c r="E379" s="31">
        <v>1</v>
      </c>
      <c r="F379" s="31">
        <v>0</v>
      </c>
      <c r="G379" s="31">
        <v>2</v>
      </c>
      <c r="H379" s="32">
        <v>21</v>
      </c>
      <c r="I379">
        <v>17</v>
      </c>
      <c r="J379" s="33">
        <v>0</v>
      </c>
      <c r="K379" s="33">
        <v>0</v>
      </c>
      <c r="L379" s="33">
        <v>0</v>
      </c>
      <c r="M379">
        <v>17</v>
      </c>
      <c r="N379">
        <v>0</v>
      </c>
      <c r="O379">
        <v>0</v>
      </c>
      <c r="P379" t="s">
        <v>53</v>
      </c>
      <c r="Q379" t="s">
        <v>53</v>
      </c>
      <c r="R379" t="s">
        <v>53</v>
      </c>
      <c r="S379" t="s">
        <v>53</v>
      </c>
      <c r="T379" t="s">
        <v>53</v>
      </c>
      <c r="U379" t="s">
        <v>53</v>
      </c>
      <c r="V379" t="s">
        <v>53</v>
      </c>
      <c r="W379" t="s">
        <v>53</v>
      </c>
      <c r="X379" s="22" t="s">
        <v>53</v>
      </c>
      <c r="Y379" s="22" t="s">
        <v>53</v>
      </c>
      <c r="Z379" s="22" t="s">
        <v>53</v>
      </c>
      <c r="AA379" s="22" t="s">
        <v>53</v>
      </c>
      <c r="AB379" t="s">
        <v>53</v>
      </c>
      <c r="AC379" t="s">
        <v>53</v>
      </c>
      <c r="AD379" t="s">
        <v>53</v>
      </c>
      <c r="AE379" t="s">
        <v>53</v>
      </c>
      <c r="AF379" s="22" t="s">
        <v>53</v>
      </c>
      <c r="AG379" s="22" t="s">
        <v>53</v>
      </c>
      <c r="AH379" s="22" t="s">
        <v>53</v>
      </c>
      <c r="AI379" s="22" t="s">
        <v>53</v>
      </c>
      <c r="AJ379">
        <v>14</v>
      </c>
      <c r="AK379">
        <v>13</v>
      </c>
      <c r="AL379">
        <v>18</v>
      </c>
      <c r="AM379">
        <v>25</v>
      </c>
      <c r="AN379" s="22">
        <v>0</v>
      </c>
      <c r="AO379" s="22">
        <v>0.0769230769230769</v>
      </c>
      <c r="AP379" s="22">
        <v>0</v>
      </c>
      <c r="AQ379" s="22">
        <v>0.08</v>
      </c>
      <c r="AR379" s="35">
        <v>0</v>
      </c>
      <c r="AS379" s="35">
        <v>0</v>
      </c>
      <c r="AT379" s="35">
        <v>17</v>
      </c>
      <c r="AU379" s="31" t="str">
        <f t="shared" si="9"/>
        <v>库存为17</v>
      </c>
      <c r="AV379" s="36" t="str">
        <f>IFERROR(时间!$B$4+AU379,"上周无销量")</f>
        <v>上周无销量</v>
      </c>
    </row>
    <row r="380" spans="1:48">
      <c r="A380" s="20" t="s">
        <v>884</v>
      </c>
      <c r="B380" t="s">
        <v>885</v>
      </c>
      <c r="C380" t="s">
        <v>886</v>
      </c>
      <c r="D380" s="31">
        <v>0</v>
      </c>
      <c r="E380" s="31">
        <v>0</v>
      </c>
      <c r="F380" s="31">
        <v>1</v>
      </c>
      <c r="G380" s="31">
        <v>0</v>
      </c>
      <c r="H380" s="32">
        <v>20</v>
      </c>
      <c r="I380">
        <v>11</v>
      </c>
      <c r="J380" s="33">
        <v>0</v>
      </c>
      <c r="K380" s="33">
        <v>0</v>
      </c>
      <c r="L380" s="33">
        <v>0</v>
      </c>
      <c r="M380">
        <v>11</v>
      </c>
      <c r="N380">
        <v>0</v>
      </c>
      <c r="O380">
        <v>11</v>
      </c>
      <c r="P380" t="s">
        <v>53</v>
      </c>
      <c r="Q380" t="s">
        <v>53</v>
      </c>
      <c r="R380" t="s">
        <v>53</v>
      </c>
      <c r="S380" t="s">
        <v>53</v>
      </c>
      <c r="T380" t="s">
        <v>53</v>
      </c>
      <c r="U380" t="s">
        <v>53</v>
      </c>
      <c r="V380" t="s">
        <v>53</v>
      </c>
      <c r="W380" t="s">
        <v>53</v>
      </c>
      <c r="X380" s="22" t="s">
        <v>53</v>
      </c>
      <c r="Y380" s="22" t="s">
        <v>53</v>
      </c>
      <c r="Z380" s="22" t="s">
        <v>53</v>
      </c>
      <c r="AA380" s="22" t="s">
        <v>53</v>
      </c>
      <c r="AB380" t="s">
        <v>53</v>
      </c>
      <c r="AC380" t="s">
        <v>53</v>
      </c>
      <c r="AD380" t="s">
        <v>53</v>
      </c>
      <c r="AE380" t="s">
        <v>53</v>
      </c>
      <c r="AF380" s="22" t="s">
        <v>53</v>
      </c>
      <c r="AG380" s="22" t="s">
        <v>53</v>
      </c>
      <c r="AH380" s="22" t="s">
        <v>53</v>
      </c>
      <c r="AI380" s="22" t="s">
        <v>53</v>
      </c>
      <c r="AJ380">
        <v>3</v>
      </c>
      <c r="AK380">
        <v>3</v>
      </c>
      <c r="AL380">
        <v>2</v>
      </c>
      <c r="AM380">
        <v>3</v>
      </c>
      <c r="AN380" s="22">
        <v>0</v>
      </c>
      <c r="AO380" s="22">
        <v>0</v>
      </c>
      <c r="AP380" s="22">
        <v>0.5</v>
      </c>
      <c r="AQ380" s="22">
        <v>0</v>
      </c>
      <c r="AR380" s="35">
        <v>0</v>
      </c>
      <c r="AS380" s="35">
        <v>0</v>
      </c>
      <c r="AT380" s="35">
        <v>11</v>
      </c>
      <c r="AU380" s="31" t="str">
        <f t="shared" si="9"/>
        <v>库存为11</v>
      </c>
      <c r="AV380" s="36" t="str">
        <f>IFERROR(时间!$B$4+AU380,"上周无销量")</f>
        <v>上周无销量</v>
      </c>
    </row>
    <row r="381" spans="1:48">
      <c r="A381" s="20" t="s">
        <v>887</v>
      </c>
      <c r="B381" t="s">
        <v>888</v>
      </c>
      <c r="C381" t="s">
        <v>886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10</v>
      </c>
      <c r="J381" s="33">
        <v>0</v>
      </c>
      <c r="K381" s="33">
        <v>0</v>
      </c>
      <c r="L381" s="33">
        <v>0</v>
      </c>
      <c r="M381">
        <v>10</v>
      </c>
      <c r="N381">
        <v>0</v>
      </c>
      <c r="O381">
        <v>10</v>
      </c>
      <c r="P381" t="s">
        <v>53</v>
      </c>
      <c r="Q381" t="s">
        <v>53</v>
      </c>
      <c r="R381" t="s">
        <v>53</v>
      </c>
      <c r="S381" t="s">
        <v>53</v>
      </c>
      <c r="T381" t="s">
        <v>53</v>
      </c>
      <c r="U381" t="s">
        <v>53</v>
      </c>
      <c r="V381" t="s">
        <v>53</v>
      </c>
      <c r="W381" t="s">
        <v>53</v>
      </c>
      <c r="X381" s="22" t="s">
        <v>53</v>
      </c>
      <c r="Y381" s="22" t="s">
        <v>53</v>
      </c>
      <c r="Z381" s="22" t="s">
        <v>53</v>
      </c>
      <c r="AA381" s="22" t="s">
        <v>53</v>
      </c>
      <c r="AB381" t="s">
        <v>53</v>
      </c>
      <c r="AC381" t="s">
        <v>53</v>
      </c>
      <c r="AD381" t="s">
        <v>53</v>
      </c>
      <c r="AE381" t="s">
        <v>53</v>
      </c>
      <c r="AF381" s="22" t="s">
        <v>53</v>
      </c>
      <c r="AG381" s="22" t="s">
        <v>53</v>
      </c>
      <c r="AH381" s="22" t="s">
        <v>53</v>
      </c>
      <c r="AI381" s="22" t="s">
        <v>53</v>
      </c>
      <c r="AJ381">
        <v>6</v>
      </c>
      <c r="AK381">
        <v>6</v>
      </c>
      <c r="AL381">
        <v>3</v>
      </c>
      <c r="AM381">
        <v>6</v>
      </c>
      <c r="AN381" s="22">
        <v>0</v>
      </c>
      <c r="AO381" s="22">
        <v>0</v>
      </c>
      <c r="AP381" s="22">
        <v>0</v>
      </c>
      <c r="AQ381" s="22">
        <v>0</v>
      </c>
      <c r="AR381" s="35">
        <v>0</v>
      </c>
      <c r="AS381" s="35">
        <v>0</v>
      </c>
      <c r="AT381" s="35">
        <v>10</v>
      </c>
      <c r="AU381" s="31" t="str">
        <f t="shared" si="9"/>
        <v>库存为10</v>
      </c>
      <c r="AV381" s="36" t="str">
        <f>IFERROR(时间!$B$4+AU381,"上周无销量")</f>
        <v>上周无销量</v>
      </c>
    </row>
    <row r="382" spans="1:48">
      <c r="A382" s="20" t="s">
        <v>889</v>
      </c>
      <c r="B382" t="s">
        <v>890</v>
      </c>
      <c r="C382" t="s">
        <v>886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1</v>
      </c>
      <c r="J382" s="33">
        <v>0</v>
      </c>
      <c r="K382" s="33">
        <v>0</v>
      </c>
      <c r="L382" s="33">
        <v>0</v>
      </c>
      <c r="M382">
        <v>1</v>
      </c>
      <c r="N382">
        <v>0</v>
      </c>
      <c r="O382">
        <v>1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5</v>
      </c>
      <c r="AK382">
        <v>4</v>
      </c>
      <c r="AL382">
        <v>3</v>
      </c>
      <c r="AM382">
        <v>1</v>
      </c>
      <c r="AN382" s="22">
        <v>0</v>
      </c>
      <c r="AO382" s="22">
        <v>0</v>
      </c>
      <c r="AP382" s="22">
        <v>0</v>
      </c>
      <c r="AQ382" s="22">
        <v>0</v>
      </c>
      <c r="AR382" s="35">
        <v>0</v>
      </c>
      <c r="AS382" s="35">
        <v>0</v>
      </c>
      <c r="AT382" s="35">
        <v>1</v>
      </c>
      <c r="AU382" s="31" t="str">
        <f t="shared" si="9"/>
        <v>库存为1</v>
      </c>
      <c r="AV382" s="36" t="str">
        <f>IFERROR(时间!$B$4+AU382,"上周无销量")</f>
        <v>上周无销量</v>
      </c>
    </row>
    <row r="383" spans="1:48">
      <c r="A383" s="20" t="s">
        <v>891</v>
      </c>
      <c r="B383" t="s">
        <v>892</v>
      </c>
      <c r="C383" t="s">
        <v>886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15</v>
      </c>
      <c r="J383" s="33">
        <v>0</v>
      </c>
      <c r="K383" s="33">
        <v>0</v>
      </c>
      <c r="L383" s="33">
        <v>1</v>
      </c>
      <c r="M383">
        <v>16</v>
      </c>
      <c r="N383">
        <v>0</v>
      </c>
      <c r="O383">
        <v>16</v>
      </c>
      <c r="P383" t="s">
        <v>53</v>
      </c>
      <c r="Q383" t="s">
        <v>53</v>
      </c>
      <c r="R383" t="s">
        <v>53</v>
      </c>
      <c r="S383" t="s">
        <v>53</v>
      </c>
      <c r="T383" t="s">
        <v>53</v>
      </c>
      <c r="U383" t="s">
        <v>53</v>
      </c>
      <c r="V383" t="s">
        <v>53</v>
      </c>
      <c r="W383" t="s">
        <v>53</v>
      </c>
      <c r="X383" s="22" t="s">
        <v>53</v>
      </c>
      <c r="Y383" s="22" t="s">
        <v>53</v>
      </c>
      <c r="Z383" s="22" t="s">
        <v>53</v>
      </c>
      <c r="AA383" s="22" t="s">
        <v>53</v>
      </c>
      <c r="AB383" t="s">
        <v>53</v>
      </c>
      <c r="AC383" t="s">
        <v>53</v>
      </c>
      <c r="AD383" t="s">
        <v>53</v>
      </c>
      <c r="AE383" t="s">
        <v>53</v>
      </c>
      <c r="AF383" s="22" t="s">
        <v>53</v>
      </c>
      <c r="AG383" s="22" t="s">
        <v>53</v>
      </c>
      <c r="AH383" s="22" t="s">
        <v>53</v>
      </c>
      <c r="AI383" s="22" t="s">
        <v>53</v>
      </c>
      <c r="AJ383">
        <v>7</v>
      </c>
      <c r="AK383">
        <v>3</v>
      </c>
      <c r="AL383">
        <v>5</v>
      </c>
      <c r="AM383">
        <v>7</v>
      </c>
      <c r="AN383" s="22">
        <v>0</v>
      </c>
      <c r="AO383" s="22">
        <v>0</v>
      </c>
      <c r="AP383" s="22">
        <v>0</v>
      </c>
      <c r="AQ383" s="22">
        <v>0</v>
      </c>
      <c r="AR383" s="35">
        <v>0</v>
      </c>
      <c r="AS383" s="35">
        <v>0</v>
      </c>
      <c r="AT383" s="35">
        <v>16</v>
      </c>
      <c r="AU383" s="31" t="str">
        <f t="shared" si="9"/>
        <v>库存为16</v>
      </c>
      <c r="AV383" s="36" t="str">
        <f>IFERROR(时间!$B$4+AU383,"上周无销量")</f>
        <v>上周无销量</v>
      </c>
    </row>
    <row r="384" spans="1:48">
      <c r="A384" s="20" t="s">
        <v>893</v>
      </c>
      <c r="B384" t="s">
        <v>894</v>
      </c>
      <c r="C384" t="s">
        <v>886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4</v>
      </c>
      <c r="J384" s="33">
        <v>0</v>
      </c>
      <c r="K384" s="33">
        <v>0</v>
      </c>
      <c r="L384" s="33">
        <v>0</v>
      </c>
      <c r="M384">
        <v>4</v>
      </c>
      <c r="N384">
        <v>0</v>
      </c>
      <c r="O384">
        <v>4</v>
      </c>
      <c r="P384" t="s">
        <v>53</v>
      </c>
      <c r="Q384" t="s">
        <v>53</v>
      </c>
      <c r="R384" t="s">
        <v>53</v>
      </c>
      <c r="S384" t="s">
        <v>53</v>
      </c>
      <c r="T384" t="s">
        <v>53</v>
      </c>
      <c r="U384" t="s">
        <v>53</v>
      </c>
      <c r="V384" t="s">
        <v>53</v>
      </c>
      <c r="W384" t="s">
        <v>53</v>
      </c>
      <c r="X384" s="22" t="s">
        <v>53</v>
      </c>
      <c r="Y384" s="22" t="s">
        <v>53</v>
      </c>
      <c r="Z384" s="22" t="s">
        <v>53</v>
      </c>
      <c r="AA384" s="22" t="s">
        <v>53</v>
      </c>
      <c r="AB384" t="s">
        <v>53</v>
      </c>
      <c r="AC384" t="s">
        <v>53</v>
      </c>
      <c r="AD384" t="s">
        <v>53</v>
      </c>
      <c r="AE384" t="s">
        <v>53</v>
      </c>
      <c r="AF384" s="22" t="s">
        <v>53</v>
      </c>
      <c r="AG384" s="22" t="s">
        <v>53</v>
      </c>
      <c r="AH384" s="22" t="s">
        <v>53</v>
      </c>
      <c r="AI384" s="22" t="s">
        <v>53</v>
      </c>
      <c r="AJ384">
        <v>6</v>
      </c>
      <c r="AK384">
        <v>0</v>
      </c>
      <c r="AL384">
        <v>6</v>
      </c>
      <c r="AM384">
        <v>4</v>
      </c>
      <c r="AN384" s="22">
        <v>0</v>
      </c>
      <c r="AO384" s="22" t="s">
        <v>53</v>
      </c>
      <c r="AP384" s="22">
        <v>0</v>
      </c>
      <c r="AQ384" s="22">
        <v>0</v>
      </c>
      <c r="AR384" s="35">
        <v>0</v>
      </c>
      <c r="AS384" s="35">
        <v>0</v>
      </c>
      <c r="AT384" s="35">
        <v>4</v>
      </c>
      <c r="AU384" s="31" t="str">
        <f t="shared" si="9"/>
        <v>库存为4</v>
      </c>
      <c r="AV384" s="36" t="str">
        <f>IFERROR(时间!$B$4+AU384,"上周无销量")</f>
        <v>上周无销量</v>
      </c>
    </row>
    <row r="385" spans="1:48">
      <c r="A385" s="20" t="s">
        <v>895</v>
      </c>
      <c r="B385" t="s">
        <v>896</v>
      </c>
      <c r="C385" t="s">
        <v>886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1</v>
      </c>
      <c r="J385" s="33">
        <v>0</v>
      </c>
      <c r="K385" s="33">
        <v>0</v>
      </c>
      <c r="L385" s="33">
        <v>0</v>
      </c>
      <c r="M385">
        <v>1</v>
      </c>
      <c r="N385">
        <v>0</v>
      </c>
      <c r="O385">
        <v>1</v>
      </c>
      <c r="P385" t="s">
        <v>53</v>
      </c>
      <c r="Q385" t="s">
        <v>53</v>
      </c>
      <c r="R385" t="s">
        <v>53</v>
      </c>
      <c r="S385" t="s">
        <v>53</v>
      </c>
      <c r="T385" t="s">
        <v>53</v>
      </c>
      <c r="U385" t="s">
        <v>53</v>
      </c>
      <c r="V385" t="s">
        <v>53</v>
      </c>
      <c r="W385" t="s">
        <v>53</v>
      </c>
      <c r="X385" s="22" t="s">
        <v>53</v>
      </c>
      <c r="Y385" s="22" t="s">
        <v>53</v>
      </c>
      <c r="Z385" s="22" t="s">
        <v>53</v>
      </c>
      <c r="AA385" s="22" t="s">
        <v>53</v>
      </c>
      <c r="AB385" t="s">
        <v>53</v>
      </c>
      <c r="AC385" t="s">
        <v>53</v>
      </c>
      <c r="AD385" t="s">
        <v>53</v>
      </c>
      <c r="AE385" t="s">
        <v>53</v>
      </c>
      <c r="AF385" s="22" t="s">
        <v>53</v>
      </c>
      <c r="AG385" s="22" t="s">
        <v>53</v>
      </c>
      <c r="AH385" s="22" t="s">
        <v>53</v>
      </c>
      <c r="AI385" s="22" t="s">
        <v>53</v>
      </c>
      <c r="AJ385">
        <v>1</v>
      </c>
      <c r="AK385">
        <v>3</v>
      </c>
      <c r="AL385">
        <v>3</v>
      </c>
      <c r="AM385">
        <v>4</v>
      </c>
      <c r="AN385" s="22">
        <v>0</v>
      </c>
      <c r="AO385" s="22">
        <v>0</v>
      </c>
      <c r="AP385" s="22">
        <v>0</v>
      </c>
      <c r="AQ385" s="22">
        <v>0</v>
      </c>
      <c r="AR385" s="35">
        <v>0</v>
      </c>
      <c r="AS385" s="35">
        <v>0</v>
      </c>
      <c r="AT385" s="35">
        <v>1</v>
      </c>
      <c r="AU385" s="31" t="str">
        <f t="shared" si="9"/>
        <v>库存为1</v>
      </c>
      <c r="AV385" s="36" t="str">
        <f>IFERROR(时间!$B$4+AU385,"上周无销量")</f>
        <v>上周无销量</v>
      </c>
    </row>
    <row r="386" spans="1:48">
      <c r="A386" s="20" t="s">
        <v>897</v>
      </c>
      <c r="B386" t="s">
        <v>898</v>
      </c>
      <c r="C386" t="s">
        <v>886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8</v>
      </c>
      <c r="J386" s="33">
        <v>0</v>
      </c>
      <c r="K386" s="33">
        <v>0</v>
      </c>
      <c r="L386" s="33">
        <v>0</v>
      </c>
      <c r="M386">
        <v>8</v>
      </c>
      <c r="N386">
        <v>0</v>
      </c>
      <c r="O386">
        <v>8</v>
      </c>
      <c r="P386" t="s">
        <v>53</v>
      </c>
      <c r="Q386" t="s">
        <v>53</v>
      </c>
      <c r="R386" t="s">
        <v>53</v>
      </c>
      <c r="S386" t="s">
        <v>53</v>
      </c>
      <c r="T386" t="s">
        <v>53</v>
      </c>
      <c r="U386" t="s">
        <v>53</v>
      </c>
      <c r="V386" t="s">
        <v>53</v>
      </c>
      <c r="W386" t="s">
        <v>53</v>
      </c>
      <c r="X386" s="22" t="s">
        <v>53</v>
      </c>
      <c r="Y386" s="22" t="s">
        <v>53</v>
      </c>
      <c r="Z386" s="22" t="s">
        <v>53</v>
      </c>
      <c r="AA386" s="22" t="s">
        <v>53</v>
      </c>
      <c r="AB386" t="s">
        <v>53</v>
      </c>
      <c r="AC386" t="s">
        <v>53</v>
      </c>
      <c r="AD386" t="s">
        <v>53</v>
      </c>
      <c r="AE386" t="s">
        <v>53</v>
      </c>
      <c r="AF386" s="22" t="s">
        <v>53</v>
      </c>
      <c r="AG386" s="22" t="s">
        <v>53</v>
      </c>
      <c r="AH386" s="22" t="s">
        <v>53</v>
      </c>
      <c r="AI386" s="22" t="s">
        <v>53</v>
      </c>
      <c r="AJ386">
        <v>16</v>
      </c>
      <c r="AK386">
        <v>12</v>
      </c>
      <c r="AL386">
        <v>9</v>
      </c>
      <c r="AM386">
        <v>7</v>
      </c>
      <c r="AN386" s="22">
        <v>0</v>
      </c>
      <c r="AO386" s="22">
        <v>0</v>
      </c>
      <c r="AP386" s="22">
        <v>0</v>
      </c>
      <c r="AQ386" s="22">
        <v>0</v>
      </c>
      <c r="AR386" s="35">
        <v>0</v>
      </c>
      <c r="AS386" s="35">
        <v>0</v>
      </c>
      <c r="AT386" s="35">
        <v>8</v>
      </c>
      <c r="AU386" s="31" t="str">
        <f t="shared" si="9"/>
        <v>库存为8</v>
      </c>
      <c r="AV386" s="36" t="str">
        <f>IFERROR(时间!$B$4+AU386,"上周无销量")</f>
        <v>上周无销量</v>
      </c>
    </row>
    <row r="387" spans="1:48">
      <c r="A387" s="20" t="s">
        <v>899</v>
      </c>
      <c r="B387" t="s">
        <v>900</v>
      </c>
      <c r="C387" t="s">
        <v>901</v>
      </c>
      <c r="D387" s="31">
        <v>1</v>
      </c>
      <c r="E387" s="31">
        <v>0</v>
      </c>
      <c r="F387" s="31">
        <v>1</v>
      </c>
      <c r="G387" s="31">
        <v>0</v>
      </c>
      <c r="H387" s="32">
        <v>23.9</v>
      </c>
      <c r="I387">
        <v>2</v>
      </c>
      <c r="J387" s="33">
        <v>0</v>
      </c>
      <c r="K387" s="33">
        <v>0</v>
      </c>
      <c r="L387" s="33">
        <v>0</v>
      </c>
      <c r="M387">
        <v>2</v>
      </c>
      <c r="N387">
        <v>0</v>
      </c>
      <c r="O387">
        <v>0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4</v>
      </c>
      <c r="AK387">
        <v>12</v>
      </c>
      <c r="AL387">
        <v>13</v>
      </c>
      <c r="AM387">
        <v>7</v>
      </c>
      <c r="AN387" s="22">
        <v>0.25</v>
      </c>
      <c r="AO387" s="22">
        <v>0</v>
      </c>
      <c r="AP387" s="22">
        <v>0.0769230769230769</v>
      </c>
      <c r="AQ387" s="22">
        <v>0</v>
      </c>
      <c r="AR387" s="35">
        <v>0.142857142857143</v>
      </c>
      <c r="AS387" s="35">
        <v>8.57142857142857</v>
      </c>
      <c r="AT387" s="35">
        <v>-6.57142857142857</v>
      </c>
      <c r="AU387" s="31">
        <f t="shared" si="9"/>
        <v>14</v>
      </c>
      <c r="AV387" s="36">
        <f>IFERROR(时间!$B$4+AU387,"上周无销量")</f>
        <v>43332</v>
      </c>
    </row>
    <row r="388" spans="1:48">
      <c r="A388" s="20" t="s">
        <v>902</v>
      </c>
      <c r="B388" t="s">
        <v>903</v>
      </c>
      <c r="C388" t="s">
        <v>904</v>
      </c>
      <c r="D388" s="31">
        <v>3</v>
      </c>
      <c r="E388" s="31">
        <v>3</v>
      </c>
      <c r="F388" s="31">
        <v>7</v>
      </c>
      <c r="G388" s="31">
        <v>2</v>
      </c>
      <c r="H388" s="32">
        <v>15.9</v>
      </c>
      <c r="I388">
        <v>16</v>
      </c>
      <c r="J388" s="33">
        <v>0</v>
      </c>
      <c r="K388" s="33">
        <v>0</v>
      </c>
      <c r="L388" s="33">
        <v>2</v>
      </c>
      <c r="M388">
        <v>18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 s="22" t="s">
        <v>53</v>
      </c>
      <c r="Y388" s="22" t="s">
        <v>53</v>
      </c>
      <c r="Z388" s="22" t="s">
        <v>53</v>
      </c>
      <c r="AA388" s="22" t="s">
        <v>53</v>
      </c>
      <c r="AB388">
        <v>0</v>
      </c>
      <c r="AC388">
        <v>0</v>
      </c>
      <c r="AD388">
        <v>0</v>
      </c>
      <c r="AE388">
        <v>0</v>
      </c>
      <c r="AF388" s="22" t="s">
        <v>53</v>
      </c>
      <c r="AG388" s="22" t="s">
        <v>53</v>
      </c>
      <c r="AH388" s="22" t="s">
        <v>53</v>
      </c>
      <c r="AI388" s="22" t="s">
        <v>53</v>
      </c>
      <c r="AJ388">
        <v>25</v>
      </c>
      <c r="AK388">
        <v>29</v>
      </c>
      <c r="AL388">
        <v>44</v>
      </c>
      <c r="AM388">
        <v>17</v>
      </c>
      <c r="AN388" s="22">
        <v>0.12</v>
      </c>
      <c r="AO388" s="22">
        <v>0.103448275862069</v>
      </c>
      <c r="AP388" s="22">
        <v>0.159090909090909</v>
      </c>
      <c r="AQ388" s="22">
        <v>0.117647058823529</v>
      </c>
      <c r="AR388" s="35">
        <v>0.428571428571429</v>
      </c>
      <c r="AS388" s="35">
        <v>25.7142857142857</v>
      </c>
      <c r="AT388" s="35">
        <v>-7.71428571428571</v>
      </c>
      <c r="AU388" s="31">
        <f t="shared" si="9"/>
        <v>42</v>
      </c>
      <c r="AV388" s="36">
        <f>IFERROR(时间!$B$4+AU388,"上周无销量")</f>
        <v>43360</v>
      </c>
    </row>
    <row r="389" spans="1:48">
      <c r="A389" s="20" t="s">
        <v>905</v>
      </c>
      <c r="B389" t="s">
        <v>906</v>
      </c>
      <c r="C389" t="s">
        <v>904</v>
      </c>
      <c r="D389" s="31">
        <v>2</v>
      </c>
      <c r="E389" s="31">
        <v>6</v>
      </c>
      <c r="F389" s="31">
        <v>5</v>
      </c>
      <c r="G389" s="31">
        <v>4</v>
      </c>
      <c r="H389" s="32">
        <v>19</v>
      </c>
      <c r="I389">
        <v>12</v>
      </c>
      <c r="J389" s="33">
        <v>75</v>
      </c>
      <c r="K389" s="33">
        <v>0</v>
      </c>
      <c r="L389" s="33">
        <v>0</v>
      </c>
      <c r="M389">
        <v>87</v>
      </c>
      <c r="N389">
        <v>0</v>
      </c>
      <c r="O389">
        <v>0</v>
      </c>
      <c r="P389" t="s">
        <v>53</v>
      </c>
      <c r="Q389" t="s">
        <v>53</v>
      </c>
      <c r="R389" t="s">
        <v>53</v>
      </c>
      <c r="S389" t="s">
        <v>53</v>
      </c>
      <c r="T389" t="s">
        <v>53</v>
      </c>
      <c r="U389" t="s">
        <v>53</v>
      </c>
      <c r="V389" t="s">
        <v>53</v>
      </c>
      <c r="W389" t="s">
        <v>53</v>
      </c>
      <c r="X389" s="22" t="s">
        <v>53</v>
      </c>
      <c r="Y389" s="22" t="s">
        <v>53</v>
      </c>
      <c r="Z389" s="22" t="s">
        <v>53</v>
      </c>
      <c r="AA389" s="22" t="s">
        <v>53</v>
      </c>
      <c r="AB389" t="s">
        <v>53</v>
      </c>
      <c r="AC389" t="s">
        <v>53</v>
      </c>
      <c r="AD389" t="s">
        <v>53</v>
      </c>
      <c r="AE389" t="s">
        <v>53</v>
      </c>
      <c r="AF389" s="22" t="s">
        <v>53</v>
      </c>
      <c r="AG389" s="22" t="s">
        <v>53</v>
      </c>
      <c r="AH389" s="22" t="s">
        <v>53</v>
      </c>
      <c r="AI389" s="22" t="s">
        <v>53</v>
      </c>
      <c r="AJ389">
        <v>26</v>
      </c>
      <c r="AK389">
        <v>47</v>
      </c>
      <c r="AL389">
        <v>43</v>
      </c>
      <c r="AM389">
        <v>31</v>
      </c>
      <c r="AN389" s="22">
        <v>0.0769230769230769</v>
      </c>
      <c r="AO389" s="22">
        <v>0.127659574468085</v>
      </c>
      <c r="AP389" s="22">
        <v>0.116279069767442</v>
      </c>
      <c r="AQ389" s="22">
        <v>0.129032258064516</v>
      </c>
      <c r="AR389" s="35">
        <v>0.285714285714286</v>
      </c>
      <c r="AS389" s="35">
        <v>17.1428571428571</v>
      </c>
      <c r="AT389" s="35">
        <v>69.8571428571429</v>
      </c>
      <c r="AU389" s="31">
        <f t="shared" ref="AU389:AU452" si="10">IF(AR389="","库存为"&amp;M389,IF(AS389=0,"库存为"&amp;M389,INT(M389/AR389)))</f>
        <v>304</v>
      </c>
      <c r="AV389" s="36">
        <f>IFERROR(时间!$B$4+AU389,"上周无销量")</f>
        <v>43622</v>
      </c>
    </row>
    <row r="390" spans="1:48">
      <c r="A390" s="20" t="s">
        <v>907</v>
      </c>
      <c r="B390" t="s">
        <v>908</v>
      </c>
      <c r="C390" t="s">
        <v>904</v>
      </c>
      <c r="D390" s="31">
        <v>1</v>
      </c>
      <c r="E390" s="31">
        <v>1</v>
      </c>
      <c r="F390" s="31">
        <v>1</v>
      </c>
      <c r="G390" s="31">
        <v>2</v>
      </c>
      <c r="H390" s="32">
        <v>25.8</v>
      </c>
      <c r="I390">
        <v>24</v>
      </c>
      <c r="J390" s="33">
        <v>0</v>
      </c>
      <c r="K390" s="33">
        <v>0</v>
      </c>
      <c r="L390" s="33">
        <v>0</v>
      </c>
      <c r="M390">
        <v>24</v>
      </c>
      <c r="N390">
        <v>0</v>
      </c>
      <c r="O390">
        <v>23</v>
      </c>
      <c r="P390" t="s">
        <v>53</v>
      </c>
      <c r="Q390" t="s">
        <v>53</v>
      </c>
      <c r="R390" t="s">
        <v>53</v>
      </c>
      <c r="S390" t="s">
        <v>53</v>
      </c>
      <c r="T390" t="s">
        <v>53</v>
      </c>
      <c r="U390" t="s">
        <v>53</v>
      </c>
      <c r="V390" t="s">
        <v>53</v>
      </c>
      <c r="W390" t="s">
        <v>53</v>
      </c>
      <c r="X390" s="22" t="s">
        <v>53</v>
      </c>
      <c r="Y390" s="22" t="s">
        <v>53</v>
      </c>
      <c r="Z390" s="22" t="s">
        <v>53</v>
      </c>
      <c r="AA390" s="22" t="s">
        <v>53</v>
      </c>
      <c r="AB390" t="s">
        <v>53</v>
      </c>
      <c r="AC390" t="s">
        <v>53</v>
      </c>
      <c r="AD390" t="s">
        <v>53</v>
      </c>
      <c r="AE390" t="s">
        <v>53</v>
      </c>
      <c r="AF390" s="22" t="s">
        <v>53</v>
      </c>
      <c r="AG390" s="22" t="s">
        <v>53</v>
      </c>
      <c r="AH390" s="22" t="s">
        <v>53</v>
      </c>
      <c r="AI390" s="22" t="s">
        <v>53</v>
      </c>
      <c r="AJ390">
        <v>13</v>
      </c>
      <c r="AK390">
        <v>10</v>
      </c>
      <c r="AL390">
        <v>16</v>
      </c>
      <c r="AM390">
        <v>9</v>
      </c>
      <c r="AN390" s="22">
        <v>0.0769230769230769</v>
      </c>
      <c r="AO390" s="22">
        <v>0.1</v>
      </c>
      <c r="AP390" s="22">
        <v>0.0625</v>
      </c>
      <c r="AQ390" s="22">
        <v>0.222222222222222</v>
      </c>
      <c r="AR390" s="35">
        <v>0.142857142857143</v>
      </c>
      <c r="AS390" s="35">
        <v>8.57142857142857</v>
      </c>
      <c r="AT390" s="35">
        <v>15.4285714285714</v>
      </c>
      <c r="AU390" s="31">
        <f t="shared" si="10"/>
        <v>168</v>
      </c>
      <c r="AV390" s="36">
        <f>IFERROR(时间!$B$4+AU390,"上周无销量")</f>
        <v>43486</v>
      </c>
    </row>
    <row r="391" spans="1:48">
      <c r="A391" s="20" t="s">
        <v>909</v>
      </c>
      <c r="B391" t="s">
        <v>910</v>
      </c>
      <c r="C391" t="s">
        <v>904</v>
      </c>
      <c r="D391" s="31">
        <v>0</v>
      </c>
      <c r="E391" s="31">
        <v>1</v>
      </c>
      <c r="F391" s="31">
        <v>0</v>
      </c>
      <c r="G391" s="31">
        <v>1</v>
      </c>
      <c r="H391" s="32">
        <v>29.3</v>
      </c>
      <c r="I391">
        <v>19</v>
      </c>
      <c r="J391" s="33">
        <v>0</v>
      </c>
      <c r="K391" s="33">
        <v>0</v>
      </c>
      <c r="L391" s="33">
        <v>0</v>
      </c>
      <c r="M391">
        <v>19</v>
      </c>
      <c r="N391">
        <v>0</v>
      </c>
      <c r="O391">
        <v>19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13</v>
      </c>
      <c r="AK391">
        <v>13</v>
      </c>
      <c r="AL391">
        <v>16</v>
      </c>
      <c r="AM391">
        <v>12</v>
      </c>
      <c r="AN391" s="22">
        <v>0</v>
      </c>
      <c r="AO391" s="22">
        <v>0.0769230769230769</v>
      </c>
      <c r="AP391" s="22">
        <v>0</v>
      </c>
      <c r="AQ391" s="22">
        <v>0.0833333333333333</v>
      </c>
      <c r="AR391" s="35">
        <v>0</v>
      </c>
      <c r="AS391" s="35">
        <v>0</v>
      </c>
      <c r="AT391" s="35">
        <v>19</v>
      </c>
      <c r="AU391" s="31" t="str">
        <f t="shared" si="10"/>
        <v>库存为19</v>
      </c>
      <c r="AV391" s="36" t="str">
        <f>IFERROR(时间!$B$4+AU391,"上周无销量")</f>
        <v>上周无销量</v>
      </c>
    </row>
    <row r="392" spans="1:48">
      <c r="A392" s="20" t="s">
        <v>911</v>
      </c>
      <c r="B392" t="s">
        <v>912</v>
      </c>
      <c r="C392" t="s">
        <v>904</v>
      </c>
      <c r="D392" s="31">
        <v>1</v>
      </c>
      <c r="E392" s="31">
        <v>3</v>
      </c>
      <c r="F392" s="31">
        <v>2</v>
      </c>
      <c r="G392" s="31">
        <v>0</v>
      </c>
      <c r="H392" s="32">
        <v>32.6</v>
      </c>
      <c r="I392">
        <v>31</v>
      </c>
      <c r="J392" s="33">
        <v>0</v>
      </c>
      <c r="K392" s="33">
        <v>0</v>
      </c>
      <c r="L392" s="33">
        <v>0</v>
      </c>
      <c r="M392">
        <v>31</v>
      </c>
      <c r="N392">
        <v>0</v>
      </c>
      <c r="O392">
        <v>31</v>
      </c>
      <c r="P392">
        <v>140</v>
      </c>
      <c r="Q392">
        <v>105</v>
      </c>
      <c r="R392">
        <v>138</v>
      </c>
      <c r="S392">
        <v>236</v>
      </c>
      <c r="T392">
        <v>0</v>
      </c>
      <c r="U392">
        <v>1</v>
      </c>
      <c r="V392">
        <v>1</v>
      </c>
      <c r="W392">
        <v>0</v>
      </c>
      <c r="X392" s="22">
        <v>0</v>
      </c>
      <c r="Y392" s="22">
        <v>0.00952380952380952</v>
      </c>
      <c r="Z392" s="22">
        <v>0.0072463768115942</v>
      </c>
      <c r="AA392" s="22">
        <v>0</v>
      </c>
      <c r="AB392">
        <v>0</v>
      </c>
      <c r="AC392">
        <v>0.17</v>
      </c>
      <c r="AD392">
        <v>0.2</v>
      </c>
      <c r="AE392">
        <v>0</v>
      </c>
      <c r="AF392" s="22" t="s">
        <v>53</v>
      </c>
      <c r="AG392" s="22">
        <v>0.00173824130879346</v>
      </c>
      <c r="AH392" s="22">
        <v>0.00306748466257669</v>
      </c>
      <c r="AI392" s="22" t="s">
        <v>53</v>
      </c>
      <c r="AJ392">
        <v>22</v>
      </c>
      <c r="AK392">
        <v>23</v>
      </c>
      <c r="AL392">
        <v>30</v>
      </c>
      <c r="AM392">
        <v>14</v>
      </c>
      <c r="AN392" s="22">
        <v>0.0454545454545455</v>
      </c>
      <c r="AO392" s="22">
        <v>0.130434782608696</v>
      </c>
      <c r="AP392" s="22">
        <v>0.0666666666666667</v>
      </c>
      <c r="AQ392" s="22">
        <v>0</v>
      </c>
      <c r="AR392" s="35">
        <v>0.142857142857143</v>
      </c>
      <c r="AS392" s="35">
        <v>8.57142857142857</v>
      </c>
      <c r="AT392" s="35">
        <v>22.4285714285714</v>
      </c>
      <c r="AU392" s="31">
        <f t="shared" si="10"/>
        <v>217</v>
      </c>
      <c r="AV392" s="36">
        <f>IFERROR(时间!$B$4+AU392,"上周无销量")</f>
        <v>43535</v>
      </c>
    </row>
    <row r="393" spans="1:48">
      <c r="A393" s="20" t="s">
        <v>913</v>
      </c>
      <c r="B393" t="s">
        <v>914</v>
      </c>
      <c r="C393" t="s">
        <v>904</v>
      </c>
      <c r="D393" s="31">
        <v>1</v>
      </c>
      <c r="E393" s="31">
        <v>0</v>
      </c>
      <c r="F393" s="31">
        <v>0</v>
      </c>
      <c r="G393" s="31">
        <v>1</v>
      </c>
      <c r="H393" s="32">
        <v>35.4</v>
      </c>
      <c r="I393">
        <v>16</v>
      </c>
      <c r="J393" s="33">
        <v>0</v>
      </c>
      <c r="K393" s="33">
        <v>0</v>
      </c>
      <c r="L393" s="33">
        <v>0</v>
      </c>
      <c r="M393">
        <v>16</v>
      </c>
      <c r="N393">
        <v>0</v>
      </c>
      <c r="O393">
        <v>16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15</v>
      </c>
      <c r="AK393">
        <v>19</v>
      </c>
      <c r="AL393">
        <v>21</v>
      </c>
      <c r="AM393">
        <v>18</v>
      </c>
      <c r="AN393" s="22">
        <v>0.0666666666666667</v>
      </c>
      <c r="AO393" s="22">
        <v>0</v>
      </c>
      <c r="AP393" s="22">
        <v>0</v>
      </c>
      <c r="AQ393" s="22">
        <v>0.0555555555555556</v>
      </c>
      <c r="AR393" s="35">
        <v>0.142857142857143</v>
      </c>
      <c r="AS393" s="35">
        <v>8.57142857142857</v>
      </c>
      <c r="AT393" s="35">
        <v>7.42857142857143</v>
      </c>
      <c r="AU393" s="31">
        <f t="shared" si="10"/>
        <v>112</v>
      </c>
      <c r="AV393" s="36">
        <f>IFERROR(时间!$B$4+AU393,"上周无销量")</f>
        <v>43430</v>
      </c>
    </row>
    <row r="394" spans="1:48">
      <c r="A394" s="20" t="s">
        <v>915</v>
      </c>
      <c r="B394" t="s">
        <v>916</v>
      </c>
      <c r="C394" t="s">
        <v>904</v>
      </c>
      <c r="D394" s="31">
        <v>2</v>
      </c>
      <c r="E394" s="31">
        <v>2</v>
      </c>
      <c r="F394" s="31">
        <v>3</v>
      </c>
      <c r="G394" s="31">
        <v>1</v>
      </c>
      <c r="H394" s="32">
        <v>8.3</v>
      </c>
      <c r="I394">
        <v>15</v>
      </c>
      <c r="J394" s="33">
        <v>0</v>
      </c>
      <c r="K394" s="33">
        <v>0</v>
      </c>
      <c r="L394" s="33">
        <v>0</v>
      </c>
      <c r="M394">
        <v>15</v>
      </c>
      <c r="N394">
        <v>0</v>
      </c>
      <c r="O394">
        <v>6</v>
      </c>
      <c r="P394">
        <v>4127</v>
      </c>
      <c r="Q394">
        <v>4143</v>
      </c>
      <c r="R394">
        <v>5566</v>
      </c>
      <c r="S394">
        <v>7182</v>
      </c>
      <c r="T394">
        <v>43</v>
      </c>
      <c r="U394">
        <v>42</v>
      </c>
      <c r="V394">
        <v>52</v>
      </c>
      <c r="W394">
        <v>51</v>
      </c>
      <c r="X394" s="22">
        <v>0.0104191906954204</v>
      </c>
      <c r="Y394" s="22">
        <v>0.0101375814627082</v>
      </c>
      <c r="Z394" s="22">
        <v>0.00934243621990658</v>
      </c>
      <c r="AA394" s="22">
        <v>0.00710108604845447</v>
      </c>
      <c r="AB394">
        <v>5.91</v>
      </c>
      <c r="AC394">
        <v>7.01</v>
      </c>
      <c r="AD394">
        <v>10.37</v>
      </c>
      <c r="AE394">
        <v>10.57</v>
      </c>
      <c r="AF394" s="22">
        <v>0.356024096385542</v>
      </c>
      <c r="AG394" s="22">
        <v>0.422289156626506</v>
      </c>
      <c r="AH394" s="22">
        <v>0.416465863453815</v>
      </c>
      <c r="AI394" s="22">
        <v>1.27349397590361</v>
      </c>
      <c r="AJ394">
        <v>41</v>
      </c>
      <c r="AK394">
        <v>69</v>
      </c>
      <c r="AL394">
        <v>76</v>
      </c>
      <c r="AM394">
        <v>50</v>
      </c>
      <c r="AN394" s="22">
        <v>0.0487804878048781</v>
      </c>
      <c r="AO394" s="22">
        <v>0.0289855072463768</v>
      </c>
      <c r="AP394" s="22">
        <v>0.0394736842105263</v>
      </c>
      <c r="AQ394" s="22">
        <v>0.02</v>
      </c>
      <c r="AR394" s="35">
        <v>0.285714285714286</v>
      </c>
      <c r="AS394" s="35">
        <v>17.1428571428571</v>
      </c>
      <c r="AT394" s="35">
        <v>-2.14285714285714</v>
      </c>
      <c r="AU394" s="31">
        <f t="shared" si="10"/>
        <v>52</v>
      </c>
      <c r="AV394" s="36">
        <f>IFERROR(时间!$B$4+AU394,"上周无销量")</f>
        <v>43370</v>
      </c>
    </row>
    <row r="395" spans="1:48">
      <c r="A395" s="20" t="s">
        <v>917</v>
      </c>
      <c r="B395" t="s">
        <v>918</v>
      </c>
      <c r="C395" t="s">
        <v>904</v>
      </c>
      <c r="D395" s="31">
        <v>1</v>
      </c>
      <c r="E395" s="31">
        <v>1</v>
      </c>
      <c r="F395" s="31">
        <v>1</v>
      </c>
      <c r="G395" s="31">
        <v>4</v>
      </c>
      <c r="H395" s="32">
        <v>12.4</v>
      </c>
      <c r="I395">
        <v>2</v>
      </c>
      <c r="J395" s="33">
        <v>0</v>
      </c>
      <c r="K395" s="33">
        <v>0</v>
      </c>
      <c r="L395" s="33">
        <v>0</v>
      </c>
      <c r="M395">
        <v>2</v>
      </c>
      <c r="N395">
        <v>0</v>
      </c>
      <c r="O395">
        <v>0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21</v>
      </c>
      <c r="AK395">
        <v>17</v>
      </c>
      <c r="AL395">
        <v>22</v>
      </c>
      <c r="AM395">
        <v>14</v>
      </c>
      <c r="AN395" s="22">
        <v>0.0476190476190476</v>
      </c>
      <c r="AO395" s="22">
        <v>0.0588235294117647</v>
      </c>
      <c r="AP395" s="22">
        <v>0.0454545454545455</v>
      </c>
      <c r="AQ395" s="22">
        <v>0.285714285714286</v>
      </c>
      <c r="AR395" s="35">
        <v>0.142857142857143</v>
      </c>
      <c r="AS395" s="35">
        <v>8.57142857142857</v>
      </c>
      <c r="AT395" s="35">
        <v>-6.57142857142857</v>
      </c>
      <c r="AU395" s="31">
        <f t="shared" si="10"/>
        <v>14</v>
      </c>
      <c r="AV395" s="36">
        <f>IFERROR(时间!$B$4+AU395,"上周无销量")</f>
        <v>43332</v>
      </c>
    </row>
    <row r="396" spans="1:48">
      <c r="A396" s="20" t="s">
        <v>919</v>
      </c>
      <c r="B396" t="s">
        <v>920</v>
      </c>
      <c r="C396" t="s">
        <v>904</v>
      </c>
      <c r="D396" s="31">
        <v>10</v>
      </c>
      <c r="E396" s="31">
        <v>9</v>
      </c>
      <c r="F396" s="31">
        <v>16</v>
      </c>
      <c r="G396" s="31">
        <v>4</v>
      </c>
      <c r="H396" s="32">
        <v>15.9</v>
      </c>
      <c r="I396">
        <v>45</v>
      </c>
      <c r="J396" s="33">
        <v>59</v>
      </c>
      <c r="K396" s="33">
        <v>0</v>
      </c>
      <c r="L396" s="33">
        <v>13</v>
      </c>
      <c r="M396">
        <v>117</v>
      </c>
      <c r="N396">
        <v>0</v>
      </c>
      <c r="O396">
        <v>0</v>
      </c>
      <c r="P396">
        <v>14339</v>
      </c>
      <c r="Q396">
        <v>9333</v>
      </c>
      <c r="R396">
        <v>8757</v>
      </c>
      <c r="S396">
        <v>5153</v>
      </c>
      <c r="T396">
        <v>96</v>
      </c>
      <c r="U396">
        <v>90</v>
      </c>
      <c r="V396">
        <v>62</v>
      </c>
      <c r="W396">
        <v>41</v>
      </c>
      <c r="X396" s="22">
        <v>0.00669502754724876</v>
      </c>
      <c r="Y396" s="22">
        <v>0.00964320154291225</v>
      </c>
      <c r="Z396" s="22">
        <v>0.00708005024551787</v>
      </c>
      <c r="AA396" s="22">
        <v>0.00795653017659616</v>
      </c>
      <c r="AB396">
        <v>73.09</v>
      </c>
      <c r="AC396">
        <v>62.68</v>
      </c>
      <c r="AD396">
        <v>45.86</v>
      </c>
      <c r="AE396">
        <v>29.62</v>
      </c>
      <c r="AF396" s="22">
        <v>0.459685534591195</v>
      </c>
      <c r="AG396" s="22">
        <v>0.43801537386443</v>
      </c>
      <c r="AH396" s="22">
        <v>0.180267295597484</v>
      </c>
      <c r="AI396" s="22">
        <v>0.465723270440252</v>
      </c>
      <c r="AJ396">
        <v>127</v>
      </c>
      <c r="AK396">
        <v>125</v>
      </c>
      <c r="AL396">
        <v>85</v>
      </c>
      <c r="AM396">
        <v>67</v>
      </c>
      <c r="AN396" s="22">
        <v>0.078740157480315</v>
      </c>
      <c r="AO396" s="22">
        <v>0.072</v>
      </c>
      <c r="AP396" s="22">
        <v>0.188235294117647</v>
      </c>
      <c r="AQ396" s="22">
        <v>0.0597014925373134</v>
      </c>
      <c r="AR396" s="35">
        <v>1.42857142857143</v>
      </c>
      <c r="AS396" s="35">
        <v>85.7142857142857</v>
      </c>
      <c r="AT396" s="35">
        <v>31.2857142857143</v>
      </c>
      <c r="AU396" s="31">
        <f t="shared" si="10"/>
        <v>81</v>
      </c>
      <c r="AV396" s="36">
        <f>IFERROR(时间!$B$4+AU396,"上周无销量")</f>
        <v>43399</v>
      </c>
    </row>
    <row r="397" spans="1:48">
      <c r="A397" s="20" t="s">
        <v>921</v>
      </c>
      <c r="B397" t="s">
        <v>922</v>
      </c>
      <c r="C397" t="s">
        <v>904</v>
      </c>
      <c r="D397" s="31">
        <v>2</v>
      </c>
      <c r="E397" s="31">
        <v>18</v>
      </c>
      <c r="F397" s="31">
        <v>7</v>
      </c>
      <c r="G397" s="31">
        <v>4</v>
      </c>
      <c r="H397" s="32">
        <v>19</v>
      </c>
      <c r="I397">
        <v>27</v>
      </c>
      <c r="J397" s="33">
        <v>30</v>
      </c>
      <c r="K397" s="33">
        <v>0</v>
      </c>
      <c r="L397" s="33">
        <v>10</v>
      </c>
      <c r="M397">
        <v>67</v>
      </c>
      <c r="N397">
        <v>0</v>
      </c>
      <c r="O397">
        <v>0</v>
      </c>
      <c r="P397">
        <v>9150</v>
      </c>
      <c r="Q397">
        <v>32314</v>
      </c>
      <c r="R397">
        <v>55561</v>
      </c>
      <c r="S397">
        <v>66824</v>
      </c>
      <c r="T397">
        <v>40</v>
      </c>
      <c r="U397">
        <v>128</v>
      </c>
      <c r="V397">
        <v>200</v>
      </c>
      <c r="W397">
        <v>179</v>
      </c>
      <c r="X397" s="22">
        <v>0.00437158469945355</v>
      </c>
      <c r="Y397" s="22">
        <v>0.0039611313981556</v>
      </c>
      <c r="Z397" s="22">
        <v>0.00359964723457101</v>
      </c>
      <c r="AA397" s="22">
        <v>0.00267867831916677</v>
      </c>
      <c r="AB397">
        <v>26.06</v>
      </c>
      <c r="AC397">
        <v>83.86</v>
      </c>
      <c r="AD397">
        <v>130.25</v>
      </c>
      <c r="AE397">
        <v>105.9</v>
      </c>
      <c r="AF397" s="22">
        <v>0.685789473684211</v>
      </c>
      <c r="AG397" s="22">
        <v>0.245204678362573</v>
      </c>
      <c r="AH397" s="22">
        <v>0.979323308270677</v>
      </c>
      <c r="AI397" s="22">
        <v>1.39342105263158</v>
      </c>
      <c r="AJ397">
        <v>54</v>
      </c>
      <c r="AK397">
        <v>154</v>
      </c>
      <c r="AL397">
        <v>190</v>
      </c>
      <c r="AM397">
        <v>144</v>
      </c>
      <c r="AN397" s="22">
        <v>0.037037037037037</v>
      </c>
      <c r="AO397" s="22">
        <v>0.116883116883117</v>
      </c>
      <c r="AP397" s="22">
        <v>0.0368421052631579</v>
      </c>
      <c r="AQ397" s="22">
        <v>0.0277777777777778</v>
      </c>
      <c r="AR397" s="35">
        <v>0.285714285714286</v>
      </c>
      <c r="AS397" s="35">
        <v>17.1428571428571</v>
      </c>
      <c r="AT397" s="35">
        <v>49.8571428571429</v>
      </c>
      <c r="AU397" s="31">
        <f t="shared" si="10"/>
        <v>234</v>
      </c>
      <c r="AV397" s="36">
        <f>IFERROR(时间!$B$4+AU397,"上周无销量")</f>
        <v>43552</v>
      </c>
    </row>
    <row r="398" spans="1:48">
      <c r="A398" s="20" t="s">
        <v>923</v>
      </c>
      <c r="B398" t="s">
        <v>924</v>
      </c>
      <c r="C398" t="s">
        <v>904</v>
      </c>
      <c r="D398" s="31">
        <v>1</v>
      </c>
      <c r="E398" s="31">
        <v>20</v>
      </c>
      <c r="F398" s="31">
        <v>3</v>
      </c>
      <c r="G398" s="31">
        <v>3</v>
      </c>
      <c r="H398" s="32">
        <v>25.8</v>
      </c>
      <c r="I398">
        <v>11</v>
      </c>
      <c r="J398" s="33">
        <v>0</v>
      </c>
      <c r="K398" s="33">
        <v>0</v>
      </c>
      <c r="L398" s="33">
        <v>0</v>
      </c>
      <c r="M398">
        <v>11</v>
      </c>
      <c r="N398">
        <v>0</v>
      </c>
      <c r="O398">
        <v>0</v>
      </c>
      <c r="P398" t="s">
        <v>53</v>
      </c>
      <c r="Q398" t="s">
        <v>53</v>
      </c>
      <c r="R398" t="s">
        <v>53</v>
      </c>
      <c r="S398" t="s">
        <v>53</v>
      </c>
      <c r="T398" t="s">
        <v>53</v>
      </c>
      <c r="U398" t="s">
        <v>53</v>
      </c>
      <c r="V398" t="s">
        <v>53</v>
      </c>
      <c r="W398" t="s">
        <v>53</v>
      </c>
      <c r="X398" s="22" t="s">
        <v>53</v>
      </c>
      <c r="Y398" s="22" t="s">
        <v>53</v>
      </c>
      <c r="Z398" s="22" t="s">
        <v>53</v>
      </c>
      <c r="AA398" s="22" t="s">
        <v>53</v>
      </c>
      <c r="AB398" t="s">
        <v>53</v>
      </c>
      <c r="AC398" t="s">
        <v>53</v>
      </c>
      <c r="AD398" t="s">
        <v>53</v>
      </c>
      <c r="AE398" t="s">
        <v>53</v>
      </c>
      <c r="AF398" s="22" t="s">
        <v>53</v>
      </c>
      <c r="AG398" s="22" t="s">
        <v>53</v>
      </c>
      <c r="AH398" s="22" t="s">
        <v>53</v>
      </c>
      <c r="AI398" s="22" t="s">
        <v>53</v>
      </c>
      <c r="AJ398">
        <v>30</v>
      </c>
      <c r="AK398">
        <v>38</v>
      </c>
      <c r="AL398">
        <v>27</v>
      </c>
      <c r="AM398">
        <v>17</v>
      </c>
      <c r="AN398" s="22">
        <v>0.0333333333333333</v>
      </c>
      <c r="AO398" s="22">
        <v>0.526315789473684</v>
      </c>
      <c r="AP398" s="22">
        <v>0.111111111111111</v>
      </c>
      <c r="AQ398" s="22">
        <v>0.176470588235294</v>
      </c>
      <c r="AR398" s="35">
        <v>0.142857142857143</v>
      </c>
      <c r="AS398" s="35">
        <v>8.57142857142857</v>
      </c>
      <c r="AT398" s="35">
        <v>2.42857142857143</v>
      </c>
      <c r="AU398" s="31">
        <f t="shared" si="10"/>
        <v>77</v>
      </c>
      <c r="AV398" s="36">
        <f>IFERROR(时间!$B$4+AU398,"上周无销量")</f>
        <v>43395</v>
      </c>
    </row>
    <row r="399" spans="1:48">
      <c r="A399" s="20" t="s">
        <v>925</v>
      </c>
      <c r="B399" t="s">
        <v>926</v>
      </c>
      <c r="C399" t="s">
        <v>904</v>
      </c>
      <c r="D399" s="31">
        <v>0</v>
      </c>
      <c r="E399" s="31">
        <v>2</v>
      </c>
      <c r="F399" s="31">
        <v>3</v>
      </c>
      <c r="G399" s="31">
        <v>4</v>
      </c>
      <c r="H399" s="32">
        <v>29.3</v>
      </c>
      <c r="I399">
        <v>15</v>
      </c>
      <c r="J399" s="33">
        <v>5</v>
      </c>
      <c r="K399" s="33">
        <v>0</v>
      </c>
      <c r="L399" s="33">
        <v>0</v>
      </c>
      <c r="M399">
        <v>20</v>
      </c>
      <c r="N399">
        <v>0</v>
      </c>
      <c r="O399">
        <v>10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27</v>
      </c>
      <c r="AK399">
        <v>28</v>
      </c>
      <c r="AL399">
        <v>22</v>
      </c>
      <c r="AM399">
        <v>22</v>
      </c>
      <c r="AN399" s="22">
        <v>0</v>
      </c>
      <c r="AO399" s="22">
        <v>0.0714285714285714</v>
      </c>
      <c r="AP399" s="22">
        <v>0.136363636363636</v>
      </c>
      <c r="AQ399" s="22">
        <v>0.181818181818182</v>
      </c>
      <c r="AR399" s="35">
        <v>0</v>
      </c>
      <c r="AS399" s="35">
        <v>0</v>
      </c>
      <c r="AT399" s="35">
        <v>20</v>
      </c>
      <c r="AU399" s="31" t="str">
        <f t="shared" si="10"/>
        <v>库存为20</v>
      </c>
      <c r="AV399" s="36" t="str">
        <f>IFERROR(时间!$B$4+AU399,"上周无销量")</f>
        <v>上周无销量</v>
      </c>
    </row>
    <row r="400" spans="1:48">
      <c r="A400" s="20" t="s">
        <v>927</v>
      </c>
      <c r="B400" t="s">
        <v>928</v>
      </c>
      <c r="C400" t="s">
        <v>904</v>
      </c>
      <c r="D400" s="31">
        <v>2</v>
      </c>
      <c r="E400" s="31">
        <v>4</v>
      </c>
      <c r="F400" s="31">
        <v>1</v>
      </c>
      <c r="G400" s="31">
        <v>2</v>
      </c>
      <c r="H400" s="32">
        <v>32.6</v>
      </c>
      <c r="I400">
        <v>9</v>
      </c>
      <c r="J400" s="33">
        <v>0</v>
      </c>
      <c r="K400" s="33">
        <v>0</v>
      </c>
      <c r="L400" s="33">
        <v>5</v>
      </c>
      <c r="M400">
        <v>14</v>
      </c>
      <c r="N400">
        <v>0</v>
      </c>
      <c r="O400">
        <v>0</v>
      </c>
      <c r="P400" t="s">
        <v>53</v>
      </c>
      <c r="Q400" t="s">
        <v>53</v>
      </c>
      <c r="R400" t="s">
        <v>53</v>
      </c>
      <c r="S400" t="s">
        <v>53</v>
      </c>
      <c r="T400" t="s">
        <v>53</v>
      </c>
      <c r="U400" t="s">
        <v>53</v>
      </c>
      <c r="V400" t="s">
        <v>53</v>
      </c>
      <c r="W400" t="s">
        <v>53</v>
      </c>
      <c r="X400" s="22" t="s">
        <v>53</v>
      </c>
      <c r="Y400" s="22" t="s">
        <v>53</v>
      </c>
      <c r="Z400" s="22" t="s">
        <v>53</v>
      </c>
      <c r="AA400" s="22" t="s">
        <v>53</v>
      </c>
      <c r="AB400" t="s">
        <v>53</v>
      </c>
      <c r="AC400" t="s">
        <v>53</v>
      </c>
      <c r="AD400" t="s">
        <v>53</v>
      </c>
      <c r="AE400" t="s">
        <v>53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67</v>
      </c>
      <c r="AK400">
        <v>60</v>
      </c>
      <c r="AL400">
        <v>33</v>
      </c>
      <c r="AM400">
        <v>23</v>
      </c>
      <c r="AN400" s="22">
        <v>0.0298507462686567</v>
      </c>
      <c r="AO400" s="22">
        <v>0.0666666666666667</v>
      </c>
      <c r="AP400" s="22">
        <v>0.0303030303030303</v>
      </c>
      <c r="AQ400" s="22">
        <v>0.0869565217391304</v>
      </c>
      <c r="AR400" s="35">
        <v>0.285714285714286</v>
      </c>
      <c r="AS400" s="35">
        <v>17.1428571428571</v>
      </c>
      <c r="AT400" s="35">
        <v>-3.14285714285714</v>
      </c>
      <c r="AU400" s="31">
        <f t="shared" si="10"/>
        <v>49</v>
      </c>
      <c r="AV400" s="36">
        <f>IFERROR(时间!$B$4+AU400,"上周无销量")</f>
        <v>43367</v>
      </c>
    </row>
    <row r="401" spans="1:48">
      <c r="A401" s="20" t="s">
        <v>929</v>
      </c>
      <c r="B401" t="s">
        <v>930</v>
      </c>
      <c r="C401" t="s">
        <v>904</v>
      </c>
      <c r="D401" s="31">
        <v>5</v>
      </c>
      <c r="E401" s="31">
        <v>7</v>
      </c>
      <c r="F401" s="31">
        <v>6</v>
      </c>
      <c r="G401" s="31">
        <v>1</v>
      </c>
      <c r="H401" s="32">
        <v>35.4</v>
      </c>
      <c r="I401">
        <v>6</v>
      </c>
      <c r="J401" s="33">
        <v>0</v>
      </c>
      <c r="K401" s="33">
        <v>0</v>
      </c>
      <c r="L401" s="33">
        <v>1</v>
      </c>
      <c r="M401">
        <v>7</v>
      </c>
      <c r="N401">
        <v>0</v>
      </c>
      <c r="O401">
        <v>0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41</v>
      </c>
      <c r="AK401">
        <v>39</v>
      </c>
      <c r="AL401">
        <v>24</v>
      </c>
      <c r="AM401">
        <v>19</v>
      </c>
      <c r="AN401" s="22">
        <v>0.121951219512195</v>
      </c>
      <c r="AO401" s="22">
        <v>0.179487179487179</v>
      </c>
      <c r="AP401" s="22">
        <v>0.25</v>
      </c>
      <c r="AQ401" s="22">
        <v>0.0526315789473684</v>
      </c>
      <c r="AR401" s="35">
        <v>0.714285714285714</v>
      </c>
      <c r="AS401" s="35">
        <v>42.8571428571429</v>
      </c>
      <c r="AT401" s="35">
        <v>-35.8571428571429</v>
      </c>
      <c r="AU401" s="31">
        <f t="shared" si="10"/>
        <v>9</v>
      </c>
      <c r="AV401" s="36">
        <f>IFERROR(时间!$B$4+AU401,"上周无销量")</f>
        <v>43327</v>
      </c>
    </row>
    <row r="402" spans="1:48">
      <c r="A402" s="20" t="s">
        <v>931</v>
      </c>
      <c r="B402" t="s">
        <v>932</v>
      </c>
      <c r="C402" t="s">
        <v>904</v>
      </c>
      <c r="D402" s="31">
        <v>9</v>
      </c>
      <c r="E402" s="31">
        <v>5</v>
      </c>
      <c r="F402" s="31">
        <v>8</v>
      </c>
      <c r="G402" s="31">
        <v>8</v>
      </c>
      <c r="H402" s="32">
        <v>8.3</v>
      </c>
      <c r="I402">
        <v>6</v>
      </c>
      <c r="J402" s="33">
        <v>40</v>
      </c>
      <c r="K402" s="33">
        <v>0</v>
      </c>
      <c r="L402" s="33">
        <v>3</v>
      </c>
      <c r="M402">
        <v>49</v>
      </c>
      <c r="N402">
        <v>1</v>
      </c>
      <c r="O402">
        <v>0</v>
      </c>
      <c r="P402">
        <v>4001</v>
      </c>
      <c r="Q402">
        <v>17730</v>
      </c>
      <c r="R402">
        <v>10094</v>
      </c>
      <c r="S402">
        <v>1311</v>
      </c>
      <c r="T402">
        <v>32</v>
      </c>
      <c r="U402">
        <v>87</v>
      </c>
      <c r="V402">
        <v>55</v>
      </c>
      <c r="W402">
        <v>22</v>
      </c>
      <c r="X402" s="22">
        <v>0.00799800049987503</v>
      </c>
      <c r="Y402" s="22">
        <v>0.00490693739424704</v>
      </c>
      <c r="Z402" s="22">
        <v>0.0054487814543293</v>
      </c>
      <c r="AA402" s="22">
        <v>0.0167810831426392</v>
      </c>
      <c r="AB402">
        <v>10.21</v>
      </c>
      <c r="AC402">
        <v>21.65</v>
      </c>
      <c r="AD402">
        <v>12.29</v>
      </c>
      <c r="AE402">
        <v>6.35</v>
      </c>
      <c r="AF402" s="22">
        <v>0.136680053547523</v>
      </c>
      <c r="AG402" s="22">
        <v>0.521686746987952</v>
      </c>
      <c r="AH402" s="22">
        <v>0.185090361445783</v>
      </c>
      <c r="AI402" s="22">
        <v>0.0956325301204819</v>
      </c>
      <c r="AJ402">
        <v>224</v>
      </c>
      <c r="AK402">
        <v>356</v>
      </c>
      <c r="AL402">
        <v>235</v>
      </c>
      <c r="AM402">
        <v>147</v>
      </c>
      <c r="AN402" s="22">
        <v>0.0401785714285714</v>
      </c>
      <c r="AO402" s="22">
        <v>0.0140449438202247</v>
      </c>
      <c r="AP402" s="22">
        <v>0.0340425531914894</v>
      </c>
      <c r="AQ402" s="22">
        <v>0.054421768707483</v>
      </c>
      <c r="AR402" s="35">
        <v>1.28571428571429</v>
      </c>
      <c r="AS402" s="35">
        <v>77.1428571428572</v>
      </c>
      <c r="AT402" s="35">
        <v>-28.1428571428572</v>
      </c>
      <c r="AU402" s="31">
        <f t="shared" si="10"/>
        <v>38</v>
      </c>
      <c r="AV402" s="36">
        <f>IFERROR(时间!$B$4+AU402,"上周无销量")</f>
        <v>43356</v>
      </c>
    </row>
    <row r="403" spans="1:48">
      <c r="A403" s="20" t="s">
        <v>933</v>
      </c>
      <c r="B403" t="s">
        <v>934</v>
      </c>
      <c r="C403" t="s">
        <v>904</v>
      </c>
      <c r="D403" s="31">
        <v>7</v>
      </c>
      <c r="E403" s="31">
        <v>4</v>
      </c>
      <c r="F403" s="31">
        <v>8</v>
      </c>
      <c r="G403" s="31">
        <v>3</v>
      </c>
      <c r="H403" s="32">
        <v>12.4</v>
      </c>
      <c r="I403">
        <v>27</v>
      </c>
      <c r="J403" s="33">
        <v>25</v>
      </c>
      <c r="K403" s="33">
        <v>0</v>
      </c>
      <c r="L403" s="33">
        <v>0</v>
      </c>
      <c r="M403">
        <v>52</v>
      </c>
      <c r="N403">
        <v>0</v>
      </c>
      <c r="O403">
        <v>0</v>
      </c>
      <c r="P403" t="s">
        <v>53</v>
      </c>
      <c r="Q403" t="s">
        <v>53</v>
      </c>
      <c r="R403" t="s">
        <v>53</v>
      </c>
      <c r="S403" t="s">
        <v>53</v>
      </c>
      <c r="T403" t="s">
        <v>53</v>
      </c>
      <c r="U403" t="s">
        <v>53</v>
      </c>
      <c r="V403" t="s">
        <v>53</v>
      </c>
      <c r="W403" t="s">
        <v>53</v>
      </c>
      <c r="X403" s="22" t="s">
        <v>53</v>
      </c>
      <c r="Y403" s="22" t="s">
        <v>53</v>
      </c>
      <c r="Z403" s="22" t="s">
        <v>53</v>
      </c>
      <c r="AA403" s="22" t="s">
        <v>53</v>
      </c>
      <c r="AB403" t="s">
        <v>53</v>
      </c>
      <c r="AC403" t="s">
        <v>53</v>
      </c>
      <c r="AD403" t="s">
        <v>53</v>
      </c>
      <c r="AE403" t="s">
        <v>53</v>
      </c>
      <c r="AF403" s="22" t="s">
        <v>53</v>
      </c>
      <c r="AG403" s="22" t="s">
        <v>53</v>
      </c>
      <c r="AH403" s="22" t="s">
        <v>53</v>
      </c>
      <c r="AI403" s="22" t="s">
        <v>53</v>
      </c>
      <c r="AJ403">
        <v>47</v>
      </c>
      <c r="AK403">
        <v>69</v>
      </c>
      <c r="AL403">
        <v>50</v>
      </c>
      <c r="AM403">
        <v>27</v>
      </c>
      <c r="AN403" s="22">
        <v>0.148936170212766</v>
      </c>
      <c r="AO403" s="22">
        <v>0.0579710144927536</v>
      </c>
      <c r="AP403" s="22">
        <v>0.16</v>
      </c>
      <c r="AQ403" s="22">
        <v>0.111111111111111</v>
      </c>
      <c r="AR403" s="35">
        <v>1</v>
      </c>
      <c r="AS403" s="35">
        <v>60</v>
      </c>
      <c r="AT403" s="35">
        <v>-8</v>
      </c>
      <c r="AU403" s="31">
        <f t="shared" si="10"/>
        <v>52</v>
      </c>
      <c r="AV403" s="36">
        <f>IFERROR(时间!$B$4+AU403,"上周无销量")</f>
        <v>43370</v>
      </c>
    </row>
    <row r="404" spans="1:48">
      <c r="A404" s="20" t="s">
        <v>935</v>
      </c>
      <c r="B404" t="s">
        <v>936</v>
      </c>
      <c r="C404" t="s">
        <v>904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2</v>
      </c>
      <c r="J404" s="33">
        <v>0</v>
      </c>
      <c r="K404" s="33">
        <v>0</v>
      </c>
      <c r="L404" s="33">
        <v>0</v>
      </c>
      <c r="M404">
        <v>2</v>
      </c>
      <c r="N404">
        <v>0</v>
      </c>
      <c r="O404">
        <v>2</v>
      </c>
      <c r="P404" t="s">
        <v>53</v>
      </c>
      <c r="Q404" t="s">
        <v>53</v>
      </c>
      <c r="R404" t="s">
        <v>53</v>
      </c>
      <c r="S404" t="s">
        <v>53</v>
      </c>
      <c r="T404" t="s">
        <v>53</v>
      </c>
      <c r="U404" t="s">
        <v>53</v>
      </c>
      <c r="V404" t="s">
        <v>53</v>
      </c>
      <c r="W404" t="s">
        <v>53</v>
      </c>
      <c r="X404" s="22" t="s">
        <v>53</v>
      </c>
      <c r="Y404" s="22" t="s">
        <v>53</v>
      </c>
      <c r="Z404" s="22" t="s">
        <v>53</v>
      </c>
      <c r="AA404" s="22" t="s">
        <v>53</v>
      </c>
      <c r="AB404" t="s">
        <v>53</v>
      </c>
      <c r="AC404" t="s">
        <v>53</v>
      </c>
      <c r="AD404" t="s">
        <v>53</v>
      </c>
      <c r="AE404" t="s">
        <v>53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0</v>
      </c>
      <c r="AK404">
        <v>0</v>
      </c>
      <c r="AL404">
        <v>0</v>
      </c>
      <c r="AM404">
        <v>5</v>
      </c>
      <c r="AN404" s="22" t="s">
        <v>53</v>
      </c>
      <c r="AO404" s="22" t="s">
        <v>53</v>
      </c>
      <c r="AP404" s="22" t="s">
        <v>53</v>
      </c>
      <c r="AQ404" s="22">
        <v>0</v>
      </c>
      <c r="AR404" s="35">
        <v>0</v>
      </c>
      <c r="AS404" s="35">
        <v>0</v>
      </c>
      <c r="AT404" s="35">
        <v>2</v>
      </c>
      <c r="AU404" s="31" t="str">
        <f t="shared" si="10"/>
        <v>库存为2</v>
      </c>
      <c r="AV404" s="36" t="str">
        <f>IFERROR(时间!$B$4+AU404,"上周无销量")</f>
        <v>上周无销量</v>
      </c>
    </row>
    <row r="405" spans="1:48">
      <c r="A405" s="20" t="s">
        <v>937</v>
      </c>
      <c r="B405" t="s">
        <v>938</v>
      </c>
      <c r="C405" t="s">
        <v>939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4</v>
      </c>
      <c r="J405" s="33">
        <v>0</v>
      </c>
      <c r="K405" s="33">
        <v>0</v>
      </c>
      <c r="L405" s="33">
        <v>0</v>
      </c>
      <c r="M405">
        <v>4</v>
      </c>
      <c r="N405">
        <v>0</v>
      </c>
      <c r="O405">
        <v>4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0</v>
      </c>
      <c r="AK405">
        <v>0</v>
      </c>
      <c r="AL405">
        <v>0</v>
      </c>
      <c r="AM405">
        <v>0</v>
      </c>
      <c r="AN405" s="22" t="s">
        <v>53</v>
      </c>
      <c r="AO405" s="22" t="s">
        <v>53</v>
      </c>
      <c r="AP405" s="22" t="s">
        <v>53</v>
      </c>
      <c r="AQ405" s="22" t="s">
        <v>53</v>
      </c>
      <c r="AR405" s="35">
        <v>0</v>
      </c>
      <c r="AS405" s="35">
        <v>0</v>
      </c>
      <c r="AT405" s="35">
        <v>4</v>
      </c>
      <c r="AU405" s="31" t="str">
        <f t="shared" si="10"/>
        <v>库存为4</v>
      </c>
      <c r="AV405" s="36" t="str">
        <f>IFERROR(时间!$B$4+AU405,"上周无销量")</f>
        <v>上周无销量</v>
      </c>
    </row>
    <row r="406" spans="1:48">
      <c r="A406" s="20" t="s">
        <v>940</v>
      </c>
      <c r="B406" t="s">
        <v>941</v>
      </c>
      <c r="C406" t="s">
        <v>939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7</v>
      </c>
      <c r="J406" s="33">
        <v>0</v>
      </c>
      <c r="K406" s="33">
        <v>0</v>
      </c>
      <c r="L406" s="33">
        <v>0</v>
      </c>
      <c r="M406">
        <v>7</v>
      </c>
      <c r="N406">
        <v>0</v>
      </c>
      <c r="O406">
        <v>7</v>
      </c>
      <c r="P406" t="s">
        <v>53</v>
      </c>
      <c r="Q406" t="s">
        <v>53</v>
      </c>
      <c r="R406" t="s">
        <v>53</v>
      </c>
      <c r="S406" t="s">
        <v>53</v>
      </c>
      <c r="T406" t="s">
        <v>53</v>
      </c>
      <c r="U406" t="s">
        <v>53</v>
      </c>
      <c r="V406" t="s">
        <v>53</v>
      </c>
      <c r="W406" t="s">
        <v>53</v>
      </c>
      <c r="X406" s="22" t="s">
        <v>53</v>
      </c>
      <c r="Y406" s="22" t="s">
        <v>53</v>
      </c>
      <c r="Z406" s="22" t="s">
        <v>53</v>
      </c>
      <c r="AA406" s="22" t="s">
        <v>53</v>
      </c>
      <c r="AB406" t="s">
        <v>53</v>
      </c>
      <c r="AC406" t="s">
        <v>53</v>
      </c>
      <c r="AD406" t="s">
        <v>53</v>
      </c>
      <c r="AE406" t="s">
        <v>53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0</v>
      </c>
      <c r="AK406">
        <v>0</v>
      </c>
      <c r="AL406">
        <v>0</v>
      </c>
      <c r="AM406">
        <v>0</v>
      </c>
      <c r="AN406" s="22" t="s">
        <v>53</v>
      </c>
      <c r="AO406" s="22" t="s">
        <v>53</v>
      </c>
      <c r="AP406" s="22" t="s">
        <v>53</v>
      </c>
      <c r="AQ406" s="22" t="s">
        <v>53</v>
      </c>
      <c r="AR406" s="35">
        <v>0</v>
      </c>
      <c r="AS406" s="35">
        <v>0</v>
      </c>
      <c r="AT406" s="35">
        <v>7</v>
      </c>
      <c r="AU406" s="31" t="str">
        <f t="shared" si="10"/>
        <v>库存为7</v>
      </c>
      <c r="AV406" s="36" t="str">
        <f>IFERROR(时间!$B$4+AU406,"上周无销量")</f>
        <v>上周无销量</v>
      </c>
    </row>
    <row r="407" spans="1:48">
      <c r="A407" s="20" t="s">
        <v>942</v>
      </c>
      <c r="B407" t="s">
        <v>943</v>
      </c>
      <c r="C407" t="s">
        <v>944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4</v>
      </c>
      <c r="J407" s="33">
        <v>0</v>
      </c>
      <c r="K407" s="33">
        <v>0</v>
      </c>
      <c r="L407" s="33">
        <v>0</v>
      </c>
      <c r="M407">
        <v>4</v>
      </c>
      <c r="N407">
        <v>0</v>
      </c>
      <c r="O407">
        <v>4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0</v>
      </c>
      <c r="AK407">
        <v>0</v>
      </c>
      <c r="AL407">
        <v>0</v>
      </c>
      <c r="AM407">
        <v>0</v>
      </c>
      <c r="AN407" s="22" t="s">
        <v>53</v>
      </c>
      <c r="AO407" s="22" t="s">
        <v>53</v>
      </c>
      <c r="AP407" s="22" t="s">
        <v>53</v>
      </c>
      <c r="AQ407" s="22" t="s">
        <v>53</v>
      </c>
      <c r="AR407" s="35">
        <v>0</v>
      </c>
      <c r="AS407" s="35">
        <v>0</v>
      </c>
      <c r="AT407" s="35">
        <v>4</v>
      </c>
      <c r="AU407" s="31" t="str">
        <f t="shared" si="10"/>
        <v>库存为4</v>
      </c>
      <c r="AV407" s="36" t="str">
        <f>IFERROR(时间!$B$4+AU407,"上周无销量")</f>
        <v>上周无销量</v>
      </c>
    </row>
    <row r="408" spans="1:48">
      <c r="A408" s="20" t="s">
        <v>945</v>
      </c>
      <c r="B408" t="s">
        <v>946</v>
      </c>
      <c r="C408" t="s">
        <v>944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4</v>
      </c>
      <c r="J408" s="33">
        <v>0</v>
      </c>
      <c r="K408" s="33">
        <v>0</v>
      </c>
      <c r="L408" s="33">
        <v>0</v>
      </c>
      <c r="M408">
        <v>4</v>
      </c>
      <c r="N408">
        <v>0</v>
      </c>
      <c r="O408">
        <v>4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0</v>
      </c>
      <c r="AK408">
        <v>0</v>
      </c>
      <c r="AL408">
        <v>0</v>
      </c>
      <c r="AM408">
        <v>0</v>
      </c>
      <c r="AN408" s="22" t="s">
        <v>53</v>
      </c>
      <c r="AO408" s="22" t="s">
        <v>53</v>
      </c>
      <c r="AP408" s="22" t="s">
        <v>53</v>
      </c>
      <c r="AQ408" s="22" t="s">
        <v>53</v>
      </c>
      <c r="AR408" s="35">
        <v>0</v>
      </c>
      <c r="AS408" s="35">
        <v>0</v>
      </c>
      <c r="AT408" s="35">
        <v>4</v>
      </c>
      <c r="AU408" s="31" t="str">
        <f t="shared" si="10"/>
        <v>库存为4</v>
      </c>
      <c r="AV408" s="36" t="str">
        <f>IFERROR(时间!$B$4+AU408,"上周无销量")</f>
        <v>上周无销量</v>
      </c>
    </row>
    <row r="409" spans="1:48">
      <c r="A409" s="20" t="s">
        <v>947</v>
      </c>
      <c r="B409" t="s">
        <v>948</v>
      </c>
      <c r="C409" t="s">
        <v>944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13</v>
      </c>
      <c r="J409" s="33">
        <v>0</v>
      </c>
      <c r="K409" s="33">
        <v>0</v>
      </c>
      <c r="L409" s="33">
        <v>0</v>
      </c>
      <c r="M409">
        <v>13</v>
      </c>
      <c r="N409">
        <v>0</v>
      </c>
      <c r="O409">
        <v>13</v>
      </c>
      <c r="P409" t="s">
        <v>53</v>
      </c>
      <c r="Q409" t="s">
        <v>53</v>
      </c>
      <c r="R409" t="s">
        <v>53</v>
      </c>
      <c r="S409" t="s">
        <v>53</v>
      </c>
      <c r="T409" t="s">
        <v>53</v>
      </c>
      <c r="U409" t="s">
        <v>53</v>
      </c>
      <c r="V409" t="s">
        <v>53</v>
      </c>
      <c r="W409" t="s">
        <v>53</v>
      </c>
      <c r="X409" s="22" t="s">
        <v>53</v>
      </c>
      <c r="Y409" s="22" t="s">
        <v>53</v>
      </c>
      <c r="Z409" s="22" t="s">
        <v>53</v>
      </c>
      <c r="AA409" s="22" t="s">
        <v>53</v>
      </c>
      <c r="AB409" t="s">
        <v>53</v>
      </c>
      <c r="AC409" t="s">
        <v>53</v>
      </c>
      <c r="AD409" t="s">
        <v>53</v>
      </c>
      <c r="AE409" t="s">
        <v>53</v>
      </c>
      <c r="AF409" s="22" t="s">
        <v>53</v>
      </c>
      <c r="AG409" s="22" t="s">
        <v>53</v>
      </c>
      <c r="AH409" s="22" t="s">
        <v>53</v>
      </c>
      <c r="AI409" s="22" t="s">
        <v>53</v>
      </c>
      <c r="AJ409">
        <v>0</v>
      </c>
      <c r="AK409">
        <v>0</v>
      </c>
      <c r="AL409">
        <v>0</v>
      </c>
      <c r="AM409">
        <v>0</v>
      </c>
      <c r="AN409" s="22" t="s">
        <v>53</v>
      </c>
      <c r="AO409" s="22" t="s">
        <v>53</v>
      </c>
      <c r="AP409" s="22" t="s">
        <v>53</v>
      </c>
      <c r="AQ409" s="22" t="s">
        <v>53</v>
      </c>
      <c r="AR409" s="35">
        <v>0</v>
      </c>
      <c r="AS409" s="35">
        <v>0</v>
      </c>
      <c r="AT409" s="35">
        <v>13</v>
      </c>
      <c r="AU409" s="31" t="str">
        <f t="shared" si="10"/>
        <v>库存为13</v>
      </c>
      <c r="AV409" s="36" t="str">
        <f>IFERROR(时间!$B$4+AU409,"上周无销量")</f>
        <v>上周无销量</v>
      </c>
    </row>
    <row r="410" spans="1:48">
      <c r="A410" s="20" t="s">
        <v>949</v>
      </c>
      <c r="B410" t="s">
        <v>950</v>
      </c>
      <c r="C410" t="s">
        <v>951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12</v>
      </c>
      <c r="J410" s="33">
        <v>0</v>
      </c>
      <c r="K410" s="33">
        <v>0</v>
      </c>
      <c r="L410" s="33">
        <v>0</v>
      </c>
      <c r="M410">
        <v>12</v>
      </c>
      <c r="N410">
        <v>0</v>
      </c>
      <c r="O410">
        <v>12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0</v>
      </c>
      <c r="AK410">
        <v>0</v>
      </c>
      <c r="AL410">
        <v>0</v>
      </c>
      <c r="AM410">
        <v>0</v>
      </c>
      <c r="AN410" s="22" t="s">
        <v>53</v>
      </c>
      <c r="AO410" s="22" t="s">
        <v>53</v>
      </c>
      <c r="AP410" s="22" t="s">
        <v>53</v>
      </c>
      <c r="AQ410" s="22" t="s">
        <v>53</v>
      </c>
      <c r="AR410" s="35">
        <v>0</v>
      </c>
      <c r="AS410" s="35">
        <v>0</v>
      </c>
      <c r="AT410" s="35">
        <v>12</v>
      </c>
      <c r="AU410" s="31" t="str">
        <f t="shared" si="10"/>
        <v>库存为12</v>
      </c>
      <c r="AV410" s="36" t="str">
        <f>IFERROR(时间!$B$4+AU410,"上周无销量")</f>
        <v>上周无销量</v>
      </c>
    </row>
    <row r="411" spans="1:48">
      <c r="A411" s="20" t="s">
        <v>952</v>
      </c>
      <c r="B411" t="s">
        <v>953</v>
      </c>
      <c r="C411" t="s">
        <v>951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9</v>
      </c>
      <c r="J411" s="33">
        <v>0</v>
      </c>
      <c r="K411" s="33">
        <v>0</v>
      </c>
      <c r="L411" s="33">
        <v>0</v>
      </c>
      <c r="M411">
        <v>9</v>
      </c>
      <c r="N411">
        <v>0</v>
      </c>
      <c r="O411">
        <v>9</v>
      </c>
      <c r="P411" t="s">
        <v>53</v>
      </c>
      <c r="Q411" t="s">
        <v>53</v>
      </c>
      <c r="R411" t="s">
        <v>53</v>
      </c>
      <c r="S411" t="s">
        <v>53</v>
      </c>
      <c r="T411" t="s">
        <v>53</v>
      </c>
      <c r="U411" t="s">
        <v>53</v>
      </c>
      <c r="V411" t="s">
        <v>53</v>
      </c>
      <c r="W411" t="s">
        <v>53</v>
      </c>
      <c r="X411" s="22" t="s">
        <v>53</v>
      </c>
      <c r="Y411" s="22" t="s">
        <v>53</v>
      </c>
      <c r="Z411" s="22" t="s">
        <v>53</v>
      </c>
      <c r="AA411" s="22" t="s">
        <v>53</v>
      </c>
      <c r="AB411" t="s">
        <v>53</v>
      </c>
      <c r="AC411" t="s">
        <v>53</v>
      </c>
      <c r="AD411" t="s">
        <v>53</v>
      </c>
      <c r="AE411" t="s">
        <v>53</v>
      </c>
      <c r="AF411" s="22" t="s">
        <v>53</v>
      </c>
      <c r="AG411" s="22" t="s">
        <v>53</v>
      </c>
      <c r="AH411" s="22" t="s">
        <v>53</v>
      </c>
      <c r="AI411" s="22" t="s">
        <v>53</v>
      </c>
      <c r="AJ411">
        <v>0</v>
      </c>
      <c r="AK411">
        <v>0</v>
      </c>
      <c r="AL411">
        <v>0</v>
      </c>
      <c r="AM411">
        <v>0</v>
      </c>
      <c r="AN411" s="22" t="s">
        <v>53</v>
      </c>
      <c r="AO411" s="22" t="s">
        <v>53</v>
      </c>
      <c r="AP411" s="22" t="s">
        <v>53</v>
      </c>
      <c r="AQ411" s="22" t="s">
        <v>53</v>
      </c>
      <c r="AR411" s="35">
        <v>0</v>
      </c>
      <c r="AS411" s="35">
        <v>0</v>
      </c>
      <c r="AT411" s="35">
        <v>9</v>
      </c>
      <c r="AU411" s="31" t="str">
        <f t="shared" si="10"/>
        <v>库存为9</v>
      </c>
      <c r="AV411" s="36" t="str">
        <f>IFERROR(时间!$B$4+AU411,"上周无销量")</f>
        <v>上周无销量</v>
      </c>
    </row>
    <row r="412" spans="1:48">
      <c r="A412" s="20" t="s">
        <v>954</v>
      </c>
      <c r="B412" t="s">
        <v>955</v>
      </c>
      <c r="C412" t="s">
        <v>951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12</v>
      </c>
      <c r="J412" s="33">
        <v>0</v>
      </c>
      <c r="K412" s="33">
        <v>0</v>
      </c>
      <c r="L412" s="33">
        <v>0</v>
      </c>
      <c r="M412">
        <v>12</v>
      </c>
      <c r="N412">
        <v>0</v>
      </c>
      <c r="O412">
        <v>12</v>
      </c>
      <c r="P412" t="s">
        <v>53</v>
      </c>
      <c r="Q412" t="s">
        <v>53</v>
      </c>
      <c r="R412" t="s">
        <v>53</v>
      </c>
      <c r="S412" t="s">
        <v>53</v>
      </c>
      <c r="T412" t="s">
        <v>53</v>
      </c>
      <c r="U412" t="s">
        <v>53</v>
      </c>
      <c r="V412" t="s">
        <v>53</v>
      </c>
      <c r="W412" t="s">
        <v>53</v>
      </c>
      <c r="X412" s="22" t="s">
        <v>53</v>
      </c>
      <c r="Y412" s="22" t="s">
        <v>53</v>
      </c>
      <c r="Z412" s="22" t="s">
        <v>53</v>
      </c>
      <c r="AA412" s="22" t="s">
        <v>53</v>
      </c>
      <c r="AB412" t="s">
        <v>53</v>
      </c>
      <c r="AC412" t="s">
        <v>53</v>
      </c>
      <c r="AD412" t="s">
        <v>53</v>
      </c>
      <c r="AE412" t="s">
        <v>53</v>
      </c>
      <c r="AF412" s="22" t="s">
        <v>53</v>
      </c>
      <c r="AG412" s="22" t="s">
        <v>53</v>
      </c>
      <c r="AH412" s="22" t="s">
        <v>53</v>
      </c>
      <c r="AI412" s="22" t="s">
        <v>53</v>
      </c>
      <c r="AJ412">
        <v>0</v>
      </c>
      <c r="AK412">
        <v>0</v>
      </c>
      <c r="AL412">
        <v>0</v>
      </c>
      <c r="AM412">
        <v>0</v>
      </c>
      <c r="AN412" s="22" t="s">
        <v>53</v>
      </c>
      <c r="AO412" s="22" t="s">
        <v>53</v>
      </c>
      <c r="AP412" s="22" t="s">
        <v>53</v>
      </c>
      <c r="AQ412" s="22" t="s">
        <v>53</v>
      </c>
      <c r="AR412" s="35">
        <v>0</v>
      </c>
      <c r="AS412" s="35">
        <v>0</v>
      </c>
      <c r="AT412" s="35">
        <v>12</v>
      </c>
      <c r="AU412" s="31" t="str">
        <f t="shared" si="10"/>
        <v>库存为12</v>
      </c>
      <c r="AV412" s="36" t="str">
        <f>IFERROR(时间!$B$4+AU412,"上周无销量")</f>
        <v>上周无销量</v>
      </c>
    </row>
    <row r="413" spans="1:48">
      <c r="A413" s="20" t="s">
        <v>956</v>
      </c>
      <c r="B413" t="s">
        <v>957</v>
      </c>
      <c r="C413" t="s">
        <v>951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11</v>
      </c>
      <c r="J413" s="33">
        <v>0</v>
      </c>
      <c r="K413" s="33">
        <v>0</v>
      </c>
      <c r="L413" s="33">
        <v>0</v>
      </c>
      <c r="M413">
        <v>11</v>
      </c>
      <c r="N413">
        <v>0</v>
      </c>
      <c r="O413">
        <v>11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0</v>
      </c>
      <c r="AK413">
        <v>0</v>
      </c>
      <c r="AL413">
        <v>0</v>
      </c>
      <c r="AM413">
        <v>0</v>
      </c>
      <c r="AN413" s="22" t="s">
        <v>53</v>
      </c>
      <c r="AO413" s="22" t="s">
        <v>53</v>
      </c>
      <c r="AP413" s="22" t="s">
        <v>53</v>
      </c>
      <c r="AQ413" s="22" t="s">
        <v>53</v>
      </c>
      <c r="AR413" s="35">
        <v>0</v>
      </c>
      <c r="AS413" s="35">
        <v>0</v>
      </c>
      <c r="AT413" s="35">
        <v>11</v>
      </c>
      <c r="AU413" s="31" t="str">
        <f t="shared" si="10"/>
        <v>库存为11</v>
      </c>
      <c r="AV413" s="36" t="str">
        <f>IFERROR(时间!$B$4+AU413,"上周无销量")</f>
        <v>上周无销量</v>
      </c>
    </row>
    <row r="414" spans="1:48">
      <c r="A414" s="20" t="s">
        <v>958</v>
      </c>
      <c r="B414" t="s">
        <v>959</v>
      </c>
      <c r="C414" t="s">
        <v>951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17</v>
      </c>
      <c r="J414" s="33">
        <v>0</v>
      </c>
      <c r="K414" s="33">
        <v>0</v>
      </c>
      <c r="L414" s="33">
        <v>0</v>
      </c>
      <c r="M414">
        <v>17</v>
      </c>
      <c r="N414">
        <v>0</v>
      </c>
      <c r="O414">
        <v>17</v>
      </c>
      <c r="P414" t="s">
        <v>53</v>
      </c>
      <c r="Q414" t="s">
        <v>53</v>
      </c>
      <c r="R414" t="s">
        <v>53</v>
      </c>
      <c r="S414" t="s">
        <v>53</v>
      </c>
      <c r="T414" t="s">
        <v>53</v>
      </c>
      <c r="U414" t="s">
        <v>53</v>
      </c>
      <c r="V414" t="s">
        <v>53</v>
      </c>
      <c r="W414" t="s">
        <v>53</v>
      </c>
      <c r="X414" s="22" t="s">
        <v>53</v>
      </c>
      <c r="Y414" s="22" t="s">
        <v>53</v>
      </c>
      <c r="Z414" s="22" t="s">
        <v>53</v>
      </c>
      <c r="AA414" s="22" t="s">
        <v>53</v>
      </c>
      <c r="AB414" t="s">
        <v>53</v>
      </c>
      <c r="AC414" t="s">
        <v>53</v>
      </c>
      <c r="AD414" t="s">
        <v>53</v>
      </c>
      <c r="AE414" t="s">
        <v>53</v>
      </c>
      <c r="AF414" s="22" t="s">
        <v>53</v>
      </c>
      <c r="AG414" s="22" t="s">
        <v>53</v>
      </c>
      <c r="AH414" s="22" t="s">
        <v>53</v>
      </c>
      <c r="AI414" s="22" t="s">
        <v>53</v>
      </c>
      <c r="AJ414">
        <v>0</v>
      </c>
      <c r="AK414">
        <v>0</v>
      </c>
      <c r="AL414">
        <v>0</v>
      </c>
      <c r="AM414">
        <v>0</v>
      </c>
      <c r="AN414" s="22" t="s">
        <v>53</v>
      </c>
      <c r="AO414" s="22" t="s">
        <v>53</v>
      </c>
      <c r="AP414" s="22" t="s">
        <v>53</v>
      </c>
      <c r="AQ414" s="22" t="s">
        <v>53</v>
      </c>
      <c r="AR414" s="35">
        <v>0</v>
      </c>
      <c r="AS414" s="35">
        <v>0</v>
      </c>
      <c r="AT414" s="35">
        <v>17</v>
      </c>
      <c r="AU414" s="31" t="str">
        <f t="shared" si="10"/>
        <v>库存为17</v>
      </c>
      <c r="AV414" s="36" t="str">
        <f>IFERROR(时间!$B$4+AU414,"上周无销量")</f>
        <v>上周无销量</v>
      </c>
    </row>
    <row r="415" spans="1:48">
      <c r="A415" s="20" t="s">
        <v>960</v>
      </c>
      <c r="B415" t="s">
        <v>961</v>
      </c>
      <c r="C415" t="s">
        <v>951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13</v>
      </c>
      <c r="J415" s="33">
        <v>0</v>
      </c>
      <c r="K415" s="33">
        <v>0</v>
      </c>
      <c r="L415" s="33">
        <v>0</v>
      </c>
      <c r="M415">
        <v>13</v>
      </c>
      <c r="N415">
        <v>0</v>
      </c>
      <c r="O415">
        <v>13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0</v>
      </c>
      <c r="AK415">
        <v>0</v>
      </c>
      <c r="AL415">
        <v>0</v>
      </c>
      <c r="AM415">
        <v>0</v>
      </c>
      <c r="AN415" s="22" t="s">
        <v>53</v>
      </c>
      <c r="AO415" s="22" t="s">
        <v>53</v>
      </c>
      <c r="AP415" s="22" t="s">
        <v>53</v>
      </c>
      <c r="AQ415" s="22" t="s">
        <v>53</v>
      </c>
      <c r="AR415" s="35">
        <v>0</v>
      </c>
      <c r="AS415" s="35">
        <v>0</v>
      </c>
      <c r="AT415" s="35">
        <v>13</v>
      </c>
      <c r="AU415" s="31" t="str">
        <f t="shared" si="10"/>
        <v>库存为13</v>
      </c>
      <c r="AV415" s="36" t="str">
        <f>IFERROR(时间!$B$4+AU415,"上周无销量")</f>
        <v>上周无销量</v>
      </c>
    </row>
    <row r="416" spans="1:48">
      <c r="A416" s="20" t="s">
        <v>962</v>
      </c>
      <c r="B416" t="s">
        <v>963</v>
      </c>
      <c r="C416" t="s">
        <v>951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13</v>
      </c>
      <c r="J416" s="33">
        <v>0</v>
      </c>
      <c r="K416" s="33">
        <v>0</v>
      </c>
      <c r="L416" s="33">
        <v>0</v>
      </c>
      <c r="M416">
        <v>13</v>
      </c>
      <c r="N416">
        <v>0</v>
      </c>
      <c r="O416">
        <v>13</v>
      </c>
      <c r="P416" t="s">
        <v>53</v>
      </c>
      <c r="Q416" t="s">
        <v>53</v>
      </c>
      <c r="R416" t="s">
        <v>53</v>
      </c>
      <c r="S416" t="s">
        <v>53</v>
      </c>
      <c r="T416" t="s">
        <v>53</v>
      </c>
      <c r="U416" t="s">
        <v>53</v>
      </c>
      <c r="V416" t="s">
        <v>53</v>
      </c>
      <c r="W416" t="s">
        <v>53</v>
      </c>
      <c r="X416" s="22" t="s">
        <v>53</v>
      </c>
      <c r="Y416" s="22" t="s">
        <v>53</v>
      </c>
      <c r="Z416" s="22" t="s">
        <v>53</v>
      </c>
      <c r="AA416" s="22" t="s">
        <v>53</v>
      </c>
      <c r="AB416" t="s">
        <v>53</v>
      </c>
      <c r="AC416" t="s">
        <v>53</v>
      </c>
      <c r="AD416" t="s">
        <v>53</v>
      </c>
      <c r="AE416" t="s">
        <v>53</v>
      </c>
      <c r="AF416" s="22" t="s">
        <v>53</v>
      </c>
      <c r="AG416" s="22" t="s">
        <v>53</v>
      </c>
      <c r="AH416" s="22" t="s">
        <v>53</v>
      </c>
      <c r="AI416" s="22" t="s">
        <v>53</v>
      </c>
      <c r="AJ416">
        <v>0</v>
      </c>
      <c r="AK416">
        <v>0</v>
      </c>
      <c r="AL416">
        <v>0</v>
      </c>
      <c r="AM416">
        <v>0</v>
      </c>
      <c r="AN416" s="22" t="s">
        <v>53</v>
      </c>
      <c r="AO416" s="22" t="s">
        <v>53</v>
      </c>
      <c r="AP416" s="22" t="s">
        <v>53</v>
      </c>
      <c r="AQ416" s="22" t="s">
        <v>53</v>
      </c>
      <c r="AR416" s="35">
        <v>0</v>
      </c>
      <c r="AS416" s="35">
        <v>0</v>
      </c>
      <c r="AT416" s="35">
        <v>13</v>
      </c>
      <c r="AU416" s="31" t="str">
        <f t="shared" si="10"/>
        <v>库存为13</v>
      </c>
      <c r="AV416" s="36" t="str">
        <f>IFERROR(时间!$B$4+AU416,"上周无销量")</f>
        <v>上周无销量</v>
      </c>
    </row>
    <row r="417" spans="1:48">
      <c r="A417" s="20" t="s">
        <v>964</v>
      </c>
      <c r="B417" t="s">
        <v>965</v>
      </c>
      <c r="C417" t="s">
        <v>951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16</v>
      </c>
      <c r="J417" s="33">
        <v>0</v>
      </c>
      <c r="K417" s="33">
        <v>0</v>
      </c>
      <c r="L417" s="33">
        <v>0</v>
      </c>
      <c r="M417">
        <v>16</v>
      </c>
      <c r="N417">
        <v>0</v>
      </c>
      <c r="O417">
        <v>16</v>
      </c>
      <c r="P417" t="s">
        <v>53</v>
      </c>
      <c r="Q417" t="s">
        <v>53</v>
      </c>
      <c r="R417" t="s">
        <v>53</v>
      </c>
      <c r="S417" t="s">
        <v>53</v>
      </c>
      <c r="T417" t="s">
        <v>53</v>
      </c>
      <c r="U417" t="s">
        <v>53</v>
      </c>
      <c r="V417" t="s">
        <v>53</v>
      </c>
      <c r="W417" t="s">
        <v>53</v>
      </c>
      <c r="X417" s="22" t="s">
        <v>53</v>
      </c>
      <c r="Y417" s="22" t="s">
        <v>53</v>
      </c>
      <c r="Z417" s="22" t="s">
        <v>53</v>
      </c>
      <c r="AA417" s="22" t="s">
        <v>53</v>
      </c>
      <c r="AB417" t="s">
        <v>53</v>
      </c>
      <c r="AC417" t="s">
        <v>53</v>
      </c>
      <c r="AD417" t="s">
        <v>53</v>
      </c>
      <c r="AE417" t="s">
        <v>53</v>
      </c>
      <c r="AF417" s="22" t="s">
        <v>53</v>
      </c>
      <c r="AG417" s="22" t="s">
        <v>53</v>
      </c>
      <c r="AH417" s="22" t="s">
        <v>53</v>
      </c>
      <c r="AI417" s="22" t="s">
        <v>53</v>
      </c>
      <c r="AJ417">
        <v>0</v>
      </c>
      <c r="AK417">
        <v>0</v>
      </c>
      <c r="AL417">
        <v>0</v>
      </c>
      <c r="AM417">
        <v>0</v>
      </c>
      <c r="AN417" s="22" t="s">
        <v>53</v>
      </c>
      <c r="AO417" s="22" t="s">
        <v>53</v>
      </c>
      <c r="AP417" s="22" t="s">
        <v>53</v>
      </c>
      <c r="AQ417" s="22" t="s">
        <v>53</v>
      </c>
      <c r="AR417" s="35">
        <v>0</v>
      </c>
      <c r="AS417" s="35">
        <v>0</v>
      </c>
      <c r="AT417" s="35">
        <v>16</v>
      </c>
      <c r="AU417" s="31" t="str">
        <f t="shared" si="10"/>
        <v>库存为16</v>
      </c>
      <c r="AV417" s="36" t="str">
        <f>IFERROR(时间!$B$4+AU417,"上周无销量")</f>
        <v>上周无销量</v>
      </c>
    </row>
    <row r="418" spans="1:48">
      <c r="A418" s="20" t="s">
        <v>966</v>
      </c>
      <c r="B418" t="s">
        <v>967</v>
      </c>
      <c r="C418" t="s">
        <v>951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15</v>
      </c>
      <c r="J418" s="33">
        <v>0</v>
      </c>
      <c r="K418" s="33">
        <v>0</v>
      </c>
      <c r="L418" s="33">
        <v>0</v>
      </c>
      <c r="M418">
        <v>15</v>
      </c>
      <c r="N418">
        <v>0</v>
      </c>
      <c r="O418">
        <v>15</v>
      </c>
      <c r="P418" t="s">
        <v>53</v>
      </c>
      <c r="Q418" t="s">
        <v>53</v>
      </c>
      <c r="R418" t="s">
        <v>53</v>
      </c>
      <c r="S418" t="s">
        <v>53</v>
      </c>
      <c r="T418" t="s">
        <v>53</v>
      </c>
      <c r="U418" t="s">
        <v>53</v>
      </c>
      <c r="V418" t="s">
        <v>53</v>
      </c>
      <c r="W418" t="s">
        <v>53</v>
      </c>
      <c r="X418" s="22" t="s">
        <v>53</v>
      </c>
      <c r="Y418" s="22" t="s">
        <v>53</v>
      </c>
      <c r="Z418" s="22" t="s">
        <v>53</v>
      </c>
      <c r="AA418" s="22" t="s">
        <v>53</v>
      </c>
      <c r="AB418" t="s">
        <v>53</v>
      </c>
      <c r="AC418" t="s">
        <v>53</v>
      </c>
      <c r="AD418" t="s">
        <v>53</v>
      </c>
      <c r="AE418" t="s">
        <v>53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0</v>
      </c>
      <c r="AK418">
        <v>0</v>
      </c>
      <c r="AL418">
        <v>0</v>
      </c>
      <c r="AM418">
        <v>0</v>
      </c>
      <c r="AN418" s="22" t="s">
        <v>53</v>
      </c>
      <c r="AO418" s="22" t="s">
        <v>53</v>
      </c>
      <c r="AP418" s="22" t="s">
        <v>53</v>
      </c>
      <c r="AQ418" s="22" t="s">
        <v>53</v>
      </c>
      <c r="AR418" s="35">
        <v>0</v>
      </c>
      <c r="AS418" s="35">
        <v>0</v>
      </c>
      <c r="AT418" s="35">
        <v>15</v>
      </c>
      <c r="AU418" s="31" t="str">
        <f t="shared" si="10"/>
        <v>库存为15</v>
      </c>
      <c r="AV418" s="36" t="str">
        <f>IFERROR(时间!$B$4+AU418,"上周无销量")</f>
        <v>上周无销量</v>
      </c>
    </row>
    <row r="419" spans="1:48">
      <c r="A419" s="20" t="s">
        <v>968</v>
      </c>
      <c r="B419" t="s">
        <v>969</v>
      </c>
      <c r="C419" t="s">
        <v>951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18</v>
      </c>
      <c r="J419" s="33">
        <v>0</v>
      </c>
      <c r="K419" s="33">
        <v>0</v>
      </c>
      <c r="L419" s="33">
        <v>0</v>
      </c>
      <c r="M419">
        <v>18</v>
      </c>
      <c r="N419">
        <v>0</v>
      </c>
      <c r="O419">
        <v>18</v>
      </c>
      <c r="P419" t="s">
        <v>53</v>
      </c>
      <c r="Q419" t="s">
        <v>53</v>
      </c>
      <c r="R419" t="s">
        <v>53</v>
      </c>
      <c r="S419" t="s">
        <v>53</v>
      </c>
      <c r="T419" t="s">
        <v>53</v>
      </c>
      <c r="U419" t="s">
        <v>53</v>
      </c>
      <c r="V419" t="s">
        <v>53</v>
      </c>
      <c r="W419" t="s">
        <v>53</v>
      </c>
      <c r="X419" s="22" t="s">
        <v>53</v>
      </c>
      <c r="Y419" s="22" t="s">
        <v>53</v>
      </c>
      <c r="Z419" s="22" t="s">
        <v>53</v>
      </c>
      <c r="AA419" s="22" t="s">
        <v>53</v>
      </c>
      <c r="AB419" t="s">
        <v>53</v>
      </c>
      <c r="AC419" t="s">
        <v>53</v>
      </c>
      <c r="AD419" t="s">
        <v>53</v>
      </c>
      <c r="AE419" t="s">
        <v>53</v>
      </c>
      <c r="AF419" s="22" t="s">
        <v>53</v>
      </c>
      <c r="AG419" s="22" t="s">
        <v>53</v>
      </c>
      <c r="AH419" s="22" t="s">
        <v>53</v>
      </c>
      <c r="AI419" s="22" t="s">
        <v>53</v>
      </c>
      <c r="AJ419">
        <v>0</v>
      </c>
      <c r="AK419">
        <v>0</v>
      </c>
      <c r="AL419">
        <v>0</v>
      </c>
      <c r="AM419">
        <v>0</v>
      </c>
      <c r="AN419" s="22" t="s">
        <v>53</v>
      </c>
      <c r="AO419" s="22" t="s">
        <v>53</v>
      </c>
      <c r="AP419" s="22" t="s">
        <v>53</v>
      </c>
      <c r="AQ419" s="22" t="s">
        <v>53</v>
      </c>
      <c r="AR419" s="35">
        <v>0</v>
      </c>
      <c r="AS419" s="35">
        <v>0</v>
      </c>
      <c r="AT419" s="35">
        <v>18</v>
      </c>
      <c r="AU419" s="31" t="str">
        <f t="shared" si="10"/>
        <v>库存为18</v>
      </c>
      <c r="AV419" s="36" t="str">
        <f>IFERROR(时间!$B$4+AU419,"上周无销量")</f>
        <v>上周无销量</v>
      </c>
    </row>
    <row r="420" spans="1:48">
      <c r="A420" s="20" t="s">
        <v>970</v>
      </c>
      <c r="B420" t="s">
        <v>971</v>
      </c>
      <c r="C420" t="s">
        <v>951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15</v>
      </c>
      <c r="J420" s="33">
        <v>0</v>
      </c>
      <c r="K420" s="33">
        <v>0</v>
      </c>
      <c r="L420" s="33">
        <v>0</v>
      </c>
      <c r="M420">
        <v>15</v>
      </c>
      <c r="N420">
        <v>0</v>
      </c>
      <c r="O420">
        <v>15</v>
      </c>
      <c r="P420" t="s">
        <v>53</v>
      </c>
      <c r="Q420" t="s">
        <v>53</v>
      </c>
      <c r="R420" t="s">
        <v>53</v>
      </c>
      <c r="S420" t="s">
        <v>53</v>
      </c>
      <c r="T420" t="s">
        <v>53</v>
      </c>
      <c r="U420" t="s">
        <v>53</v>
      </c>
      <c r="V420" t="s">
        <v>53</v>
      </c>
      <c r="W420" t="s">
        <v>53</v>
      </c>
      <c r="X420" s="22" t="s">
        <v>53</v>
      </c>
      <c r="Y420" s="22" t="s">
        <v>53</v>
      </c>
      <c r="Z420" s="22" t="s">
        <v>53</v>
      </c>
      <c r="AA420" s="22" t="s">
        <v>53</v>
      </c>
      <c r="AB420" t="s">
        <v>53</v>
      </c>
      <c r="AC420" t="s">
        <v>53</v>
      </c>
      <c r="AD420" t="s">
        <v>53</v>
      </c>
      <c r="AE420" t="s">
        <v>53</v>
      </c>
      <c r="AF420" s="22" t="s">
        <v>53</v>
      </c>
      <c r="AG420" s="22" t="s">
        <v>53</v>
      </c>
      <c r="AH420" s="22" t="s">
        <v>53</v>
      </c>
      <c r="AI420" s="22" t="s">
        <v>53</v>
      </c>
      <c r="AJ420">
        <v>0</v>
      </c>
      <c r="AK420">
        <v>0</v>
      </c>
      <c r="AL420">
        <v>0</v>
      </c>
      <c r="AM420">
        <v>0</v>
      </c>
      <c r="AN420" s="22" t="s">
        <v>53</v>
      </c>
      <c r="AO420" s="22" t="s">
        <v>53</v>
      </c>
      <c r="AP420" s="22" t="s">
        <v>53</v>
      </c>
      <c r="AQ420" s="22" t="s">
        <v>53</v>
      </c>
      <c r="AR420" s="35">
        <v>0</v>
      </c>
      <c r="AS420" s="35">
        <v>0</v>
      </c>
      <c r="AT420" s="35">
        <v>15</v>
      </c>
      <c r="AU420" s="31" t="str">
        <f t="shared" si="10"/>
        <v>库存为15</v>
      </c>
      <c r="AV420" s="36" t="str">
        <f>IFERROR(时间!$B$4+AU420,"上周无销量")</f>
        <v>上周无销量</v>
      </c>
    </row>
    <row r="421" spans="1:48">
      <c r="A421" s="20" t="s">
        <v>972</v>
      </c>
      <c r="B421" t="s">
        <v>973</v>
      </c>
      <c r="C421" t="s">
        <v>951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13</v>
      </c>
      <c r="J421" s="33">
        <v>0</v>
      </c>
      <c r="K421" s="33">
        <v>0</v>
      </c>
      <c r="L421" s="33">
        <v>0</v>
      </c>
      <c r="M421">
        <v>13</v>
      </c>
      <c r="N421">
        <v>0</v>
      </c>
      <c r="O421">
        <v>13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0</v>
      </c>
      <c r="AK421">
        <v>0</v>
      </c>
      <c r="AL421">
        <v>0</v>
      </c>
      <c r="AM421">
        <v>0</v>
      </c>
      <c r="AN421" s="22" t="s">
        <v>53</v>
      </c>
      <c r="AO421" s="22" t="s">
        <v>53</v>
      </c>
      <c r="AP421" s="22" t="s">
        <v>53</v>
      </c>
      <c r="AQ421" s="22" t="s">
        <v>53</v>
      </c>
      <c r="AR421" s="35">
        <v>0</v>
      </c>
      <c r="AS421" s="35">
        <v>0</v>
      </c>
      <c r="AT421" s="35">
        <v>13</v>
      </c>
      <c r="AU421" s="31" t="str">
        <f t="shared" si="10"/>
        <v>库存为13</v>
      </c>
      <c r="AV421" s="36" t="str">
        <f>IFERROR(时间!$B$4+AU421,"上周无销量")</f>
        <v>上周无销量</v>
      </c>
    </row>
    <row r="422" spans="1:48">
      <c r="A422" s="20" t="s">
        <v>974</v>
      </c>
      <c r="B422" t="s">
        <v>975</v>
      </c>
      <c r="C422" t="s">
        <v>951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13</v>
      </c>
      <c r="J422" s="33">
        <v>0</v>
      </c>
      <c r="K422" s="33">
        <v>0</v>
      </c>
      <c r="L422" s="33">
        <v>0</v>
      </c>
      <c r="M422">
        <v>13</v>
      </c>
      <c r="N422">
        <v>0</v>
      </c>
      <c r="O422">
        <v>13</v>
      </c>
      <c r="P422" t="s">
        <v>53</v>
      </c>
      <c r="Q422" t="s">
        <v>53</v>
      </c>
      <c r="R422" t="s">
        <v>53</v>
      </c>
      <c r="S422" t="s">
        <v>53</v>
      </c>
      <c r="T422" t="s">
        <v>53</v>
      </c>
      <c r="U422" t="s">
        <v>53</v>
      </c>
      <c r="V422" t="s">
        <v>53</v>
      </c>
      <c r="W422" t="s">
        <v>53</v>
      </c>
      <c r="X422" s="22" t="s">
        <v>53</v>
      </c>
      <c r="Y422" s="22" t="s">
        <v>53</v>
      </c>
      <c r="Z422" s="22" t="s">
        <v>53</v>
      </c>
      <c r="AA422" s="22" t="s">
        <v>53</v>
      </c>
      <c r="AB422" t="s">
        <v>53</v>
      </c>
      <c r="AC422" t="s">
        <v>53</v>
      </c>
      <c r="AD422" t="s">
        <v>53</v>
      </c>
      <c r="AE422" t="s">
        <v>53</v>
      </c>
      <c r="AF422" s="22" t="s">
        <v>53</v>
      </c>
      <c r="AG422" s="22" t="s">
        <v>53</v>
      </c>
      <c r="AH422" s="22" t="s">
        <v>53</v>
      </c>
      <c r="AI422" s="22" t="s">
        <v>53</v>
      </c>
      <c r="AJ422">
        <v>0</v>
      </c>
      <c r="AK422">
        <v>0</v>
      </c>
      <c r="AL422">
        <v>0</v>
      </c>
      <c r="AM422">
        <v>0</v>
      </c>
      <c r="AN422" s="22" t="s">
        <v>53</v>
      </c>
      <c r="AO422" s="22" t="s">
        <v>53</v>
      </c>
      <c r="AP422" s="22" t="s">
        <v>53</v>
      </c>
      <c r="AQ422" s="22" t="s">
        <v>53</v>
      </c>
      <c r="AR422" s="35">
        <v>0</v>
      </c>
      <c r="AS422" s="35">
        <v>0</v>
      </c>
      <c r="AT422" s="35">
        <v>13</v>
      </c>
      <c r="AU422" s="31" t="str">
        <f t="shared" si="10"/>
        <v>库存为13</v>
      </c>
      <c r="AV422" s="36" t="str">
        <f>IFERROR(时间!$B$4+AU422,"上周无销量")</f>
        <v>上周无销量</v>
      </c>
    </row>
    <row r="423" spans="1:48">
      <c r="A423" s="20" t="s">
        <v>976</v>
      </c>
      <c r="B423" t="s">
        <v>977</v>
      </c>
      <c r="C423" t="s">
        <v>951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12</v>
      </c>
      <c r="J423" s="33">
        <v>0</v>
      </c>
      <c r="K423" s="33">
        <v>0</v>
      </c>
      <c r="L423" s="33">
        <v>0</v>
      </c>
      <c r="M423">
        <v>12</v>
      </c>
      <c r="N423">
        <v>0</v>
      </c>
      <c r="O423">
        <v>12</v>
      </c>
      <c r="P423" t="s">
        <v>53</v>
      </c>
      <c r="Q423" t="s">
        <v>53</v>
      </c>
      <c r="R423" t="s">
        <v>53</v>
      </c>
      <c r="S423" t="s">
        <v>53</v>
      </c>
      <c r="T423" t="s">
        <v>53</v>
      </c>
      <c r="U423" t="s">
        <v>53</v>
      </c>
      <c r="V423" t="s">
        <v>53</v>
      </c>
      <c r="W423" t="s">
        <v>53</v>
      </c>
      <c r="X423" s="22" t="s">
        <v>53</v>
      </c>
      <c r="Y423" s="22" t="s">
        <v>53</v>
      </c>
      <c r="Z423" s="22" t="s">
        <v>53</v>
      </c>
      <c r="AA423" s="22" t="s">
        <v>53</v>
      </c>
      <c r="AB423" t="s">
        <v>53</v>
      </c>
      <c r="AC423" t="s">
        <v>53</v>
      </c>
      <c r="AD423" t="s">
        <v>53</v>
      </c>
      <c r="AE423" t="s">
        <v>53</v>
      </c>
      <c r="AF423" s="22" t="s">
        <v>53</v>
      </c>
      <c r="AG423" s="22" t="s">
        <v>53</v>
      </c>
      <c r="AH423" s="22" t="s">
        <v>53</v>
      </c>
      <c r="AI423" s="22" t="s">
        <v>53</v>
      </c>
      <c r="AJ423">
        <v>0</v>
      </c>
      <c r="AK423">
        <v>0</v>
      </c>
      <c r="AL423">
        <v>0</v>
      </c>
      <c r="AM423">
        <v>0</v>
      </c>
      <c r="AN423" s="22" t="s">
        <v>53</v>
      </c>
      <c r="AO423" s="22" t="s">
        <v>53</v>
      </c>
      <c r="AP423" s="22" t="s">
        <v>53</v>
      </c>
      <c r="AQ423" s="22" t="s">
        <v>53</v>
      </c>
      <c r="AR423" s="35">
        <v>0</v>
      </c>
      <c r="AS423" s="35">
        <v>0</v>
      </c>
      <c r="AT423" s="35">
        <v>12</v>
      </c>
      <c r="AU423" s="31" t="str">
        <f t="shared" si="10"/>
        <v>库存为12</v>
      </c>
      <c r="AV423" s="36" t="str">
        <f>IFERROR(时间!$B$4+AU423,"上周无销量")</f>
        <v>上周无销量</v>
      </c>
    </row>
    <row r="424" spans="1:48">
      <c r="A424" s="20" t="s">
        <v>978</v>
      </c>
      <c r="B424" t="s">
        <v>979</v>
      </c>
      <c r="C424" t="s">
        <v>951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10</v>
      </c>
      <c r="J424" s="33">
        <v>0</v>
      </c>
      <c r="K424" s="33">
        <v>0</v>
      </c>
      <c r="L424" s="33">
        <v>0</v>
      </c>
      <c r="M424">
        <v>10</v>
      </c>
      <c r="N424">
        <v>0</v>
      </c>
      <c r="O424">
        <v>10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0</v>
      </c>
      <c r="AK424">
        <v>0</v>
      </c>
      <c r="AL424">
        <v>0</v>
      </c>
      <c r="AM424">
        <v>0</v>
      </c>
      <c r="AN424" s="22" t="s">
        <v>53</v>
      </c>
      <c r="AO424" s="22" t="s">
        <v>53</v>
      </c>
      <c r="AP424" s="22" t="s">
        <v>53</v>
      </c>
      <c r="AQ424" s="22" t="s">
        <v>53</v>
      </c>
      <c r="AR424" s="35">
        <v>0</v>
      </c>
      <c r="AS424" s="35">
        <v>0</v>
      </c>
      <c r="AT424" s="35">
        <v>10</v>
      </c>
      <c r="AU424" s="31" t="str">
        <f t="shared" si="10"/>
        <v>库存为10</v>
      </c>
      <c r="AV424" s="36" t="str">
        <f>IFERROR(时间!$B$4+AU424,"上周无销量")</f>
        <v>上周无销量</v>
      </c>
    </row>
    <row r="425" spans="1:48">
      <c r="A425" s="20" t="s">
        <v>980</v>
      </c>
      <c r="B425" t="s">
        <v>981</v>
      </c>
      <c r="C425" t="s">
        <v>982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53</v>
      </c>
      <c r="Q425" t="s">
        <v>53</v>
      </c>
      <c r="R425" t="s">
        <v>53</v>
      </c>
      <c r="S425" t="s">
        <v>53</v>
      </c>
      <c r="T425" t="s">
        <v>53</v>
      </c>
      <c r="U425" t="s">
        <v>53</v>
      </c>
      <c r="V425" t="s">
        <v>53</v>
      </c>
      <c r="W425" t="s">
        <v>53</v>
      </c>
      <c r="X425" s="22" t="s">
        <v>53</v>
      </c>
      <c r="Y425" s="22" t="s">
        <v>53</v>
      </c>
      <c r="Z425" s="22" t="s">
        <v>53</v>
      </c>
      <c r="AA425" s="22" t="s">
        <v>53</v>
      </c>
      <c r="AB425" t="s">
        <v>53</v>
      </c>
      <c r="AC425" t="s">
        <v>53</v>
      </c>
      <c r="AD425" t="s">
        <v>53</v>
      </c>
      <c r="AE425" t="s">
        <v>53</v>
      </c>
      <c r="AF425" s="22" t="s">
        <v>53</v>
      </c>
      <c r="AG425" s="22" t="s">
        <v>53</v>
      </c>
      <c r="AH425" s="22" t="s">
        <v>53</v>
      </c>
      <c r="AI425" s="22" t="s">
        <v>53</v>
      </c>
      <c r="AJ425">
        <v>0</v>
      </c>
      <c r="AK425">
        <v>0</v>
      </c>
      <c r="AL425">
        <v>0</v>
      </c>
      <c r="AM425">
        <v>0</v>
      </c>
      <c r="AN425" s="22" t="s">
        <v>53</v>
      </c>
      <c r="AO425" s="22" t="s">
        <v>53</v>
      </c>
      <c r="AP425" s="22" t="s">
        <v>53</v>
      </c>
      <c r="AQ425" s="22" t="s">
        <v>53</v>
      </c>
      <c r="AR425" s="35">
        <v>0</v>
      </c>
      <c r="AS425" s="35">
        <v>0</v>
      </c>
      <c r="AT425" s="35">
        <v>0</v>
      </c>
      <c r="AU425" s="31" t="str">
        <f t="shared" si="10"/>
        <v>库存为0</v>
      </c>
      <c r="AV425" s="36" t="str">
        <f>IFERROR(时间!$B$4+AU425,"上周无销量")</f>
        <v>上周无销量</v>
      </c>
    </row>
    <row r="426" spans="1:48">
      <c r="A426" s="20" t="s">
        <v>983</v>
      </c>
      <c r="B426" t="s">
        <v>984</v>
      </c>
      <c r="C426" t="s">
        <v>985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2</v>
      </c>
      <c r="J426" s="33">
        <v>0</v>
      </c>
      <c r="K426" s="33">
        <v>0</v>
      </c>
      <c r="L426" s="33">
        <v>0</v>
      </c>
      <c r="M426">
        <v>2</v>
      </c>
      <c r="N426">
        <v>0</v>
      </c>
      <c r="O426">
        <v>0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0</v>
      </c>
      <c r="AK426">
        <v>0</v>
      </c>
      <c r="AL426">
        <v>0</v>
      </c>
      <c r="AM426">
        <v>0</v>
      </c>
      <c r="AN426" s="22" t="s">
        <v>53</v>
      </c>
      <c r="AO426" s="22" t="s">
        <v>53</v>
      </c>
      <c r="AP426" s="22" t="s">
        <v>53</v>
      </c>
      <c r="AQ426" s="22" t="s">
        <v>53</v>
      </c>
      <c r="AR426" s="35">
        <v>0</v>
      </c>
      <c r="AS426" s="35">
        <v>0</v>
      </c>
      <c r="AT426" s="35">
        <v>2</v>
      </c>
      <c r="AU426" s="31" t="str">
        <f t="shared" si="10"/>
        <v>库存为2</v>
      </c>
      <c r="AV426" s="36" t="str">
        <f>IFERROR(时间!$B$4+AU426,"上周无销量")</f>
        <v>上周无销量</v>
      </c>
    </row>
    <row r="427" spans="1:48">
      <c r="A427" s="20" t="s">
        <v>986</v>
      </c>
      <c r="B427" t="s">
        <v>987</v>
      </c>
      <c r="C427" t="s">
        <v>988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10</v>
      </c>
      <c r="J427" s="33">
        <v>0</v>
      </c>
      <c r="K427" s="33">
        <v>0</v>
      </c>
      <c r="L427" s="33">
        <v>0</v>
      </c>
      <c r="M427">
        <v>10</v>
      </c>
      <c r="N427">
        <v>0</v>
      </c>
      <c r="O427">
        <v>10</v>
      </c>
      <c r="P427">
        <v>937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 s="22">
        <v>0</v>
      </c>
      <c r="Y427" s="22" t="s">
        <v>53</v>
      </c>
      <c r="Z427" s="22" t="s">
        <v>53</v>
      </c>
      <c r="AA427" s="22" t="s">
        <v>53</v>
      </c>
      <c r="AB427">
        <v>0</v>
      </c>
      <c r="AC427">
        <v>0</v>
      </c>
      <c r="AD427">
        <v>0</v>
      </c>
      <c r="AE427">
        <v>0</v>
      </c>
      <c r="AF427" s="22" t="s">
        <v>53</v>
      </c>
      <c r="AG427" s="22" t="s">
        <v>53</v>
      </c>
      <c r="AH427" s="22" t="s">
        <v>53</v>
      </c>
      <c r="AI427" s="22" t="s">
        <v>53</v>
      </c>
      <c r="AJ427">
        <v>2</v>
      </c>
      <c r="AK427">
        <v>1</v>
      </c>
      <c r="AL427">
        <v>2</v>
      </c>
      <c r="AM427">
        <v>2</v>
      </c>
      <c r="AN427" s="22">
        <v>0</v>
      </c>
      <c r="AO427" s="22">
        <v>0</v>
      </c>
      <c r="AP427" s="22">
        <v>0</v>
      </c>
      <c r="AQ427" s="22">
        <v>0</v>
      </c>
      <c r="AR427" s="35">
        <v>0</v>
      </c>
      <c r="AS427" s="35">
        <v>0</v>
      </c>
      <c r="AT427" s="35">
        <v>10</v>
      </c>
      <c r="AU427" s="31" t="str">
        <f t="shared" si="10"/>
        <v>库存为10</v>
      </c>
      <c r="AV427" s="36" t="str">
        <f>IFERROR(时间!$B$4+AU427,"上周无销量")</f>
        <v>上周无销量</v>
      </c>
    </row>
    <row r="428" spans="1:48">
      <c r="A428" s="20" t="s">
        <v>989</v>
      </c>
      <c r="B428" t="s">
        <v>990</v>
      </c>
      <c r="C428" t="s">
        <v>991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53</v>
      </c>
      <c r="Q428" t="s">
        <v>53</v>
      </c>
      <c r="R428" t="s">
        <v>53</v>
      </c>
      <c r="S428" t="s">
        <v>53</v>
      </c>
      <c r="T428" t="s">
        <v>53</v>
      </c>
      <c r="U428" t="s">
        <v>53</v>
      </c>
      <c r="V428" t="s">
        <v>53</v>
      </c>
      <c r="W428" t="s">
        <v>53</v>
      </c>
      <c r="X428" s="22" t="s">
        <v>53</v>
      </c>
      <c r="Y428" s="22" t="s">
        <v>53</v>
      </c>
      <c r="Z428" s="22" t="s">
        <v>53</v>
      </c>
      <c r="AA428" s="22" t="s">
        <v>53</v>
      </c>
      <c r="AB428" t="s">
        <v>53</v>
      </c>
      <c r="AC428" t="s">
        <v>53</v>
      </c>
      <c r="AD428" t="s">
        <v>53</v>
      </c>
      <c r="AE428" t="s">
        <v>53</v>
      </c>
      <c r="AF428" s="22" t="s">
        <v>53</v>
      </c>
      <c r="AG428" s="22" t="s">
        <v>53</v>
      </c>
      <c r="AH428" s="22" t="s">
        <v>53</v>
      </c>
      <c r="AI428" s="22" t="s">
        <v>53</v>
      </c>
      <c r="AJ428">
        <v>0</v>
      </c>
      <c r="AK428">
        <v>0</v>
      </c>
      <c r="AL428">
        <v>0</v>
      </c>
      <c r="AM428">
        <v>0</v>
      </c>
      <c r="AN428" s="22" t="s">
        <v>53</v>
      </c>
      <c r="AO428" s="22" t="s">
        <v>53</v>
      </c>
      <c r="AP428" s="22" t="s">
        <v>53</v>
      </c>
      <c r="AQ428" s="22" t="s">
        <v>53</v>
      </c>
      <c r="AR428" s="35">
        <v>0</v>
      </c>
      <c r="AS428" s="35">
        <v>0</v>
      </c>
      <c r="AT428" s="35">
        <v>0</v>
      </c>
      <c r="AU428" s="31" t="str">
        <f t="shared" si="10"/>
        <v>库存为0</v>
      </c>
      <c r="AV428" s="36" t="str">
        <f>IFERROR(时间!$B$4+AU428,"上周无销量")</f>
        <v>上周无销量</v>
      </c>
    </row>
    <row r="429" spans="1:48">
      <c r="A429" s="20" t="s">
        <v>992</v>
      </c>
      <c r="B429" t="s">
        <v>993</v>
      </c>
      <c r="C429" t="s">
        <v>991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6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0</v>
      </c>
      <c r="AK429">
        <v>0</v>
      </c>
      <c r="AL429">
        <v>0</v>
      </c>
      <c r="AM429">
        <v>0</v>
      </c>
      <c r="AN429" s="22" t="s">
        <v>53</v>
      </c>
      <c r="AO429" s="22" t="s">
        <v>53</v>
      </c>
      <c r="AP429" s="22" t="s">
        <v>53</v>
      </c>
      <c r="AQ429" s="22" t="s">
        <v>53</v>
      </c>
      <c r="AR429" s="35">
        <v>0</v>
      </c>
      <c r="AS429" s="35">
        <v>0</v>
      </c>
      <c r="AT429" s="35">
        <v>0</v>
      </c>
      <c r="AU429" s="31" t="str">
        <f t="shared" si="10"/>
        <v>库存为0</v>
      </c>
      <c r="AV429" s="36" t="str">
        <f>IFERROR(时间!$B$4+AU429,"上周无销量")</f>
        <v>上周无销量</v>
      </c>
    </row>
    <row r="430" spans="1:48">
      <c r="A430" s="20" t="s">
        <v>994</v>
      </c>
      <c r="B430" t="s">
        <v>995</v>
      </c>
      <c r="C430" t="s">
        <v>996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5</v>
      </c>
      <c r="O430">
        <v>0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0</v>
      </c>
      <c r="AK430">
        <v>0</v>
      </c>
      <c r="AL430">
        <v>0</v>
      </c>
      <c r="AM430">
        <v>0</v>
      </c>
      <c r="AN430" s="22" t="s">
        <v>53</v>
      </c>
      <c r="AO430" s="22" t="s">
        <v>53</v>
      </c>
      <c r="AP430" s="22" t="s">
        <v>53</v>
      </c>
      <c r="AQ430" s="22" t="s">
        <v>53</v>
      </c>
      <c r="AR430" s="35">
        <v>0</v>
      </c>
      <c r="AS430" s="35">
        <v>0</v>
      </c>
      <c r="AT430" s="35">
        <v>0</v>
      </c>
      <c r="AU430" s="31" t="str">
        <f t="shared" si="10"/>
        <v>库存为0</v>
      </c>
      <c r="AV430" s="36" t="str">
        <f>IFERROR(时间!$B$4+AU430,"上周无销量")</f>
        <v>上周无销量</v>
      </c>
    </row>
    <row r="431" spans="1:48">
      <c r="A431" s="20" t="s">
        <v>997</v>
      </c>
      <c r="B431" t="s">
        <v>998</v>
      </c>
      <c r="C431" t="s">
        <v>996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15</v>
      </c>
      <c r="O431">
        <v>0</v>
      </c>
      <c r="P431" t="s">
        <v>53</v>
      </c>
      <c r="Q431" t="s">
        <v>53</v>
      </c>
      <c r="R431" t="s">
        <v>53</v>
      </c>
      <c r="S431" t="s">
        <v>53</v>
      </c>
      <c r="T431" t="s">
        <v>53</v>
      </c>
      <c r="U431" t="s">
        <v>53</v>
      </c>
      <c r="V431" t="s">
        <v>53</v>
      </c>
      <c r="W431" t="s">
        <v>53</v>
      </c>
      <c r="X431" s="22" t="s">
        <v>53</v>
      </c>
      <c r="Y431" s="22" t="s">
        <v>53</v>
      </c>
      <c r="Z431" s="22" t="s">
        <v>53</v>
      </c>
      <c r="AA431" s="22" t="s">
        <v>53</v>
      </c>
      <c r="AB431" t="s">
        <v>53</v>
      </c>
      <c r="AC431" t="s">
        <v>53</v>
      </c>
      <c r="AD431" t="s">
        <v>53</v>
      </c>
      <c r="AE431" t="s">
        <v>53</v>
      </c>
      <c r="AF431" s="22" t="s">
        <v>53</v>
      </c>
      <c r="AG431" s="22" t="s">
        <v>53</v>
      </c>
      <c r="AH431" s="22" t="s">
        <v>53</v>
      </c>
      <c r="AI431" s="22" t="s">
        <v>53</v>
      </c>
      <c r="AJ431">
        <v>0</v>
      </c>
      <c r="AK431">
        <v>0</v>
      </c>
      <c r="AL431">
        <v>0</v>
      </c>
      <c r="AM431">
        <v>0</v>
      </c>
      <c r="AN431" s="22" t="s">
        <v>53</v>
      </c>
      <c r="AO431" s="22" t="s">
        <v>53</v>
      </c>
      <c r="AP431" s="22" t="s">
        <v>53</v>
      </c>
      <c r="AQ431" s="22" t="s">
        <v>53</v>
      </c>
      <c r="AR431" s="35">
        <v>0</v>
      </c>
      <c r="AS431" s="35">
        <v>0</v>
      </c>
      <c r="AT431" s="35">
        <v>0</v>
      </c>
      <c r="AU431" s="31" t="str">
        <f t="shared" si="10"/>
        <v>库存为0</v>
      </c>
      <c r="AV431" s="36" t="str">
        <f>IFERROR(时间!$B$4+AU431,"上周无销量")</f>
        <v>上周无销量</v>
      </c>
    </row>
    <row r="432" spans="1:48">
      <c r="A432" s="20" t="s">
        <v>999</v>
      </c>
      <c r="B432" t="s">
        <v>1000</v>
      </c>
      <c r="C432" t="s">
        <v>996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14</v>
      </c>
      <c r="O432">
        <v>0</v>
      </c>
      <c r="P432" t="s">
        <v>53</v>
      </c>
      <c r="Q432" t="s">
        <v>53</v>
      </c>
      <c r="R432" t="s">
        <v>53</v>
      </c>
      <c r="S432" t="s">
        <v>53</v>
      </c>
      <c r="T432" t="s">
        <v>53</v>
      </c>
      <c r="U432" t="s">
        <v>53</v>
      </c>
      <c r="V432" t="s">
        <v>53</v>
      </c>
      <c r="W432" t="s">
        <v>53</v>
      </c>
      <c r="X432" s="22" t="s">
        <v>53</v>
      </c>
      <c r="Y432" s="22" t="s">
        <v>53</v>
      </c>
      <c r="Z432" s="22" t="s">
        <v>53</v>
      </c>
      <c r="AA432" s="22" t="s">
        <v>53</v>
      </c>
      <c r="AB432" t="s">
        <v>53</v>
      </c>
      <c r="AC432" t="s">
        <v>53</v>
      </c>
      <c r="AD432" t="s">
        <v>53</v>
      </c>
      <c r="AE432" t="s">
        <v>53</v>
      </c>
      <c r="AF432" s="22" t="s">
        <v>53</v>
      </c>
      <c r="AG432" s="22" t="s">
        <v>53</v>
      </c>
      <c r="AH432" s="22" t="s">
        <v>53</v>
      </c>
      <c r="AI432" s="22" t="s">
        <v>53</v>
      </c>
      <c r="AJ432">
        <v>0</v>
      </c>
      <c r="AK432">
        <v>0</v>
      </c>
      <c r="AL432">
        <v>0</v>
      </c>
      <c r="AM432">
        <v>0</v>
      </c>
      <c r="AN432" s="22" t="s">
        <v>53</v>
      </c>
      <c r="AO432" s="22" t="s">
        <v>53</v>
      </c>
      <c r="AP432" s="22" t="s">
        <v>53</v>
      </c>
      <c r="AQ432" s="22" t="s">
        <v>53</v>
      </c>
      <c r="AR432" s="35">
        <v>0</v>
      </c>
      <c r="AS432" s="35">
        <v>0</v>
      </c>
      <c r="AT432" s="35">
        <v>0</v>
      </c>
      <c r="AU432" s="31" t="str">
        <f t="shared" si="10"/>
        <v>库存为0</v>
      </c>
      <c r="AV432" s="36" t="str">
        <f>IFERROR(时间!$B$4+AU432,"上周无销量")</f>
        <v>上周无销量</v>
      </c>
    </row>
    <row r="433" spans="1:48">
      <c r="A433" s="20" t="s">
        <v>1001</v>
      </c>
      <c r="B433" t="s">
        <v>1002</v>
      </c>
      <c r="C433" t="s">
        <v>996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11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0</v>
      </c>
      <c r="AK433">
        <v>0</v>
      </c>
      <c r="AL433">
        <v>0</v>
      </c>
      <c r="AM433">
        <v>0</v>
      </c>
      <c r="AN433" s="22" t="s">
        <v>53</v>
      </c>
      <c r="AO433" s="22" t="s">
        <v>53</v>
      </c>
      <c r="AP433" s="22" t="s">
        <v>53</v>
      </c>
      <c r="AQ433" s="22" t="s">
        <v>53</v>
      </c>
      <c r="AR433" s="35">
        <v>0</v>
      </c>
      <c r="AS433" s="35">
        <v>0</v>
      </c>
      <c r="AT433" s="35">
        <v>0</v>
      </c>
      <c r="AU433" s="31" t="str">
        <f t="shared" si="10"/>
        <v>库存为0</v>
      </c>
      <c r="AV433" s="36" t="str">
        <f>IFERROR(时间!$B$4+AU433,"上周无销量")</f>
        <v>上周无销量</v>
      </c>
    </row>
    <row r="434" spans="1:48">
      <c r="A434" s="20" t="s">
        <v>1003</v>
      </c>
      <c r="B434" t="s">
        <v>1004</v>
      </c>
      <c r="C434" t="s">
        <v>1005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0</v>
      </c>
      <c r="AK434">
        <v>0</v>
      </c>
      <c r="AL434">
        <v>0</v>
      </c>
      <c r="AM434">
        <v>0</v>
      </c>
      <c r="AN434" s="22" t="s">
        <v>53</v>
      </c>
      <c r="AO434" s="22" t="s">
        <v>53</v>
      </c>
      <c r="AP434" s="22" t="s">
        <v>53</v>
      </c>
      <c r="AQ434" s="22" t="s">
        <v>53</v>
      </c>
      <c r="AR434" s="35">
        <v>0</v>
      </c>
      <c r="AS434" s="35">
        <v>0</v>
      </c>
      <c r="AT434" s="35">
        <v>0</v>
      </c>
      <c r="AU434" s="31" t="str">
        <f t="shared" si="10"/>
        <v>库存为0</v>
      </c>
      <c r="AV434" s="36" t="str">
        <f>IFERROR(时间!$B$4+AU434,"上周无销量")</f>
        <v>上周无销量</v>
      </c>
    </row>
    <row r="435" spans="1:48">
      <c r="A435" s="20" t="s">
        <v>1006</v>
      </c>
      <c r="B435" t="s">
        <v>1007</v>
      </c>
      <c r="C435" t="s">
        <v>1005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53</v>
      </c>
      <c r="Q435" t="s">
        <v>53</v>
      </c>
      <c r="R435" t="s">
        <v>53</v>
      </c>
      <c r="S435" t="s">
        <v>53</v>
      </c>
      <c r="T435" t="s">
        <v>53</v>
      </c>
      <c r="U435" t="s">
        <v>53</v>
      </c>
      <c r="V435" t="s">
        <v>53</v>
      </c>
      <c r="W435" t="s">
        <v>53</v>
      </c>
      <c r="X435" s="22" t="s">
        <v>53</v>
      </c>
      <c r="Y435" s="22" t="s">
        <v>53</v>
      </c>
      <c r="Z435" s="22" t="s">
        <v>53</v>
      </c>
      <c r="AA435" s="22" t="s">
        <v>53</v>
      </c>
      <c r="AB435" t="s">
        <v>53</v>
      </c>
      <c r="AC435" t="s">
        <v>53</v>
      </c>
      <c r="AD435" t="s">
        <v>53</v>
      </c>
      <c r="AE435" t="s">
        <v>53</v>
      </c>
      <c r="AF435" s="22" t="s">
        <v>53</v>
      </c>
      <c r="AG435" s="22" t="s">
        <v>53</v>
      </c>
      <c r="AH435" s="22" t="s">
        <v>53</v>
      </c>
      <c r="AI435" s="22" t="s">
        <v>53</v>
      </c>
      <c r="AJ435">
        <v>0</v>
      </c>
      <c r="AK435">
        <v>0</v>
      </c>
      <c r="AL435">
        <v>0</v>
      </c>
      <c r="AM435">
        <v>0</v>
      </c>
      <c r="AN435" s="22" t="s">
        <v>53</v>
      </c>
      <c r="AO435" s="22" t="s">
        <v>53</v>
      </c>
      <c r="AP435" s="22" t="s">
        <v>53</v>
      </c>
      <c r="AQ435" s="22" t="s">
        <v>53</v>
      </c>
      <c r="AR435" s="35">
        <v>0</v>
      </c>
      <c r="AS435" s="35">
        <v>0</v>
      </c>
      <c r="AT435" s="35">
        <v>0</v>
      </c>
      <c r="AU435" s="31" t="str">
        <f t="shared" si="10"/>
        <v>库存为0</v>
      </c>
      <c r="AV435" s="36" t="str">
        <f>IFERROR(时间!$B$4+AU435,"上周无销量")</f>
        <v>上周无销量</v>
      </c>
    </row>
    <row r="436" spans="1:48">
      <c r="A436" s="20" t="s">
        <v>1008</v>
      </c>
      <c r="B436" t="s">
        <v>1009</v>
      </c>
      <c r="C436" t="s">
        <v>1010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1</v>
      </c>
      <c r="J436" s="33">
        <v>0</v>
      </c>
      <c r="K436" s="33">
        <v>0</v>
      </c>
      <c r="L436" s="33">
        <v>0</v>
      </c>
      <c r="M436">
        <v>1</v>
      </c>
      <c r="N436">
        <v>0</v>
      </c>
      <c r="O436">
        <v>0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23</v>
      </c>
      <c r="AK436">
        <v>15</v>
      </c>
      <c r="AL436">
        <v>15</v>
      </c>
      <c r="AM436">
        <v>6</v>
      </c>
      <c r="AN436" s="22">
        <v>0</v>
      </c>
      <c r="AO436" s="22">
        <v>0</v>
      </c>
      <c r="AP436" s="22">
        <v>0</v>
      </c>
      <c r="AQ436" s="22">
        <v>0</v>
      </c>
      <c r="AR436" s="35">
        <v>0</v>
      </c>
      <c r="AS436" s="35">
        <v>0</v>
      </c>
      <c r="AT436" s="35">
        <v>1</v>
      </c>
      <c r="AU436" s="31" t="str">
        <f t="shared" si="10"/>
        <v>库存为1</v>
      </c>
      <c r="AV436" s="36" t="str">
        <f>IFERROR(时间!$B$4+AU436,"上周无销量")</f>
        <v>上周无销量</v>
      </c>
    </row>
    <row r="437" spans="1:48">
      <c r="A437" s="20" t="s">
        <v>1011</v>
      </c>
      <c r="B437" t="s">
        <v>1012</v>
      </c>
      <c r="C437" t="s">
        <v>1013</v>
      </c>
      <c r="D437" s="31">
        <v>4</v>
      </c>
      <c r="E437" s="31">
        <v>3</v>
      </c>
      <c r="F437" s="31">
        <v>0</v>
      </c>
      <c r="G437" s="31">
        <v>0</v>
      </c>
      <c r="H437" s="32">
        <v>14.2757142857143</v>
      </c>
      <c r="I437">
        <v>3</v>
      </c>
      <c r="J437" s="33">
        <v>0</v>
      </c>
      <c r="K437" s="33">
        <v>0</v>
      </c>
      <c r="L437" s="33">
        <v>0</v>
      </c>
      <c r="M437">
        <v>3</v>
      </c>
      <c r="N437">
        <v>0</v>
      </c>
      <c r="O437">
        <v>0</v>
      </c>
      <c r="P437" t="s">
        <v>53</v>
      </c>
      <c r="Q437" t="s">
        <v>53</v>
      </c>
      <c r="R437" t="s">
        <v>53</v>
      </c>
      <c r="S437" t="s">
        <v>53</v>
      </c>
      <c r="T437" t="s">
        <v>53</v>
      </c>
      <c r="U437" t="s">
        <v>53</v>
      </c>
      <c r="V437" t="s">
        <v>53</v>
      </c>
      <c r="W437" t="s">
        <v>53</v>
      </c>
      <c r="X437" s="22" t="s">
        <v>53</v>
      </c>
      <c r="Y437" s="22" t="s">
        <v>53</v>
      </c>
      <c r="Z437" s="22" t="s">
        <v>53</v>
      </c>
      <c r="AA437" s="22" t="s">
        <v>53</v>
      </c>
      <c r="AB437" t="s">
        <v>53</v>
      </c>
      <c r="AC437" t="s">
        <v>53</v>
      </c>
      <c r="AD437" t="s">
        <v>53</v>
      </c>
      <c r="AE437" t="s">
        <v>53</v>
      </c>
      <c r="AF437" s="22" t="s">
        <v>53</v>
      </c>
      <c r="AG437" s="22" t="s">
        <v>53</v>
      </c>
      <c r="AH437" s="22" t="s">
        <v>53</v>
      </c>
      <c r="AI437" s="22" t="s">
        <v>53</v>
      </c>
      <c r="AJ437">
        <v>27</v>
      </c>
      <c r="AK437">
        <v>20</v>
      </c>
      <c r="AL437">
        <v>0</v>
      </c>
      <c r="AM437">
        <v>0</v>
      </c>
      <c r="AN437" s="22">
        <v>0.148148148148148</v>
      </c>
      <c r="AO437" s="22">
        <v>0.15</v>
      </c>
      <c r="AP437" s="22" t="s">
        <v>53</v>
      </c>
      <c r="AQ437" s="22" t="s">
        <v>53</v>
      </c>
      <c r="AR437" s="35">
        <v>0.571428571428571</v>
      </c>
      <c r="AS437" s="35">
        <v>34.2857142857143</v>
      </c>
      <c r="AT437" s="35">
        <v>-31.2857142857143</v>
      </c>
      <c r="AU437" s="31">
        <f t="shared" si="10"/>
        <v>5</v>
      </c>
      <c r="AV437" s="36">
        <f>IFERROR(时间!$B$4+AU437,"上周无销量")</f>
        <v>43323</v>
      </c>
    </row>
    <row r="438" spans="1:48">
      <c r="A438" s="20" t="s">
        <v>1014</v>
      </c>
      <c r="B438" t="s">
        <v>1015</v>
      </c>
      <c r="C438" t="s">
        <v>1013</v>
      </c>
      <c r="D438" s="31">
        <v>0</v>
      </c>
      <c r="E438" s="31">
        <v>2</v>
      </c>
      <c r="F438" s="31">
        <v>0</v>
      </c>
      <c r="G438" s="31">
        <v>0</v>
      </c>
      <c r="H438" s="32">
        <v>11.99</v>
      </c>
      <c r="I438">
        <v>8</v>
      </c>
      <c r="J438" s="33">
        <v>0</v>
      </c>
      <c r="K438" s="33">
        <v>0</v>
      </c>
      <c r="L438" s="33">
        <v>0</v>
      </c>
      <c r="M438">
        <v>8</v>
      </c>
      <c r="N438">
        <v>0</v>
      </c>
      <c r="O438">
        <v>0</v>
      </c>
      <c r="P438" t="s">
        <v>53</v>
      </c>
      <c r="Q438" t="s">
        <v>53</v>
      </c>
      <c r="R438" t="s">
        <v>53</v>
      </c>
      <c r="S438" t="s">
        <v>53</v>
      </c>
      <c r="T438" t="s">
        <v>53</v>
      </c>
      <c r="U438" t="s">
        <v>53</v>
      </c>
      <c r="V438" t="s">
        <v>53</v>
      </c>
      <c r="W438" t="s">
        <v>53</v>
      </c>
      <c r="X438" s="22" t="s">
        <v>53</v>
      </c>
      <c r="Y438" s="22" t="s">
        <v>53</v>
      </c>
      <c r="Z438" s="22" t="s">
        <v>53</v>
      </c>
      <c r="AA438" s="22" t="s">
        <v>53</v>
      </c>
      <c r="AB438" t="s">
        <v>53</v>
      </c>
      <c r="AC438" t="s">
        <v>53</v>
      </c>
      <c r="AD438" t="s">
        <v>53</v>
      </c>
      <c r="AE438" t="s">
        <v>53</v>
      </c>
      <c r="AF438" s="22" t="s">
        <v>53</v>
      </c>
      <c r="AG438" s="22" t="s">
        <v>53</v>
      </c>
      <c r="AH438" s="22" t="s">
        <v>53</v>
      </c>
      <c r="AI438" s="22" t="s">
        <v>53</v>
      </c>
      <c r="AJ438">
        <v>26</v>
      </c>
      <c r="AK438">
        <v>15</v>
      </c>
      <c r="AL438">
        <v>0</v>
      </c>
      <c r="AM438">
        <v>0</v>
      </c>
      <c r="AN438" s="22">
        <v>0</v>
      </c>
      <c r="AO438" s="22">
        <v>0.133333333333333</v>
      </c>
      <c r="AP438" s="22" t="s">
        <v>53</v>
      </c>
      <c r="AQ438" s="22" t="s">
        <v>53</v>
      </c>
      <c r="AR438" s="35">
        <v>0</v>
      </c>
      <c r="AS438" s="35">
        <v>0</v>
      </c>
      <c r="AT438" s="35">
        <v>8</v>
      </c>
      <c r="AU438" s="31" t="str">
        <f t="shared" si="10"/>
        <v>库存为8</v>
      </c>
      <c r="AV438" s="36" t="str">
        <f>IFERROR(时间!$B$4+AU438,"上周无销量")</f>
        <v>上周无销量</v>
      </c>
    </row>
    <row r="439" spans="1:48">
      <c r="A439" s="20" t="s">
        <v>1016</v>
      </c>
      <c r="B439" t="s">
        <v>1017</v>
      </c>
      <c r="C439" t="s">
        <v>1013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10</v>
      </c>
      <c r="J439" s="33">
        <v>0</v>
      </c>
      <c r="K439" s="33">
        <v>0</v>
      </c>
      <c r="L439" s="33">
        <v>0</v>
      </c>
      <c r="M439">
        <v>10</v>
      </c>
      <c r="N439">
        <v>0</v>
      </c>
      <c r="O439">
        <v>0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46</v>
      </c>
      <c r="AK439">
        <v>15</v>
      </c>
      <c r="AL439">
        <v>0</v>
      </c>
      <c r="AM439">
        <v>0</v>
      </c>
      <c r="AN439" s="22">
        <v>0</v>
      </c>
      <c r="AO439" s="22">
        <v>0</v>
      </c>
      <c r="AP439" s="22" t="s">
        <v>53</v>
      </c>
      <c r="AQ439" s="22" t="s">
        <v>53</v>
      </c>
      <c r="AR439" s="35">
        <v>0</v>
      </c>
      <c r="AS439" s="35">
        <v>0</v>
      </c>
      <c r="AT439" s="35">
        <v>10</v>
      </c>
      <c r="AU439" s="31" t="str">
        <f t="shared" si="10"/>
        <v>库存为10</v>
      </c>
      <c r="AV439" s="36" t="str">
        <f>IFERROR(时间!$B$4+AU439,"上周无销量")</f>
        <v>上周无销量</v>
      </c>
    </row>
    <row r="440" spans="1:48">
      <c r="A440" s="20" t="s">
        <v>1018</v>
      </c>
      <c r="B440" t="s">
        <v>1019</v>
      </c>
      <c r="C440" t="s">
        <v>1020</v>
      </c>
      <c r="D440" s="31">
        <v>0</v>
      </c>
      <c r="E440" s="31">
        <v>2</v>
      </c>
      <c r="F440" s="31">
        <v>0</v>
      </c>
      <c r="G440" s="31">
        <v>0</v>
      </c>
      <c r="H440" s="32">
        <v>11.99</v>
      </c>
      <c r="I440">
        <v>8</v>
      </c>
      <c r="J440" s="33">
        <v>0</v>
      </c>
      <c r="K440" s="33">
        <v>0</v>
      </c>
      <c r="L440" s="33">
        <v>0</v>
      </c>
      <c r="M440">
        <v>8</v>
      </c>
      <c r="N440">
        <v>0</v>
      </c>
      <c r="O440">
        <v>0</v>
      </c>
      <c r="P440" t="s">
        <v>53</v>
      </c>
      <c r="Q440" t="s">
        <v>53</v>
      </c>
      <c r="R440" t="s">
        <v>53</v>
      </c>
      <c r="S440" t="s">
        <v>53</v>
      </c>
      <c r="T440" t="s">
        <v>53</v>
      </c>
      <c r="U440" t="s">
        <v>53</v>
      </c>
      <c r="V440" t="s">
        <v>53</v>
      </c>
      <c r="W440" t="s">
        <v>53</v>
      </c>
      <c r="X440" s="22" t="s">
        <v>53</v>
      </c>
      <c r="Y440" s="22" t="s">
        <v>53</v>
      </c>
      <c r="Z440" s="22" t="s">
        <v>53</v>
      </c>
      <c r="AA440" s="22" t="s">
        <v>53</v>
      </c>
      <c r="AB440" t="s">
        <v>53</v>
      </c>
      <c r="AC440" t="s">
        <v>53</v>
      </c>
      <c r="AD440" t="s">
        <v>53</v>
      </c>
      <c r="AE440" t="s">
        <v>53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21</v>
      </c>
      <c r="AK440">
        <v>11</v>
      </c>
      <c r="AL440">
        <v>0</v>
      </c>
      <c r="AM440">
        <v>0</v>
      </c>
      <c r="AN440" s="22">
        <v>0</v>
      </c>
      <c r="AO440" s="22">
        <v>0.181818181818182</v>
      </c>
      <c r="AP440" s="22" t="s">
        <v>53</v>
      </c>
      <c r="AQ440" s="22" t="s">
        <v>53</v>
      </c>
      <c r="AR440" s="35">
        <v>0</v>
      </c>
      <c r="AS440" s="35">
        <v>0</v>
      </c>
      <c r="AT440" s="35">
        <v>8</v>
      </c>
      <c r="AU440" s="31" t="str">
        <f t="shared" si="10"/>
        <v>库存为8</v>
      </c>
      <c r="AV440" s="36" t="str">
        <f>IFERROR(时间!$B$4+AU440,"上周无销量")</f>
        <v>上周无销量</v>
      </c>
    </row>
    <row r="441" spans="1:48">
      <c r="A441" s="20" t="s">
        <v>1021</v>
      </c>
      <c r="B441" t="s">
        <v>1022</v>
      </c>
      <c r="C441" t="s">
        <v>1023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0</v>
      </c>
      <c r="AK441">
        <v>0</v>
      </c>
      <c r="AL441">
        <v>0</v>
      </c>
      <c r="AM441">
        <v>0</v>
      </c>
      <c r="AN441" s="22" t="s">
        <v>53</v>
      </c>
      <c r="AO441" s="22" t="s">
        <v>53</v>
      </c>
      <c r="AP441" s="22" t="s">
        <v>53</v>
      </c>
      <c r="AQ441" s="22" t="s">
        <v>53</v>
      </c>
      <c r="AR441" s="35">
        <v>0</v>
      </c>
      <c r="AS441" s="35">
        <v>0</v>
      </c>
      <c r="AT441" s="35">
        <v>0</v>
      </c>
      <c r="AU441" s="31" t="str">
        <f t="shared" si="10"/>
        <v>库存为0</v>
      </c>
      <c r="AV441" s="36" t="str">
        <f>IFERROR(时间!$B$4+AU441,"上周无销量")</f>
        <v>上周无销量</v>
      </c>
    </row>
    <row r="442" spans="1:48">
      <c r="A442" s="20" t="s">
        <v>1024</v>
      </c>
      <c r="B442" t="s">
        <v>1025</v>
      </c>
      <c r="C442" t="s">
        <v>1026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53</v>
      </c>
      <c r="Q442" t="s">
        <v>53</v>
      </c>
      <c r="R442" t="s">
        <v>53</v>
      </c>
      <c r="S442" t="s">
        <v>53</v>
      </c>
      <c r="T442" t="s">
        <v>53</v>
      </c>
      <c r="U442" t="s">
        <v>53</v>
      </c>
      <c r="V442" t="s">
        <v>53</v>
      </c>
      <c r="W442" t="s">
        <v>53</v>
      </c>
      <c r="X442" s="22" t="s">
        <v>53</v>
      </c>
      <c r="Y442" s="22" t="s">
        <v>53</v>
      </c>
      <c r="Z442" s="22" t="s">
        <v>53</v>
      </c>
      <c r="AA442" s="22" t="s">
        <v>53</v>
      </c>
      <c r="AB442" t="s">
        <v>53</v>
      </c>
      <c r="AC442" t="s">
        <v>53</v>
      </c>
      <c r="AD442" t="s">
        <v>53</v>
      </c>
      <c r="AE442" t="s">
        <v>53</v>
      </c>
      <c r="AF442" s="22" t="s">
        <v>53</v>
      </c>
      <c r="AG442" s="22" t="s">
        <v>53</v>
      </c>
      <c r="AH442" s="22" t="s">
        <v>53</v>
      </c>
      <c r="AI442" s="22" t="s">
        <v>53</v>
      </c>
      <c r="AJ442">
        <v>0</v>
      </c>
      <c r="AK442">
        <v>0</v>
      </c>
      <c r="AL442">
        <v>0</v>
      </c>
      <c r="AM442">
        <v>0</v>
      </c>
      <c r="AN442" s="22" t="s">
        <v>53</v>
      </c>
      <c r="AO442" s="22" t="s">
        <v>53</v>
      </c>
      <c r="AP442" s="22" t="s">
        <v>53</v>
      </c>
      <c r="AQ442" s="22" t="s">
        <v>53</v>
      </c>
      <c r="AR442" s="35">
        <v>0</v>
      </c>
      <c r="AS442" s="35">
        <v>0</v>
      </c>
      <c r="AT442" s="35">
        <v>0</v>
      </c>
      <c r="AU442" s="31" t="str">
        <f t="shared" si="10"/>
        <v>库存为0</v>
      </c>
      <c r="AV442" s="36" t="str">
        <f>IFERROR(时间!$B$4+AU442,"上周无销量")</f>
        <v>上周无销量</v>
      </c>
    </row>
    <row r="443" spans="1:48">
      <c r="A443" s="20" t="s">
        <v>1027</v>
      </c>
      <c r="B443" t="s">
        <v>1028</v>
      </c>
      <c r="C443" t="s">
        <v>1029</v>
      </c>
      <c r="D443" s="31">
        <v>2</v>
      </c>
      <c r="E443" s="31">
        <v>6</v>
      </c>
      <c r="F443" s="31">
        <v>3</v>
      </c>
      <c r="G443" s="31">
        <v>3</v>
      </c>
      <c r="H443" s="32">
        <v>24.7042857142857</v>
      </c>
      <c r="I443">
        <v>18</v>
      </c>
      <c r="J443" s="33">
        <v>0</v>
      </c>
      <c r="K443" s="33">
        <v>0</v>
      </c>
      <c r="L443" s="33">
        <v>0</v>
      </c>
      <c r="M443">
        <v>18</v>
      </c>
      <c r="N443">
        <v>0</v>
      </c>
      <c r="O443">
        <v>0</v>
      </c>
      <c r="P443">
        <v>477</v>
      </c>
      <c r="Q443">
        <v>1083</v>
      </c>
      <c r="R443">
        <v>1161</v>
      </c>
      <c r="S443">
        <v>216</v>
      </c>
      <c r="T443">
        <v>2</v>
      </c>
      <c r="U443">
        <v>8</v>
      </c>
      <c r="V443">
        <v>11</v>
      </c>
      <c r="W443">
        <v>5</v>
      </c>
      <c r="X443" s="22">
        <v>0.00419287211740042</v>
      </c>
      <c r="Y443" s="22">
        <v>0.00738688827331487</v>
      </c>
      <c r="Z443" s="22">
        <v>0.00947459086993971</v>
      </c>
      <c r="AA443" s="22">
        <v>0.0231481481481481</v>
      </c>
      <c r="AB443">
        <v>0.44</v>
      </c>
      <c r="AC443">
        <v>4.03</v>
      </c>
      <c r="AD443">
        <v>5.22</v>
      </c>
      <c r="AE443">
        <v>0.93</v>
      </c>
      <c r="AF443" s="22">
        <v>0.00890533741976523</v>
      </c>
      <c r="AG443" s="22">
        <v>0.0271882650012529</v>
      </c>
      <c r="AH443" s="22">
        <v>0.0704331232290523</v>
      </c>
      <c r="AI443" s="22">
        <v>0.0125484300005783</v>
      </c>
      <c r="AJ443">
        <v>93</v>
      </c>
      <c r="AK443">
        <v>93</v>
      </c>
      <c r="AL443">
        <v>66</v>
      </c>
      <c r="AM443">
        <v>52</v>
      </c>
      <c r="AN443" s="22">
        <v>0.021505376344086</v>
      </c>
      <c r="AO443" s="22">
        <v>0.0645161290322581</v>
      </c>
      <c r="AP443" s="22">
        <v>0.0454545454545455</v>
      </c>
      <c r="AQ443" s="22">
        <v>0.0576923076923077</v>
      </c>
      <c r="AR443" s="35">
        <v>0.285714285714286</v>
      </c>
      <c r="AS443" s="35">
        <v>17.1428571428571</v>
      </c>
      <c r="AT443" s="35">
        <v>0.857142857142858</v>
      </c>
      <c r="AU443" s="31">
        <f t="shared" si="10"/>
        <v>63</v>
      </c>
      <c r="AV443" s="36">
        <f>IFERROR(时间!$B$4+AU443,"上周无销量")</f>
        <v>43381</v>
      </c>
    </row>
    <row r="444" spans="1:48">
      <c r="A444" s="20" t="s">
        <v>1030</v>
      </c>
      <c r="B444" t="s">
        <v>1031</v>
      </c>
      <c r="C444" t="s">
        <v>1032</v>
      </c>
      <c r="D444" s="31">
        <v>0</v>
      </c>
      <c r="E444" s="31">
        <v>0</v>
      </c>
      <c r="F444" s="31">
        <v>1</v>
      </c>
      <c r="G444" s="31">
        <v>0</v>
      </c>
      <c r="H444" s="32">
        <v>20.7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0</v>
      </c>
      <c r="AK444">
        <v>0</v>
      </c>
      <c r="AL444">
        <v>3</v>
      </c>
      <c r="AM444">
        <v>6</v>
      </c>
      <c r="AN444" s="22" t="s">
        <v>53</v>
      </c>
      <c r="AO444" s="22" t="s">
        <v>53</v>
      </c>
      <c r="AP444" s="22">
        <v>0.333333333333333</v>
      </c>
      <c r="AQ444" s="22">
        <v>0</v>
      </c>
      <c r="AR444" s="35">
        <v>0</v>
      </c>
      <c r="AS444" s="35">
        <v>0</v>
      </c>
      <c r="AT444" s="35">
        <v>0</v>
      </c>
      <c r="AU444" s="31" t="str">
        <f t="shared" si="10"/>
        <v>库存为0</v>
      </c>
      <c r="AV444" s="36" t="str">
        <f>IFERROR(时间!$B$4+AU444,"上周无销量")</f>
        <v>上周无销量</v>
      </c>
    </row>
    <row r="445" spans="1:48">
      <c r="A445" s="20" t="s">
        <v>1033</v>
      </c>
      <c r="B445" t="s">
        <v>1034</v>
      </c>
      <c r="C445" t="s">
        <v>1032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53</v>
      </c>
      <c r="Q445" t="s">
        <v>53</v>
      </c>
      <c r="R445" t="s">
        <v>53</v>
      </c>
      <c r="S445" t="s">
        <v>53</v>
      </c>
      <c r="T445" t="s">
        <v>53</v>
      </c>
      <c r="U445" t="s">
        <v>53</v>
      </c>
      <c r="V445" t="s">
        <v>53</v>
      </c>
      <c r="W445" t="s">
        <v>53</v>
      </c>
      <c r="X445" s="22" t="s">
        <v>53</v>
      </c>
      <c r="Y445" s="22" t="s">
        <v>53</v>
      </c>
      <c r="Z445" s="22" t="s">
        <v>53</v>
      </c>
      <c r="AA445" s="22" t="s">
        <v>53</v>
      </c>
      <c r="AB445" t="s">
        <v>53</v>
      </c>
      <c r="AC445" t="s">
        <v>53</v>
      </c>
      <c r="AD445" t="s">
        <v>53</v>
      </c>
      <c r="AE445" t="s">
        <v>53</v>
      </c>
      <c r="AF445" s="22" t="s">
        <v>53</v>
      </c>
      <c r="AG445" s="22" t="s">
        <v>53</v>
      </c>
      <c r="AH445" s="22" t="s">
        <v>53</v>
      </c>
      <c r="AI445" s="22" t="s">
        <v>53</v>
      </c>
      <c r="AJ445">
        <v>0</v>
      </c>
      <c r="AK445">
        <v>0</v>
      </c>
      <c r="AL445">
        <v>0</v>
      </c>
      <c r="AM445">
        <v>0</v>
      </c>
      <c r="AN445" s="22" t="s">
        <v>53</v>
      </c>
      <c r="AO445" s="22" t="s">
        <v>53</v>
      </c>
      <c r="AP445" s="22" t="s">
        <v>53</v>
      </c>
      <c r="AQ445" s="22" t="s">
        <v>53</v>
      </c>
      <c r="AR445" s="35">
        <v>0</v>
      </c>
      <c r="AS445" s="35">
        <v>0</v>
      </c>
      <c r="AT445" s="35">
        <v>0</v>
      </c>
      <c r="AU445" s="31" t="str">
        <f t="shared" si="10"/>
        <v>库存为0</v>
      </c>
      <c r="AV445" s="36" t="str">
        <f>IFERROR(时间!$B$4+AU445,"上周无销量")</f>
        <v>上周无销量</v>
      </c>
    </row>
    <row r="446" spans="1:48">
      <c r="A446" s="20" t="s">
        <v>1035</v>
      </c>
      <c r="B446" t="s">
        <v>1036</v>
      </c>
      <c r="C446" t="s">
        <v>1032</v>
      </c>
      <c r="D446" s="31">
        <v>1</v>
      </c>
      <c r="E446" s="31">
        <v>1</v>
      </c>
      <c r="F446" s="31">
        <v>5</v>
      </c>
      <c r="G446" s="31">
        <v>0</v>
      </c>
      <c r="H446" s="32">
        <v>12.4</v>
      </c>
      <c r="I446">
        <v>0</v>
      </c>
      <c r="J446" s="33">
        <v>0</v>
      </c>
      <c r="K446" s="33">
        <v>0</v>
      </c>
      <c r="L446" s="33">
        <v>2</v>
      </c>
      <c r="M446">
        <v>2</v>
      </c>
      <c r="N446">
        <v>0</v>
      </c>
      <c r="O446">
        <v>0</v>
      </c>
      <c r="P446" t="s">
        <v>53</v>
      </c>
      <c r="Q446" t="s">
        <v>53</v>
      </c>
      <c r="R446" t="s">
        <v>53</v>
      </c>
      <c r="S446" t="s">
        <v>53</v>
      </c>
      <c r="T446" t="s">
        <v>53</v>
      </c>
      <c r="U446" t="s">
        <v>53</v>
      </c>
      <c r="V446" t="s">
        <v>53</v>
      </c>
      <c r="W446" t="s">
        <v>53</v>
      </c>
      <c r="X446" s="22" t="s">
        <v>53</v>
      </c>
      <c r="Y446" s="22" t="s">
        <v>53</v>
      </c>
      <c r="Z446" s="22" t="s">
        <v>53</v>
      </c>
      <c r="AA446" s="22" t="s">
        <v>53</v>
      </c>
      <c r="AB446" t="s">
        <v>53</v>
      </c>
      <c r="AC446" t="s">
        <v>53</v>
      </c>
      <c r="AD446" t="s">
        <v>53</v>
      </c>
      <c r="AE446" t="s">
        <v>53</v>
      </c>
      <c r="AF446" s="22" t="s">
        <v>53</v>
      </c>
      <c r="AG446" s="22" t="s">
        <v>53</v>
      </c>
      <c r="AH446" s="22" t="s">
        <v>53</v>
      </c>
      <c r="AI446" s="22" t="s">
        <v>53</v>
      </c>
      <c r="AJ446">
        <v>4</v>
      </c>
      <c r="AK446">
        <v>20</v>
      </c>
      <c r="AL446">
        <v>2</v>
      </c>
      <c r="AM446">
        <v>4</v>
      </c>
      <c r="AN446" s="22">
        <v>0.25</v>
      </c>
      <c r="AO446" s="22">
        <v>0.05</v>
      </c>
      <c r="AP446" s="22">
        <v>2.5</v>
      </c>
      <c r="AQ446" s="22">
        <v>0</v>
      </c>
      <c r="AR446" s="35">
        <v>0.142857142857143</v>
      </c>
      <c r="AS446" s="35">
        <v>8.57142857142857</v>
      </c>
      <c r="AT446" s="35">
        <v>-6.57142857142857</v>
      </c>
      <c r="AU446" s="31">
        <f t="shared" si="10"/>
        <v>14</v>
      </c>
      <c r="AV446" s="36">
        <f>IFERROR(时间!$B$4+AU446,"上周无销量")</f>
        <v>43332</v>
      </c>
    </row>
    <row r="447" spans="1:48">
      <c r="A447" s="20" t="s">
        <v>1037</v>
      </c>
      <c r="B447" t="s">
        <v>1038</v>
      </c>
      <c r="C447" t="s">
        <v>1032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8</v>
      </c>
      <c r="J447" s="33">
        <v>0</v>
      </c>
      <c r="K447" s="33">
        <v>0</v>
      </c>
      <c r="L447" s="33">
        <v>0</v>
      </c>
      <c r="M447">
        <v>8</v>
      </c>
      <c r="N447">
        <v>0</v>
      </c>
      <c r="O447">
        <v>7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2</v>
      </c>
      <c r="AK447">
        <v>2</v>
      </c>
      <c r="AL447">
        <v>4</v>
      </c>
      <c r="AM447">
        <v>1</v>
      </c>
      <c r="AN447" s="22">
        <v>0</v>
      </c>
      <c r="AO447" s="22">
        <v>0</v>
      </c>
      <c r="AP447" s="22">
        <v>0</v>
      </c>
      <c r="AQ447" s="22">
        <v>0</v>
      </c>
      <c r="AR447" s="35">
        <v>0</v>
      </c>
      <c r="AS447" s="35">
        <v>0</v>
      </c>
      <c r="AT447" s="35">
        <v>8</v>
      </c>
      <c r="AU447" s="31" t="str">
        <f t="shared" si="10"/>
        <v>库存为8</v>
      </c>
      <c r="AV447" s="36" t="str">
        <f>IFERROR(时间!$B$4+AU447,"上周无销量")</f>
        <v>上周无销量</v>
      </c>
    </row>
    <row r="448" spans="1:48">
      <c r="A448" s="20" t="s">
        <v>1039</v>
      </c>
      <c r="B448" t="s">
        <v>1040</v>
      </c>
      <c r="C448" t="s">
        <v>1032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3</v>
      </c>
      <c r="J448" s="33">
        <v>0</v>
      </c>
      <c r="K448" s="33">
        <v>0</v>
      </c>
      <c r="L448" s="33">
        <v>0</v>
      </c>
      <c r="M448">
        <v>3</v>
      </c>
      <c r="N448">
        <v>0</v>
      </c>
      <c r="O448">
        <v>3</v>
      </c>
      <c r="P448" t="s">
        <v>53</v>
      </c>
      <c r="Q448" t="s">
        <v>53</v>
      </c>
      <c r="R448" t="s">
        <v>53</v>
      </c>
      <c r="S448" t="s">
        <v>53</v>
      </c>
      <c r="T448" t="s">
        <v>53</v>
      </c>
      <c r="U448" t="s">
        <v>53</v>
      </c>
      <c r="V448" t="s">
        <v>53</v>
      </c>
      <c r="W448" t="s">
        <v>53</v>
      </c>
      <c r="X448" s="22" t="s">
        <v>53</v>
      </c>
      <c r="Y448" s="22" t="s">
        <v>53</v>
      </c>
      <c r="Z448" s="22" t="s">
        <v>53</v>
      </c>
      <c r="AA448" s="22" t="s">
        <v>53</v>
      </c>
      <c r="AB448" t="s">
        <v>53</v>
      </c>
      <c r="AC448" t="s">
        <v>53</v>
      </c>
      <c r="AD448" t="s">
        <v>53</v>
      </c>
      <c r="AE448" t="s">
        <v>53</v>
      </c>
      <c r="AF448" s="22" t="s">
        <v>53</v>
      </c>
      <c r="AG448" s="22" t="s">
        <v>53</v>
      </c>
      <c r="AH448" s="22" t="s">
        <v>53</v>
      </c>
      <c r="AI448" s="22" t="s">
        <v>53</v>
      </c>
      <c r="AJ448">
        <v>0</v>
      </c>
      <c r="AK448">
        <v>0</v>
      </c>
      <c r="AL448">
        <v>0</v>
      </c>
      <c r="AM448">
        <v>1</v>
      </c>
      <c r="AN448" s="22" t="s">
        <v>53</v>
      </c>
      <c r="AO448" s="22" t="s">
        <v>53</v>
      </c>
      <c r="AP448" s="22" t="s">
        <v>53</v>
      </c>
      <c r="AQ448" s="22">
        <v>0</v>
      </c>
      <c r="AR448" s="35">
        <v>0</v>
      </c>
      <c r="AS448" s="35">
        <v>0</v>
      </c>
      <c r="AT448" s="35">
        <v>3</v>
      </c>
      <c r="AU448" s="31" t="str">
        <f t="shared" si="10"/>
        <v>库存为3</v>
      </c>
      <c r="AV448" s="36" t="str">
        <f>IFERROR(时间!$B$4+AU448,"上周无销量")</f>
        <v>上周无销量</v>
      </c>
    </row>
    <row r="449" spans="1:48">
      <c r="A449" s="20" t="s">
        <v>1041</v>
      </c>
      <c r="B449" t="s">
        <v>1042</v>
      </c>
      <c r="C449" t="s">
        <v>1032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1</v>
      </c>
      <c r="J449" s="33">
        <v>0</v>
      </c>
      <c r="K449" s="33">
        <v>0</v>
      </c>
      <c r="L449" s="33">
        <v>0</v>
      </c>
      <c r="M449">
        <v>1</v>
      </c>
      <c r="N449">
        <v>0</v>
      </c>
      <c r="O449">
        <v>1</v>
      </c>
      <c r="P449" t="s">
        <v>53</v>
      </c>
      <c r="Q449" t="s">
        <v>53</v>
      </c>
      <c r="R449" t="s">
        <v>53</v>
      </c>
      <c r="S449" t="s">
        <v>53</v>
      </c>
      <c r="T449" t="s">
        <v>53</v>
      </c>
      <c r="U449" t="s">
        <v>53</v>
      </c>
      <c r="V449" t="s">
        <v>53</v>
      </c>
      <c r="W449" t="s">
        <v>53</v>
      </c>
      <c r="X449" s="22" t="s">
        <v>53</v>
      </c>
      <c r="Y449" s="22" t="s">
        <v>53</v>
      </c>
      <c r="Z449" s="22" t="s">
        <v>53</v>
      </c>
      <c r="AA449" s="22" t="s">
        <v>53</v>
      </c>
      <c r="AB449" t="s">
        <v>53</v>
      </c>
      <c r="AC449" t="s">
        <v>53</v>
      </c>
      <c r="AD449" t="s">
        <v>53</v>
      </c>
      <c r="AE449" t="s">
        <v>53</v>
      </c>
      <c r="AF449" s="22" t="s">
        <v>53</v>
      </c>
      <c r="AG449" s="22" t="s">
        <v>53</v>
      </c>
      <c r="AH449" s="22" t="s">
        <v>53</v>
      </c>
      <c r="AI449" s="22" t="s">
        <v>53</v>
      </c>
      <c r="AJ449">
        <v>0</v>
      </c>
      <c r="AK449">
        <v>1</v>
      </c>
      <c r="AL449">
        <v>0</v>
      </c>
      <c r="AM449">
        <v>0</v>
      </c>
      <c r="AN449" s="22" t="s">
        <v>53</v>
      </c>
      <c r="AO449" s="22">
        <v>0</v>
      </c>
      <c r="AP449" s="22" t="s">
        <v>53</v>
      </c>
      <c r="AQ449" s="22" t="s">
        <v>53</v>
      </c>
      <c r="AR449" s="35">
        <v>0</v>
      </c>
      <c r="AS449" s="35">
        <v>0</v>
      </c>
      <c r="AT449" s="35">
        <v>1</v>
      </c>
      <c r="AU449" s="31" t="str">
        <f t="shared" si="10"/>
        <v>库存为1</v>
      </c>
      <c r="AV449" s="36" t="str">
        <f>IFERROR(时间!$B$4+AU449,"上周无销量")</f>
        <v>上周无销量</v>
      </c>
    </row>
    <row r="450" spans="1:48">
      <c r="A450" s="20" t="s">
        <v>1043</v>
      </c>
      <c r="B450" t="s">
        <v>1044</v>
      </c>
      <c r="C450" t="s">
        <v>1032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9</v>
      </c>
      <c r="J450" s="33">
        <v>0</v>
      </c>
      <c r="K450" s="33">
        <v>0</v>
      </c>
      <c r="L450" s="33">
        <v>0</v>
      </c>
      <c r="M450">
        <v>9</v>
      </c>
      <c r="N450">
        <v>0</v>
      </c>
      <c r="O450">
        <v>9</v>
      </c>
      <c r="P450" t="s">
        <v>53</v>
      </c>
      <c r="Q450" t="s">
        <v>53</v>
      </c>
      <c r="R450" t="s">
        <v>53</v>
      </c>
      <c r="S450" t="s">
        <v>53</v>
      </c>
      <c r="T450" t="s">
        <v>53</v>
      </c>
      <c r="U450" t="s">
        <v>53</v>
      </c>
      <c r="V450" t="s">
        <v>53</v>
      </c>
      <c r="W450" t="s">
        <v>53</v>
      </c>
      <c r="X450" s="22" t="s">
        <v>53</v>
      </c>
      <c r="Y450" s="22" t="s">
        <v>53</v>
      </c>
      <c r="Z450" s="22" t="s">
        <v>53</v>
      </c>
      <c r="AA450" s="22" t="s">
        <v>53</v>
      </c>
      <c r="AB450" t="s">
        <v>53</v>
      </c>
      <c r="AC450" t="s">
        <v>53</v>
      </c>
      <c r="AD450" t="s">
        <v>53</v>
      </c>
      <c r="AE450" t="s">
        <v>53</v>
      </c>
      <c r="AF450" s="22" t="s">
        <v>53</v>
      </c>
      <c r="AG450" s="22" t="s">
        <v>53</v>
      </c>
      <c r="AH450" s="22" t="s">
        <v>53</v>
      </c>
      <c r="AI450" s="22" t="s">
        <v>53</v>
      </c>
      <c r="AJ450">
        <v>2</v>
      </c>
      <c r="AK450">
        <v>2</v>
      </c>
      <c r="AL450">
        <v>4</v>
      </c>
      <c r="AM450">
        <v>1</v>
      </c>
      <c r="AN450" s="22">
        <v>0</v>
      </c>
      <c r="AO450" s="22">
        <v>0</v>
      </c>
      <c r="AP450" s="22">
        <v>0</v>
      </c>
      <c r="AQ450" s="22">
        <v>0</v>
      </c>
      <c r="AR450" s="35">
        <v>0</v>
      </c>
      <c r="AS450" s="35">
        <v>0</v>
      </c>
      <c r="AT450" s="35">
        <v>9</v>
      </c>
      <c r="AU450" s="31" t="str">
        <f t="shared" si="10"/>
        <v>库存为9</v>
      </c>
      <c r="AV450" s="36" t="str">
        <f>IFERROR(时间!$B$4+AU450,"上周无销量")</f>
        <v>上周无销量</v>
      </c>
    </row>
    <row r="451" spans="1:48">
      <c r="A451" s="20" t="s">
        <v>1045</v>
      </c>
      <c r="B451" t="s">
        <v>1046</v>
      </c>
      <c r="C451" t="s">
        <v>1032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0</v>
      </c>
      <c r="AK451">
        <v>0</v>
      </c>
      <c r="AL451">
        <v>0</v>
      </c>
      <c r="AM451">
        <v>0</v>
      </c>
      <c r="AN451" s="22" t="s">
        <v>53</v>
      </c>
      <c r="AO451" s="22" t="s">
        <v>53</v>
      </c>
      <c r="AP451" s="22" t="s">
        <v>53</v>
      </c>
      <c r="AQ451" s="22" t="s">
        <v>53</v>
      </c>
      <c r="AR451" s="35">
        <v>0</v>
      </c>
      <c r="AS451" s="35">
        <v>0</v>
      </c>
      <c r="AT451" s="35">
        <v>0</v>
      </c>
      <c r="AU451" s="31" t="str">
        <f t="shared" si="10"/>
        <v>库存为0</v>
      </c>
      <c r="AV451" s="36" t="str">
        <f>IFERROR(时间!$B$4+AU451,"上周无销量")</f>
        <v>上周无销量</v>
      </c>
    </row>
    <row r="452" spans="1:48">
      <c r="A452" s="20" t="s">
        <v>1047</v>
      </c>
      <c r="B452" t="s">
        <v>1048</v>
      </c>
      <c r="C452" t="s">
        <v>1049</v>
      </c>
      <c r="D452" s="31">
        <v>1</v>
      </c>
      <c r="E452" s="31">
        <v>0</v>
      </c>
      <c r="F452" s="31">
        <v>0</v>
      </c>
      <c r="G452" s="31">
        <v>0</v>
      </c>
      <c r="H452" s="32">
        <v>8.99</v>
      </c>
      <c r="I452">
        <v>2</v>
      </c>
      <c r="J452" s="33">
        <v>0</v>
      </c>
      <c r="K452" s="33">
        <v>0</v>
      </c>
      <c r="L452" s="33">
        <v>0</v>
      </c>
      <c r="M452">
        <v>2</v>
      </c>
      <c r="N452">
        <v>0</v>
      </c>
      <c r="O452">
        <v>2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3</v>
      </c>
      <c r="AK452">
        <v>5</v>
      </c>
      <c r="AL452">
        <v>3</v>
      </c>
      <c r="AM452">
        <v>3</v>
      </c>
      <c r="AN452" s="22">
        <v>0.333333333333333</v>
      </c>
      <c r="AO452" s="22">
        <v>0</v>
      </c>
      <c r="AP452" s="22">
        <v>0</v>
      </c>
      <c r="AQ452" s="22">
        <v>0</v>
      </c>
      <c r="AR452" s="35">
        <v>0.142857142857143</v>
      </c>
      <c r="AS452" s="35">
        <v>8.57142857142857</v>
      </c>
      <c r="AT452" s="35">
        <v>-6.57142857142857</v>
      </c>
      <c r="AU452" s="31">
        <f t="shared" si="10"/>
        <v>14</v>
      </c>
      <c r="AV452" s="36">
        <f>IFERROR(时间!$B$4+AU452,"上周无销量")</f>
        <v>43332</v>
      </c>
    </row>
    <row r="453" spans="1:48">
      <c r="A453" s="20" t="s">
        <v>1050</v>
      </c>
      <c r="B453" t="s">
        <v>1051</v>
      </c>
      <c r="C453" t="s">
        <v>1049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8</v>
      </c>
      <c r="J453" s="33">
        <v>0</v>
      </c>
      <c r="K453" s="33">
        <v>0</v>
      </c>
      <c r="L453" s="33">
        <v>0</v>
      </c>
      <c r="M453">
        <v>8</v>
      </c>
      <c r="N453">
        <v>0</v>
      </c>
      <c r="O453">
        <v>8</v>
      </c>
      <c r="P453">
        <v>0</v>
      </c>
      <c r="Q453">
        <v>56</v>
      </c>
      <c r="R453">
        <v>341</v>
      </c>
      <c r="S453">
        <v>257</v>
      </c>
      <c r="T453">
        <v>0</v>
      </c>
      <c r="U453">
        <v>1</v>
      </c>
      <c r="V453">
        <v>1</v>
      </c>
      <c r="W453">
        <v>5</v>
      </c>
      <c r="X453" s="22" t="s">
        <v>53</v>
      </c>
      <c r="Y453" s="22">
        <v>0.0178571428571429</v>
      </c>
      <c r="Z453" s="22">
        <v>0.00293255131964809</v>
      </c>
      <c r="AA453" s="22">
        <v>0.0194552529182879</v>
      </c>
      <c r="AB453">
        <v>0</v>
      </c>
      <c r="AC453">
        <v>0.08</v>
      </c>
      <c r="AD453">
        <v>0.09</v>
      </c>
      <c r="AE453">
        <v>0.39</v>
      </c>
      <c r="AF453" s="22" t="s">
        <v>53</v>
      </c>
      <c r="AG453" s="22" t="s">
        <v>1052</v>
      </c>
      <c r="AH453" s="22" t="s">
        <v>1053</v>
      </c>
      <c r="AI453" s="22" t="s">
        <v>1054</v>
      </c>
      <c r="AJ453">
        <v>3</v>
      </c>
      <c r="AK453">
        <v>8</v>
      </c>
      <c r="AL453">
        <v>8</v>
      </c>
      <c r="AM453">
        <v>4</v>
      </c>
      <c r="AN453" s="22">
        <v>0</v>
      </c>
      <c r="AO453" s="22">
        <v>0</v>
      </c>
      <c r="AP453" s="22">
        <v>0</v>
      </c>
      <c r="AQ453" s="22">
        <v>0</v>
      </c>
      <c r="AR453" s="35">
        <v>0</v>
      </c>
      <c r="AS453" s="35">
        <v>0</v>
      </c>
      <c r="AT453" s="35">
        <v>8</v>
      </c>
      <c r="AU453" s="31" t="str">
        <f t="shared" ref="AU453:AU516" si="11">IF(AR453="","库存为"&amp;M453,IF(AS453=0,"库存为"&amp;M453,INT(M453/AR453)))</f>
        <v>库存为8</v>
      </c>
      <c r="AV453" s="36" t="str">
        <f>IFERROR(时间!$B$4+AU453,"上周无销量")</f>
        <v>上周无销量</v>
      </c>
    </row>
    <row r="454" spans="1:48">
      <c r="A454" s="20" t="s">
        <v>1055</v>
      </c>
      <c r="B454" t="s">
        <v>1056</v>
      </c>
      <c r="C454" t="s">
        <v>1049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6</v>
      </c>
      <c r="J454" s="33">
        <v>0</v>
      </c>
      <c r="K454" s="33">
        <v>0</v>
      </c>
      <c r="L454" s="33">
        <v>0</v>
      </c>
      <c r="M454">
        <v>6</v>
      </c>
      <c r="N454">
        <v>0</v>
      </c>
      <c r="O454">
        <v>6</v>
      </c>
      <c r="P454" t="s">
        <v>53</v>
      </c>
      <c r="Q454" t="s">
        <v>53</v>
      </c>
      <c r="R454" t="s">
        <v>53</v>
      </c>
      <c r="S454" t="s">
        <v>53</v>
      </c>
      <c r="T454" t="s">
        <v>53</v>
      </c>
      <c r="U454" t="s">
        <v>53</v>
      </c>
      <c r="V454" t="s">
        <v>53</v>
      </c>
      <c r="W454" t="s">
        <v>53</v>
      </c>
      <c r="X454" s="22" t="s">
        <v>53</v>
      </c>
      <c r="Y454" s="22" t="s">
        <v>53</v>
      </c>
      <c r="Z454" s="22" t="s">
        <v>53</v>
      </c>
      <c r="AA454" s="22" t="s">
        <v>53</v>
      </c>
      <c r="AB454" t="s">
        <v>53</v>
      </c>
      <c r="AC454" t="s">
        <v>53</v>
      </c>
      <c r="AD454" t="s">
        <v>53</v>
      </c>
      <c r="AE454" t="s">
        <v>53</v>
      </c>
      <c r="AF454" s="22" t="s">
        <v>53</v>
      </c>
      <c r="AG454" s="22" t="s">
        <v>53</v>
      </c>
      <c r="AH454" s="22" t="s">
        <v>53</v>
      </c>
      <c r="AI454" s="22" t="s">
        <v>53</v>
      </c>
      <c r="AJ454">
        <v>4</v>
      </c>
      <c r="AK454">
        <v>4</v>
      </c>
      <c r="AL454">
        <v>4</v>
      </c>
      <c r="AM454">
        <v>4</v>
      </c>
      <c r="AN454" s="22">
        <v>0</v>
      </c>
      <c r="AO454" s="22">
        <v>0</v>
      </c>
      <c r="AP454" s="22">
        <v>0</v>
      </c>
      <c r="AQ454" s="22">
        <v>0</v>
      </c>
      <c r="AR454" s="35">
        <v>0</v>
      </c>
      <c r="AS454" s="35">
        <v>0</v>
      </c>
      <c r="AT454" s="35">
        <v>6</v>
      </c>
      <c r="AU454" s="31" t="str">
        <f t="shared" si="11"/>
        <v>库存为6</v>
      </c>
      <c r="AV454" s="36" t="str">
        <f>IFERROR(时间!$B$4+AU454,"上周无销量")</f>
        <v>上周无销量</v>
      </c>
    </row>
    <row r="455" spans="1:48">
      <c r="A455" s="20" t="s">
        <v>1057</v>
      </c>
      <c r="B455" t="s">
        <v>1058</v>
      </c>
      <c r="C455" t="s">
        <v>1049</v>
      </c>
      <c r="D455" s="31">
        <v>1</v>
      </c>
      <c r="E455" s="31">
        <v>1</v>
      </c>
      <c r="F455" s="31">
        <v>1</v>
      </c>
      <c r="G455" s="31">
        <v>1</v>
      </c>
      <c r="H455" s="32">
        <v>8.99</v>
      </c>
      <c r="I455">
        <v>7</v>
      </c>
      <c r="J455" s="33">
        <v>0</v>
      </c>
      <c r="K455" s="33">
        <v>0</v>
      </c>
      <c r="L455" s="33">
        <v>0</v>
      </c>
      <c r="M455">
        <v>7</v>
      </c>
      <c r="N455">
        <v>0</v>
      </c>
      <c r="O455">
        <v>0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7</v>
      </c>
      <c r="AK455">
        <v>7</v>
      </c>
      <c r="AL455">
        <v>0</v>
      </c>
      <c r="AM455">
        <v>4</v>
      </c>
      <c r="AN455" s="22">
        <v>0.142857142857143</v>
      </c>
      <c r="AO455" s="22">
        <v>0.142857142857143</v>
      </c>
      <c r="AP455" s="22" t="s">
        <v>53</v>
      </c>
      <c r="AQ455" s="22">
        <v>0.25</v>
      </c>
      <c r="AR455" s="35">
        <v>0.142857142857143</v>
      </c>
      <c r="AS455" s="35">
        <v>8.57142857142857</v>
      </c>
      <c r="AT455" s="35">
        <v>-1.57142857142857</v>
      </c>
      <c r="AU455" s="31">
        <f t="shared" si="11"/>
        <v>49</v>
      </c>
      <c r="AV455" s="36">
        <f>IFERROR(时间!$B$4+AU455,"上周无销量")</f>
        <v>43367</v>
      </c>
    </row>
    <row r="456" spans="1:48">
      <c r="A456" s="20" t="s">
        <v>1059</v>
      </c>
      <c r="B456" t="s">
        <v>1060</v>
      </c>
      <c r="C456" t="s">
        <v>1061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4</v>
      </c>
      <c r="J456" s="33">
        <v>0</v>
      </c>
      <c r="K456" s="33">
        <v>0</v>
      </c>
      <c r="L456" s="33">
        <v>0</v>
      </c>
      <c r="M456">
        <v>4</v>
      </c>
      <c r="N456">
        <v>0</v>
      </c>
      <c r="O456">
        <v>4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4</v>
      </c>
      <c r="AK456">
        <v>4</v>
      </c>
      <c r="AL456">
        <v>3</v>
      </c>
      <c r="AM456">
        <v>3</v>
      </c>
      <c r="AN456" s="22">
        <v>0</v>
      </c>
      <c r="AO456" s="22">
        <v>0</v>
      </c>
      <c r="AP456" s="22">
        <v>0</v>
      </c>
      <c r="AQ456" s="22">
        <v>0</v>
      </c>
      <c r="AR456" s="35">
        <v>0</v>
      </c>
      <c r="AS456" s="35">
        <v>0</v>
      </c>
      <c r="AT456" s="35">
        <v>4</v>
      </c>
      <c r="AU456" s="31" t="str">
        <f t="shared" si="11"/>
        <v>库存为4</v>
      </c>
      <c r="AV456" s="36" t="str">
        <f>IFERROR(时间!$B$4+AU456,"上周无销量")</f>
        <v>上周无销量</v>
      </c>
    </row>
    <row r="457" spans="1:48">
      <c r="A457" s="20" t="s">
        <v>1062</v>
      </c>
      <c r="B457" t="s">
        <v>1063</v>
      </c>
      <c r="C457" t="s">
        <v>1061</v>
      </c>
      <c r="D457" s="31">
        <v>0</v>
      </c>
      <c r="E457" s="31">
        <v>0</v>
      </c>
      <c r="F457" s="31">
        <v>1</v>
      </c>
      <c r="G457" s="31">
        <v>0</v>
      </c>
      <c r="H457" s="32">
        <v>11.99</v>
      </c>
      <c r="I457">
        <v>4</v>
      </c>
      <c r="J457" s="33">
        <v>0</v>
      </c>
      <c r="K457" s="33">
        <v>0</v>
      </c>
      <c r="L457" s="33">
        <v>0</v>
      </c>
      <c r="M457">
        <v>4</v>
      </c>
      <c r="N457">
        <v>0</v>
      </c>
      <c r="O457">
        <v>4</v>
      </c>
      <c r="P457" t="s">
        <v>53</v>
      </c>
      <c r="Q457" t="s">
        <v>53</v>
      </c>
      <c r="R457" t="s">
        <v>53</v>
      </c>
      <c r="S457" t="s">
        <v>53</v>
      </c>
      <c r="T457" t="s">
        <v>53</v>
      </c>
      <c r="U457" t="s">
        <v>53</v>
      </c>
      <c r="V457" t="s">
        <v>53</v>
      </c>
      <c r="W457" t="s">
        <v>53</v>
      </c>
      <c r="X457" s="22" t="s">
        <v>53</v>
      </c>
      <c r="Y457" s="22" t="s">
        <v>53</v>
      </c>
      <c r="Z457" s="22" t="s">
        <v>53</v>
      </c>
      <c r="AA457" s="22" t="s">
        <v>53</v>
      </c>
      <c r="AB457" t="s">
        <v>53</v>
      </c>
      <c r="AC457" t="s">
        <v>53</v>
      </c>
      <c r="AD457" t="s">
        <v>53</v>
      </c>
      <c r="AE457" t="s">
        <v>53</v>
      </c>
      <c r="AF457" s="22" t="s">
        <v>53</v>
      </c>
      <c r="AG457" s="22" t="s">
        <v>53</v>
      </c>
      <c r="AH457" s="22" t="s">
        <v>53</v>
      </c>
      <c r="AI457" s="22" t="s">
        <v>53</v>
      </c>
      <c r="AJ457">
        <v>0</v>
      </c>
      <c r="AK457">
        <v>1</v>
      </c>
      <c r="AL457">
        <v>2</v>
      </c>
      <c r="AM457">
        <v>4</v>
      </c>
      <c r="AN457" s="22" t="s">
        <v>53</v>
      </c>
      <c r="AO457" s="22">
        <v>0</v>
      </c>
      <c r="AP457" s="22">
        <v>0.5</v>
      </c>
      <c r="AQ457" s="22">
        <v>0</v>
      </c>
      <c r="AR457" s="35">
        <v>0</v>
      </c>
      <c r="AS457" s="35">
        <v>0</v>
      </c>
      <c r="AT457" s="35">
        <v>4</v>
      </c>
      <c r="AU457" s="31" t="str">
        <f t="shared" si="11"/>
        <v>库存为4</v>
      </c>
      <c r="AV457" s="36" t="str">
        <f>IFERROR(时间!$B$4+AU457,"上周无销量")</f>
        <v>上周无销量</v>
      </c>
    </row>
    <row r="458" spans="1:48">
      <c r="A458" s="20" t="s">
        <v>1064</v>
      </c>
      <c r="B458" t="s">
        <v>1065</v>
      </c>
      <c r="C458" t="s">
        <v>1061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4</v>
      </c>
      <c r="J458" s="33">
        <v>0</v>
      </c>
      <c r="K458" s="33">
        <v>0</v>
      </c>
      <c r="L458" s="33">
        <v>0</v>
      </c>
      <c r="M458">
        <v>4</v>
      </c>
      <c r="N458">
        <v>0</v>
      </c>
      <c r="O458">
        <v>4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2</v>
      </c>
      <c r="AK458">
        <v>5</v>
      </c>
      <c r="AL458">
        <v>4</v>
      </c>
      <c r="AM458">
        <v>1</v>
      </c>
      <c r="AN458" s="22">
        <v>0</v>
      </c>
      <c r="AO458" s="22">
        <v>0</v>
      </c>
      <c r="AP458" s="22">
        <v>0</v>
      </c>
      <c r="AQ458" s="22">
        <v>0</v>
      </c>
      <c r="AR458" s="35">
        <v>0</v>
      </c>
      <c r="AS458" s="35">
        <v>0</v>
      </c>
      <c r="AT458" s="35">
        <v>4</v>
      </c>
      <c r="AU458" s="31" t="str">
        <f t="shared" si="11"/>
        <v>库存为4</v>
      </c>
      <c r="AV458" s="36" t="str">
        <f>IFERROR(时间!$B$4+AU458,"上周无销量")</f>
        <v>上周无销量</v>
      </c>
    </row>
    <row r="459" spans="1:48">
      <c r="A459" s="20" t="s">
        <v>1066</v>
      </c>
      <c r="B459" t="s">
        <v>1067</v>
      </c>
      <c r="C459" t="s">
        <v>1061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8</v>
      </c>
      <c r="J459" s="33">
        <v>0</v>
      </c>
      <c r="K459" s="33">
        <v>0</v>
      </c>
      <c r="L459" s="33">
        <v>0</v>
      </c>
      <c r="M459">
        <v>8</v>
      </c>
      <c r="N459">
        <v>0</v>
      </c>
      <c r="O459">
        <v>8</v>
      </c>
      <c r="P459" t="s">
        <v>53</v>
      </c>
      <c r="Q459" t="s">
        <v>53</v>
      </c>
      <c r="R459" t="s">
        <v>53</v>
      </c>
      <c r="S459" t="s">
        <v>53</v>
      </c>
      <c r="T459" t="s">
        <v>53</v>
      </c>
      <c r="U459" t="s">
        <v>53</v>
      </c>
      <c r="V459" t="s">
        <v>53</v>
      </c>
      <c r="W459" t="s">
        <v>53</v>
      </c>
      <c r="X459" s="22" t="s">
        <v>53</v>
      </c>
      <c r="Y459" s="22" t="s">
        <v>53</v>
      </c>
      <c r="Z459" s="22" t="s">
        <v>53</v>
      </c>
      <c r="AA459" s="22" t="s">
        <v>53</v>
      </c>
      <c r="AB459" t="s">
        <v>53</v>
      </c>
      <c r="AC459" t="s">
        <v>53</v>
      </c>
      <c r="AD459" t="s">
        <v>53</v>
      </c>
      <c r="AE459" t="s">
        <v>53</v>
      </c>
      <c r="AF459" s="22" t="s">
        <v>53</v>
      </c>
      <c r="AG459" s="22" t="s">
        <v>53</v>
      </c>
      <c r="AH459" s="22" t="s">
        <v>53</v>
      </c>
      <c r="AI459" s="22" t="s">
        <v>53</v>
      </c>
      <c r="AJ459">
        <v>3</v>
      </c>
      <c r="AK459">
        <v>2</v>
      </c>
      <c r="AL459">
        <v>3</v>
      </c>
      <c r="AM459">
        <v>5</v>
      </c>
      <c r="AN459" s="22">
        <v>0</v>
      </c>
      <c r="AO459" s="22">
        <v>0</v>
      </c>
      <c r="AP459" s="22">
        <v>0</v>
      </c>
      <c r="AQ459" s="22">
        <v>0</v>
      </c>
      <c r="AR459" s="35">
        <v>0</v>
      </c>
      <c r="AS459" s="35">
        <v>0</v>
      </c>
      <c r="AT459" s="35">
        <v>8</v>
      </c>
      <c r="AU459" s="31" t="str">
        <f t="shared" si="11"/>
        <v>库存为8</v>
      </c>
      <c r="AV459" s="36" t="str">
        <f>IFERROR(时间!$B$4+AU459,"上周无销量")</f>
        <v>上周无销量</v>
      </c>
    </row>
    <row r="460" spans="1:48">
      <c r="A460" s="20" t="s">
        <v>1068</v>
      </c>
      <c r="B460" t="s">
        <v>1069</v>
      </c>
      <c r="C460" t="s">
        <v>1061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4</v>
      </c>
      <c r="J460" s="33">
        <v>0</v>
      </c>
      <c r="K460" s="33">
        <v>0</v>
      </c>
      <c r="L460" s="33">
        <v>0</v>
      </c>
      <c r="M460">
        <v>4</v>
      </c>
      <c r="N460">
        <v>0</v>
      </c>
      <c r="O460">
        <v>4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2</v>
      </c>
      <c r="AK460">
        <v>5</v>
      </c>
      <c r="AL460">
        <v>3</v>
      </c>
      <c r="AM460">
        <v>4</v>
      </c>
      <c r="AN460" s="22">
        <v>0</v>
      </c>
      <c r="AO460" s="22">
        <v>0</v>
      </c>
      <c r="AP460" s="22">
        <v>0</v>
      </c>
      <c r="AQ460" s="22">
        <v>0</v>
      </c>
      <c r="AR460" s="35">
        <v>0</v>
      </c>
      <c r="AS460" s="35">
        <v>0</v>
      </c>
      <c r="AT460" s="35">
        <v>4</v>
      </c>
      <c r="AU460" s="31" t="str">
        <f t="shared" si="11"/>
        <v>库存为4</v>
      </c>
      <c r="AV460" s="36" t="str">
        <f>IFERROR(时间!$B$4+AU460,"上周无销量")</f>
        <v>上周无销量</v>
      </c>
    </row>
    <row r="461" spans="1:48">
      <c r="A461" s="20" t="s">
        <v>1070</v>
      </c>
      <c r="B461" t="s">
        <v>1071</v>
      </c>
      <c r="C461" t="s">
        <v>1061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4</v>
      </c>
      <c r="J461" s="33">
        <v>0</v>
      </c>
      <c r="K461" s="33">
        <v>0</v>
      </c>
      <c r="L461" s="33">
        <v>0</v>
      </c>
      <c r="M461">
        <v>4</v>
      </c>
      <c r="N461">
        <v>0</v>
      </c>
      <c r="O461">
        <v>4</v>
      </c>
      <c r="P461" t="s">
        <v>53</v>
      </c>
      <c r="Q461" t="s">
        <v>53</v>
      </c>
      <c r="R461" t="s">
        <v>53</v>
      </c>
      <c r="S461" t="s">
        <v>53</v>
      </c>
      <c r="T461" t="s">
        <v>53</v>
      </c>
      <c r="U461" t="s">
        <v>53</v>
      </c>
      <c r="V461" t="s">
        <v>53</v>
      </c>
      <c r="W461" t="s">
        <v>53</v>
      </c>
      <c r="X461" s="22" t="s">
        <v>53</v>
      </c>
      <c r="Y461" s="22" t="s">
        <v>53</v>
      </c>
      <c r="Z461" s="22" t="s">
        <v>53</v>
      </c>
      <c r="AA461" s="22" t="s">
        <v>53</v>
      </c>
      <c r="AB461" t="s">
        <v>53</v>
      </c>
      <c r="AC461" t="s">
        <v>53</v>
      </c>
      <c r="AD461" t="s">
        <v>53</v>
      </c>
      <c r="AE461" t="s">
        <v>53</v>
      </c>
      <c r="AF461" s="22" t="s">
        <v>53</v>
      </c>
      <c r="AG461" s="22" t="s">
        <v>53</v>
      </c>
      <c r="AH461" s="22" t="s">
        <v>53</v>
      </c>
      <c r="AI461" s="22" t="s">
        <v>53</v>
      </c>
      <c r="AJ461">
        <v>3</v>
      </c>
      <c r="AK461">
        <v>2</v>
      </c>
      <c r="AL461">
        <v>2</v>
      </c>
      <c r="AM461">
        <v>2</v>
      </c>
      <c r="AN461" s="22">
        <v>0</v>
      </c>
      <c r="AO461" s="22">
        <v>0</v>
      </c>
      <c r="AP461" s="22">
        <v>0</v>
      </c>
      <c r="AQ461" s="22">
        <v>0</v>
      </c>
      <c r="AR461" s="35">
        <v>0</v>
      </c>
      <c r="AS461" s="35">
        <v>0</v>
      </c>
      <c r="AT461" s="35">
        <v>4</v>
      </c>
      <c r="AU461" s="31" t="str">
        <f t="shared" si="11"/>
        <v>库存为4</v>
      </c>
      <c r="AV461" s="36" t="str">
        <f>IFERROR(时间!$B$4+AU461,"上周无销量")</f>
        <v>上周无销量</v>
      </c>
    </row>
    <row r="462" spans="1:48">
      <c r="A462" s="20" t="s">
        <v>1072</v>
      </c>
      <c r="B462" t="s">
        <v>1073</v>
      </c>
      <c r="C462" t="s">
        <v>1061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6</v>
      </c>
      <c r="J462" s="33">
        <v>0</v>
      </c>
      <c r="K462" s="33">
        <v>0</v>
      </c>
      <c r="L462" s="33">
        <v>0</v>
      </c>
      <c r="M462">
        <v>6</v>
      </c>
      <c r="N462">
        <v>0</v>
      </c>
      <c r="O462">
        <v>6</v>
      </c>
      <c r="P462" t="s">
        <v>53</v>
      </c>
      <c r="Q462" t="s">
        <v>53</v>
      </c>
      <c r="R462" t="s">
        <v>53</v>
      </c>
      <c r="S462" t="s">
        <v>53</v>
      </c>
      <c r="T462" t="s">
        <v>53</v>
      </c>
      <c r="U462" t="s">
        <v>53</v>
      </c>
      <c r="V462" t="s">
        <v>53</v>
      </c>
      <c r="W462" t="s">
        <v>53</v>
      </c>
      <c r="X462" s="22" t="s">
        <v>53</v>
      </c>
      <c r="Y462" s="22" t="s">
        <v>53</v>
      </c>
      <c r="Z462" s="22" t="s">
        <v>53</v>
      </c>
      <c r="AA462" s="22" t="s">
        <v>53</v>
      </c>
      <c r="AB462" t="s">
        <v>53</v>
      </c>
      <c r="AC462" t="s">
        <v>53</v>
      </c>
      <c r="AD462" t="s">
        <v>53</v>
      </c>
      <c r="AE462" t="s">
        <v>53</v>
      </c>
      <c r="AF462" s="22" t="s">
        <v>53</v>
      </c>
      <c r="AG462" s="22" t="s">
        <v>53</v>
      </c>
      <c r="AH462" s="22" t="s">
        <v>53</v>
      </c>
      <c r="AI462" s="22" t="s">
        <v>53</v>
      </c>
      <c r="AJ462">
        <v>1</v>
      </c>
      <c r="AK462">
        <v>4</v>
      </c>
      <c r="AL462">
        <v>2</v>
      </c>
      <c r="AM462">
        <v>2</v>
      </c>
      <c r="AN462" s="22">
        <v>0</v>
      </c>
      <c r="AO462" s="22">
        <v>0</v>
      </c>
      <c r="AP462" s="22">
        <v>0</v>
      </c>
      <c r="AQ462" s="22">
        <v>0</v>
      </c>
      <c r="AR462" s="35">
        <v>0</v>
      </c>
      <c r="AS462" s="35">
        <v>0</v>
      </c>
      <c r="AT462" s="35">
        <v>6</v>
      </c>
      <c r="AU462" s="31" t="str">
        <f t="shared" si="11"/>
        <v>库存为6</v>
      </c>
      <c r="AV462" s="36" t="str">
        <f>IFERROR(时间!$B$4+AU462,"上周无销量")</f>
        <v>上周无销量</v>
      </c>
    </row>
    <row r="463" spans="1:48">
      <c r="A463" s="20" t="s">
        <v>1074</v>
      </c>
      <c r="B463" t="s">
        <v>1075</v>
      </c>
      <c r="C463" t="s">
        <v>1061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5</v>
      </c>
      <c r="J463" s="33">
        <v>0</v>
      </c>
      <c r="K463" s="33">
        <v>0</v>
      </c>
      <c r="L463" s="33">
        <v>0</v>
      </c>
      <c r="M463">
        <v>5</v>
      </c>
      <c r="N463">
        <v>0</v>
      </c>
      <c r="O463">
        <v>5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1</v>
      </c>
      <c r="AK463">
        <v>4</v>
      </c>
      <c r="AL463">
        <v>2</v>
      </c>
      <c r="AM463">
        <v>2</v>
      </c>
      <c r="AN463" s="22">
        <v>0</v>
      </c>
      <c r="AO463" s="22">
        <v>0</v>
      </c>
      <c r="AP463" s="22">
        <v>0</v>
      </c>
      <c r="AQ463" s="22">
        <v>0</v>
      </c>
      <c r="AR463" s="35">
        <v>0</v>
      </c>
      <c r="AS463" s="35">
        <v>0</v>
      </c>
      <c r="AT463" s="35">
        <v>5</v>
      </c>
      <c r="AU463" s="31" t="str">
        <f t="shared" si="11"/>
        <v>库存为5</v>
      </c>
      <c r="AV463" s="36" t="str">
        <f>IFERROR(时间!$B$4+AU463,"上周无销量")</f>
        <v>上周无销量</v>
      </c>
    </row>
    <row r="464" spans="1:48">
      <c r="A464" s="20" t="s">
        <v>1076</v>
      </c>
      <c r="B464" t="s">
        <v>1077</v>
      </c>
      <c r="C464" t="s">
        <v>1061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1</v>
      </c>
      <c r="J464" s="33">
        <v>0</v>
      </c>
      <c r="K464" s="33">
        <v>0</v>
      </c>
      <c r="L464" s="33">
        <v>0</v>
      </c>
      <c r="M464">
        <v>1</v>
      </c>
      <c r="N464">
        <v>0</v>
      </c>
      <c r="O464">
        <v>1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2</v>
      </c>
      <c r="AK464">
        <v>8</v>
      </c>
      <c r="AL464">
        <v>44</v>
      </c>
      <c r="AM464">
        <v>4</v>
      </c>
      <c r="AN464" s="22">
        <v>0</v>
      </c>
      <c r="AO464" s="22">
        <v>0</v>
      </c>
      <c r="AP464" s="22">
        <v>0</v>
      </c>
      <c r="AQ464" s="22">
        <v>0</v>
      </c>
      <c r="AR464" s="35">
        <v>0</v>
      </c>
      <c r="AS464" s="35">
        <v>0</v>
      </c>
      <c r="AT464" s="35">
        <v>1</v>
      </c>
      <c r="AU464" s="31" t="str">
        <f t="shared" si="11"/>
        <v>库存为1</v>
      </c>
      <c r="AV464" s="36" t="str">
        <f>IFERROR(时间!$B$4+AU464,"上周无销量")</f>
        <v>上周无销量</v>
      </c>
    </row>
    <row r="465" spans="1:48">
      <c r="A465" s="20" t="s">
        <v>1078</v>
      </c>
      <c r="B465" t="s">
        <v>1079</v>
      </c>
      <c r="C465" t="s">
        <v>1080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3</v>
      </c>
      <c r="M465">
        <v>3</v>
      </c>
      <c r="N465">
        <v>0</v>
      </c>
      <c r="O465">
        <v>0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0</v>
      </c>
      <c r="AK465">
        <v>0</v>
      </c>
      <c r="AL465">
        <v>0</v>
      </c>
      <c r="AM465">
        <v>3</v>
      </c>
      <c r="AN465" s="22" t="s">
        <v>53</v>
      </c>
      <c r="AO465" s="22" t="s">
        <v>53</v>
      </c>
      <c r="AP465" s="22" t="s">
        <v>53</v>
      </c>
      <c r="AQ465" s="22">
        <v>0</v>
      </c>
      <c r="AR465" s="35">
        <v>0</v>
      </c>
      <c r="AS465" s="35">
        <v>0</v>
      </c>
      <c r="AT465" s="35">
        <v>3</v>
      </c>
      <c r="AU465" s="31" t="str">
        <f t="shared" si="11"/>
        <v>库存为3</v>
      </c>
      <c r="AV465" s="36" t="str">
        <f>IFERROR(时间!$B$4+AU465,"上周无销量")</f>
        <v>上周无销量</v>
      </c>
    </row>
    <row r="466" spans="1:48">
      <c r="A466" s="20" t="s">
        <v>1081</v>
      </c>
      <c r="B466" t="s">
        <v>1082</v>
      </c>
      <c r="C466" t="s">
        <v>1083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0</v>
      </c>
      <c r="AK466">
        <v>0</v>
      </c>
      <c r="AL466">
        <v>0</v>
      </c>
      <c r="AM466">
        <v>0</v>
      </c>
      <c r="AN466" s="22" t="s">
        <v>53</v>
      </c>
      <c r="AO466" s="22" t="s">
        <v>53</v>
      </c>
      <c r="AP466" s="22" t="s">
        <v>53</v>
      </c>
      <c r="AQ466" s="22" t="s">
        <v>53</v>
      </c>
      <c r="AR466" s="35">
        <v>0</v>
      </c>
      <c r="AS466" s="35">
        <v>0</v>
      </c>
      <c r="AT466" s="35">
        <v>0</v>
      </c>
      <c r="AU466" s="31" t="str">
        <f t="shared" si="11"/>
        <v>库存为0</v>
      </c>
      <c r="AV466" s="36" t="str">
        <f>IFERROR(时间!$B$4+AU466,"上周无销量")</f>
        <v>上周无销量</v>
      </c>
    </row>
    <row r="467" spans="1:48">
      <c r="A467" s="20" t="s">
        <v>1084</v>
      </c>
      <c r="B467" t="s">
        <v>1085</v>
      </c>
      <c r="C467" t="s">
        <v>1083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53</v>
      </c>
      <c r="Q467" t="s">
        <v>53</v>
      </c>
      <c r="R467" t="s">
        <v>53</v>
      </c>
      <c r="S467" t="s">
        <v>53</v>
      </c>
      <c r="T467" t="s">
        <v>53</v>
      </c>
      <c r="U467" t="s">
        <v>53</v>
      </c>
      <c r="V467" t="s">
        <v>53</v>
      </c>
      <c r="W467" t="s">
        <v>53</v>
      </c>
      <c r="X467" s="22" t="s">
        <v>53</v>
      </c>
      <c r="Y467" s="22" t="s">
        <v>53</v>
      </c>
      <c r="Z467" s="22" t="s">
        <v>53</v>
      </c>
      <c r="AA467" s="22" t="s">
        <v>53</v>
      </c>
      <c r="AB467" t="s">
        <v>53</v>
      </c>
      <c r="AC467" t="s">
        <v>53</v>
      </c>
      <c r="AD467" t="s">
        <v>53</v>
      </c>
      <c r="AE467" t="s">
        <v>53</v>
      </c>
      <c r="AF467" s="22" t="s">
        <v>53</v>
      </c>
      <c r="AG467" s="22" t="s">
        <v>53</v>
      </c>
      <c r="AH467" s="22" t="s">
        <v>53</v>
      </c>
      <c r="AI467" s="22" t="s">
        <v>53</v>
      </c>
      <c r="AJ467">
        <v>0</v>
      </c>
      <c r="AK467">
        <v>0</v>
      </c>
      <c r="AL467">
        <v>0</v>
      </c>
      <c r="AM467">
        <v>0</v>
      </c>
      <c r="AN467" s="22" t="s">
        <v>53</v>
      </c>
      <c r="AO467" s="22" t="s">
        <v>53</v>
      </c>
      <c r="AP467" s="22" t="s">
        <v>53</v>
      </c>
      <c r="AQ467" s="22" t="s">
        <v>53</v>
      </c>
      <c r="AR467" s="35">
        <v>0</v>
      </c>
      <c r="AS467" s="35">
        <v>0</v>
      </c>
      <c r="AT467" s="35">
        <v>0</v>
      </c>
      <c r="AU467" s="31" t="str">
        <f t="shared" si="11"/>
        <v>库存为0</v>
      </c>
      <c r="AV467" s="36" t="str">
        <f>IFERROR(时间!$B$4+AU467,"上周无销量")</f>
        <v>上周无销量</v>
      </c>
    </row>
    <row r="468" spans="1:48">
      <c r="A468" s="20" t="s">
        <v>1086</v>
      </c>
      <c r="B468" t="s">
        <v>1087</v>
      </c>
      <c r="C468" t="s">
        <v>1088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0</v>
      </c>
      <c r="AK468">
        <v>0</v>
      </c>
      <c r="AL468">
        <v>0</v>
      </c>
      <c r="AM468">
        <v>0</v>
      </c>
      <c r="AN468" s="22" t="s">
        <v>53</v>
      </c>
      <c r="AO468" s="22" t="s">
        <v>53</v>
      </c>
      <c r="AP468" s="22" t="s">
        <v>53</v>
      </c>
      <c r="AQ468" s="22" t="s">
        <v>53</v>
      </c>
      <c r="AR468" s="35">
        <v>0</v>
      </c>
      <c r="AS468" s="35">
        <v>0</v>
      </c>
      <c r="AT468" s="35">
        <v>0</v>
      </c>
      <c r="AU468" s="31" t="str">
        <f t="shared" si="11"/>
        <v>库存为0</v>
      </c>
      <c r="AV468" s="36" t="str">
        <f>IFERROR(时间!$B$4+AU468,"上周无销量")</f>
        <v>上周无销量</v>
      </c>
    </row>
    <row r="469" spans="1:48">
      <c r="A469" s="20" t="s">
        <v>1089</v>
      </c>
      <c r="B469" t="s">
        <v>1090</v>
      </c>
      <c r="C469" t="s">
        <v>1088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0</v>
      </c>
      <c r="AK469">
        <v>0</v>
      </c>
      <c r="AL469">
        <v>0</v>
      </c>
      <c r="AM469">
        <v>0</v>
      </c>
      <c r="AN469" s="22" t="s">
        <v>53</v>
      </c>
      <c r="AO469" s="22" t="s">
        <v>53</v>
      </c>
      <c r="AP469" s="22" t="s">
        <v>53</v>
      </c>
      <c r="AQ469" s="22" t="s">
        <v>53</v>
      </c>
      <c r="AR469" s="35">
        <v>0</v>
      </c>
      <c r="AS469" s="35">
        <v>0</v>
      </c>
      <c r="AT469" s="35">
        <v>0</v>
      </c>
      <c r="AU469" s="31" t="str">
        <f t="shared" si="11"/>
        <v>库存为0</v>
      </c>
      <c r="AV469" s="36" t="str">
        <f>IFERROR(时间!$B$4+AU469,"上周无销量")</f>
        <v>上周无销量</v>
      </c>
    </row>
    <row r="470" spans="1:48">
      <c r="A470" s="20" t="s">
        <v>1091</v>
      </c>
      <c r="B470" t="s">
        <v>1092</v>
      </c>
      <c r="C470" t="s">
        <v>1088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0</v>
      </c>
      <c r="AK470">
        <v>0</v>
      </c>
      <c r="AL470">
        <v>0</v>
      </c>
      <c r="AM470">
        <v>0</v>
      </c>
      <c r="AN470" s="22" t="s">
        <v>53</v>
      </c>
      <c r="AO470" s="22" t="s">
        <v>53</v>
      </c>
      <c r="AP470" s="22" t="s">
        <v>53</v>
      </c>
      <c r="AQ470" s="22" t="s">
        <v>53</v>
      </c>
      <c r="AR470" s="35">
        <v>0</v>
      </c>
      <c r="AS470" s="35">
        <v>0</v>
      </c>
      <c r="AT470" s="35">
        <v>0</v>
      </c>
      <c r="AU470" s="31" t="str">
        <f t="shared" si="11"/>
        <v>库存为0</v>
      </c>
      <c r="AV470" s="36" t="str">
        <f>IFERROR(时间!$B$4+AU470,"上周无销量")</f>
        <v>上周无销量</v>
      </c>
    </row>
    <row r="471" spans="1:48">
      <c r="A471" s="20" t="s">
        <v>1093</v>
      </c>
      <c r="B471" t="s">
        <v>1094</v>
      </c>
      <c r="C471" t="s">
        <v>1088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0</v>
      </c>
      <c r="AK471">
        <v>0</v>
      </c>
      <c r="AL471">
        <v>0</v>
      </c>
      <c r="AM471">
        <v>0</v>
      </c>
      <c r="AN471" s="22" t="s">
        <v>53</v>
      </c>
      <c r="AO471" s="22" t="s">
        <v>53</v>
      </c>
      <c r="AP471" s="22" t="s">
        <v>53</v>
      </c>
      <c r="AQ471" s="22" t="s">
        <v>53</v>
      </c>
      <c r="AR471" s="35">
        <v>0</v>
      </c>
      <c r="AS471" s="35">
        <v>0</v>
      </c>
      <c r="AT471" s="35">
        <v>0</v>
      </c>
      <c r="AU471" s="31" t="str">
        <f t="shared" si="11"/>
        <v>库存为0</v>
      </c>
      <c r="AV471" s="36" t="str">
        <f>IFERROR(时间!$B$4+AU471,"上周无销量")</f>
        <v>上周无销量</v>
      </c>
    </row>
    <row r="472" spans="1:48">
      <c r="A472" s="20" t="s">
        <v>1095</v>
      </c>
      <c r="B472" t="s">
        <v>1096</v>
      </c>
      <c r="C472" t="s">
        <v>1097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4</v>
      </c>
      <c r="J472" s="33">
        <v>0</v>
      </c>
      <c r="K472" s="33">
        <v>0</v>
      </c>
      <c r="L472" s="33">
        <v>0</v>
      </c>
      <c r="M472">
        <v>4</v>
      </c>
      <c r="N472">
        <v>0</v>
      </c>
      <c r="O472">
        <v>4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2</v>
      </c>
      <c r="AK472">
        <v>4</v>
      </c>
      <c r="AL472">
        <v>1</v>
      </c>
      <c r="AM472">
        <v>2</v>
      </c>
      <c r="AN472" s="22">
        <v>0</v>
      </c>
      <c r="AO472" s="22">
        <v>0</v>
      </c>
      <c r="AP472" s="22">
        <v>0</v>
      </c>
      <c r="AQ472" s="22">
        <v>0</v>
      </c>
      <c r="AR472" s="35">
        <v>0</v>
      </c>
      <c r="AS472" s="35">
        <v>0</v>
      </c>
      <c r="AT472" s="35">
        <v>4</v>
      </c>
      <c r="AU472" s="31" t="str">
        <f t="shared" si="11"/>
        <v>库存为4</v>
      </c>
      <c r="AV472" s="36" t="str">
        <f>IFERROR(时间!$B$4+AU472,"上周无销量")</f>
        <v>上周无销量</v>
      </c>
    </row>
    <row r="473" spans="1:48">
      <c r="A473" s="20" t="s">
        <v>1098</v>
      </c>
      <c r="B473" t="s">
        <v>1099</v>
      </c>
      <c r="C473" t="s">
        <v>1097</v>
      </c>
      <c r="D473" s="31">
        <v>1</v>
      </c>
      <c r="E473" s="31">
        <v>0</v>
      </c>
      <c r="F473" s="31">
        <v>0</v>
      </c>
      <c r="G473" s="31">
        <v>0</v>
      </c>
      <c r="H473" s="32">
        <v>9.99</v>
      </c>
      <c r="I473">
        <v>10</v>
      </c>
      <c r="J473" s="33">
        <v>0</v>
      </c>
      <c r="K473" s="33">
        <v>0</v>
      </c>
      <c r="L473" s="33">
        <v>0</v>
      </c>
      <c r="M473">
        <v>10</v>
      </c>
      <c r="N473">
        <v>0</v>
      </c>
      <c r="O473">
        <v>10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1</v>
      </c>
      <c r="AK473">
        <v>4</v>
      </c>
      <c r="AL473">
        <v>1</v>
      </c>
      <c r="AM473">
        <v>5</v>
      </c>
      <c r="AN473" s="22">
        <v>1</v>
      </c>
      <c r="AO473" s="22">
        <v>0</v>
      </c>
      <c r="AP473" s="22">
        <v>0</v>
      </c>
      <c r="AQ473" s="22">
        <v>0</v>
      </c>
      <c r="AR473" s="35">
        <v>0.142857142857143</v>
      </c>
      <c r="AS473" s="35">
        <v>8.57142857142857</v>
      </c>
      <c r="AT473" s="35">
        <v>1.42857142857143</v>
      </c>
      <c r="AU473" s="31">
        <f t="shared" si="11"/>
        <v>70</v>
      </c>
      <c r="AV473" s="36">
        <f>IFERROR(时间!$B$4+AU473,"上周无销量")</f>
        <v>43388</v>
      </c>
    </row>
    <row r="474" spans="1:48">
      <c r="A474" s="20" t="s">
        <v>1100</v>
      </c>
      <c r="B474" t="s">
        <v>1101</v>
      </c>
      <c r="C474" t="s">
        <v>1097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19</v>
      </c>
      <c r="J474" s="33">
        <v>0</v>
      </c>
      <c r="K474" s="33">
        <v>0</v>
      </c>
      <c r="L474" s="33">
        <v>0</v>
      </c>
      <c r="M474">
        <v>19</v>
      </c>
      <c r="N474">
        <v>0</v>
      </c>
      <c r="O474">
        <v>18</v>
      </c>
      <c r="P474" t="s">
        <v>53</v>
      </c>
      <c r="Q474" t="s">
        <v>53</v>
      </c>
      <c r="R474" t="s">
        <v>53</v>
      </c>
      <c r="S474" t="s">
        <v>53</v>
      </c>
      <c r="T474" t="s">
        <v>53</v>
      </c>
      <c r="U474" t="s">
        <v>53</v>
      </c>
      <c r="V474" t="s">
        <v>53</v>
      </c>
      <c r="W474" t="s">
        <v>53</v>
      </c>
      <c r="X474" s="22" t="s">
        <v>53</v>
      </c>
      <c r="Y474" s="22" t="s">
        <v>53</v>
      </c>
      <c r="Z474" s="22" t="s">
        <v>53</v>
      </c>
      <c r="AA474" s="22" t="s">
        <v>53</v>
      </c>
      <c r="AB474" t="s">
        <v>53</v>
      </c>
      <c r="AC474" t="s">
        <v>53</v>
      </c>
      <c r="AD474" t="s">
        <v>53</v>
      </c>
      <c r="AE474" t="s">
        <v>53</v>
      </c>
      <c r="AF474" s="22" t="s">
        <v>53</v>
      </c>
      <c r="AG474" s="22" t="s">
        <v>53</v>
      </c>
      <c r="AH474" s="22" t="s">
        <v>53</v>
      </c>
      <c r="AI474" s="22" t="s">
        <v>53</v>
      </c>
      <c r="AJ474">
        <v>2</v>
      </c>
      <c r="AK474">
        <v>4</v>
      </c>
      <c r="AL474">
        <v>0</v>
      </c>
      <c r="AM474">
        <v>4</v>
      </c>
      <c r="AN474" s="22">
        <v>0</v>
      </c>
      <c r="AO474" s="22">
        <v>0</v>
      </c>
      <c r="AP474" s="22" t="s">
        <v>53</v>
      </c>
      <c r="AQ474" s="22">
        <v>0</v>
      </c>
      <c r="AR474" s="35">
        <v>0</v>
      </c>
      <c r="AS474" s="35">
        <v>0</v>
      </c>
      <c r="AT474" s="35">
        <v>19</v>
      </c>
      <c r="AU474" s="31" t="str">
        <f t="shared" si="11"/>
        <v>库存为19</v>
      </c>
      <c r="AV474" s="36" t="str">
        <f>IFERROR(时间!$B$4+AU474,"上周无销量")</f>
        <v>上周无销量</v>
      </c>
    </row>
    <row r="475" spans="1:48">
      <c r="A475" s="20" t="s">
        <v>1102</v>
      </c>
      <c r="B475" t="s">
        <v>1103</v>
      </c>
      <c r="C475" t="s">
        <v>1097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12</v>
      </c>
      <c r="J475" s="33">
        <v>0</v>
      </c>
      <c r="K475" s="33">
        <v>0</v>
      </c>
      <c r="L475" s="33">
        <v>0</v>
      </c>
      <c r="M475">
        <v>12</v>
      </c>
      <c r="N475">
        <v>0</v>
      </c>
      <c r="O475">
        <v>12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3</v>
      </c>
      <c r="AK475">
        <v>2</v>
      </c>
      <c r="AL475">
        <v>2</v>
      </c>
      <c r="AM475">
        <v>2</v>
      </c>
      <c r="AN475" s="22">
        <v>0</v>
      </c>
      <c r="AO475" s="22">
        <v>0</v>
      </c>
      <c r="AP475" s="22">
        <v>0</v>
      </c>
      <c r="AQ475" s="22">
        <v>0</v>
      </c>
      <c r="AR475" s="35">
        <v>0</v>
      </c>
      <c r="AS475" s="35">
        <v>0</v>
      </c>
      <c r="AT475" s="35">
        <v>12</v>
      </c>
      <c r="AU475" s="31" t="str">
        <f t="shared" si="11"/>
        <v>库存为12</v>
      </c>
      <c r="AV475" s="36" t="str">
        <f>IFERROR(时间!$B$4+AU475,"上周无销量")</f>
        <v>上周无销量</v>
      </c>
    </row>
    <row r="476" spans="1:48">
      <c r="A476" s="20" t="s">
        <v>1104</v>
      </c>
      <c r="B476" t="s">
        <v>1105</v>
      </c>
      <c r="C476" t="s">
        <v>1097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11</v>
      </c>
      <c r="J476" s="33">
        <v>0</v>
      </c>
      <c r="K476" s="33">
        <v>0</v>
      </c>
      <c r="L476" s="33">
        <v>0</v>
      </c>
      <c r="M476">
        <v>11</v>
      </c>
      <c r="N476">
        <v>0</v>
      </c>
      <c r="O476">
        <v>11</v>
      </c>
      <c r="P476" t="s">
        <v>53</v>
      </c>
      <c r="Q476" t="s">
        <v>53</v>
      </c>
      <c r="R476" t="s">
        <v>53</v>
      </c>
      <c r="S476" t="s">
        <v>53</v>
      </c>
      <c r="T476" t="s">
        <v>53</v>
      </c>
      <c r="U476" t="s">
        <v>53</v>
      </c>
      <c r="V476" t="s">
        <v>53</v>
      </c>
      <c r="W476" t="s">
        <v>53</v>
      </c>
      <c r="X476" s="22" t="s">
        <v>53</v>
      </c>
      <c r="Y476" s="22" t="s">
        <v>53</v>
      </c>
      <c r="Z476" s="22" t="s">
        <v>53</v>
      </c>
      <c r="AA476" s="22" t="s">
        <v>53</v>
      </c>
      <c r="AB476" t="s">
        <v>53</v>
      </c>
      <c r="AC476" t="s">
        <v>53</v>
      </c>
      <c r="AD476" t="s">
        <v>53</v>
      </c>
      <c r="AE476" t="s">
        <v>53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7</v>
      </c>
      <c r="AK476">
        <v>6</v>
      </c>
      <c r="AL476">
        <v>7</v>
      </c>
      <c r="AM476">
        <v>6</v>
      </c>
      <c r="AN476" s="22">
        <v>0</v>
      </c>
      <c r="AO476" s="22">
        <v>0</v>
      </c>
      <c r="AP476" s="22">
        <v>0</v>
      </c>
      <c r="AQ476" s="22">
        <v>0</v>
      </c>
      <c r="AR476" s="35">
        <v>0</v>
      </c>
      <c r="AS476" s="35">
        <v>0</v>
      </c>
      <c r="AT476" s="35">
        <v>11</v>
      </c>
      <c r="AU476" s="31" t="str">
        <f t="shared" si="11"/>
        <v>库存为11</v>
      </c>
      <c r="AV476" s="36" t="str">
        <f>IFERROR(时间!$B$4+AU476,"上周无销量")</f>
        <v>上周无销量</v>
      </c>
    </row>
    <row r="477" spans="1:48">
      <c r="A477" s="20" t="s">
        <v>1106</v>
      </c>
      <c r="B477" t="s">
        <v>1107</v>
      </c>
      <c r="C477" t="s">
        <v>1097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17</v>
      </c>
      <c r="J477" s="33">
        <v>0</v>
      </c>
      <c r="K477" s="33">
        <v>0</v>
      </c>
      <c r="L477" s="33">
        <v>0</v>
      </c>
      <c r="M477">
        <v>17</v>
      </c>
      <c r="N477">
        <v>0</v>
      </c>
      <c r="O477">
        <v>17</v>
      </c>
      <c r="P477" t="s">
        <v>53</v>
      </c>
      <c r="Q477" t="s">
        <v>53</v>
      </c>
      <c r="R477" t="s">
        <v>53</v>
      </c>
      <c r="S477" t="s">
        <v>53</v>
      </c>
      <c r="T477" t="s">
        <v>53</v>
      </c>
      <c r="U477" t="s">
        <v>53</v>
      </c>
      <c r="V477" t="s">
        <v>53</v>
      </c>
      <c r="W477" t="s">
        <v>53</v>
      </c>
      <c r="X477" s="22" t="s">
        <v>53</v>
      </c>
      <c r="Y477" s="22" t="s">
        <v>53</v>
      </c>
      <c r="Z477" s="22" t="s">
        <v>53</v>
      </c>
      <c r="AA477" s="22" t="s">
        <v>53</v>
      </c>
      <c r="AB477" t="s">
        <v>53</v>
      </c>
      <c r="AC477" t="s">
        <v>53</v>
      </c>
      <c r="AD477" t="s">
        <v>53</v>
      </c>
      <c r="AE477" t="s">
        <v>53</v>
      </c>
      <c r="AF477" s="22" t="s">
        <v>53</v>
      </c>
      <c r="AG477" s="22" t="s">
        <v>53</v>
      </c>
      <c r="AH477" s="22" t="s">
        <v>53</v>
      </c>
      <c r="AI477" s="22" t="s">
        <v>53</v>
      </c>
      <c r="AJ477">
        <v>3</v>
      </c>
      <c r="AK477">
        <v>5</v>
      </c>
      <c r="AL477">
        <v>1</v>
      </c>
      <c r="AM477">
        <v>3</v>
      </c>
      <c r="AN477" s="22">
        <v>0</v>
      </c>
      <c r="AO477" s="22">
        <v>0</v>
      </c>
      <c r="AP477" s="22">
        <v>0</v>
      </c>
      <c r="AQ477" s="22">
        <v>0</v>
      </c>
      <c r="AR477" s="35">
        <v>0</v>
      </c>
      <c r="AS477" s="35">
        <v>0</v>
      </c>
      <c r="AT477" s="35">
        <v>17</v>
      </c>
      <c r="AU477" s="31" t="str">
        <f t="shared" si="11"/>
        <v>库存为17</v>
      </c>
      <c r="AV477" s="36" t="str">
        <f>IFERROR(时间!$B$4+AU477,"上周无销量")</f>
        <v>上周无销量</v>
      </c>
    </row>
    <row r="478" spans="1:48">
      <c r="A478" s="20" t="s">
        <v>1108</v>
      </c>
      <c r="B478" t="s">
        <v>1109</v>
      </c>
      <c r="C478" t="s">
        <v>1097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53</v>
      </c>
      <c r="Q478" t="s">
        <v>53</v>
      </c>
      <c r="R478" t="s">
        <v>53</v>
      </c>
      <c r="S478" t="s">
        <v>53</v>
      </c>
      <c r="T478" t="s">
        <v>53</v>
      </c>
      <c r="U478" t="s">
        <v>53</v>
      </c>
      <c r="V478" t="s">
        <v>53</v>
      </c>
      <c r="W478" t="s">
        <v>53</v>
      </c>
      <c r="X478" s="22" t="s">
        <v>53</v>
      </c>
      <c r="Y478" s="22" t="s">
        <v>53</v>
      </c>
      <c r="Z478" s="22" t="s">
        <v>53</v>
      </c>
      <c r="AA478" s="22" t="s">
        <v>53</v>
      </c>
      <c r="AB478" t="s">
        <v>53</v>
      </c>
      <c r="AC478" t="s">
        <v>53</v>
      </c>
      <c r="AD478" t="s">
        <v>53</v>
      </c>
      <c r="AE478" t="s">
        <v>53</v>
      </c>
      <c r="AF478" s="22" t="s">
        <v>53</v>
      </c>
      <c r="AG478" s="22" t="s">
        <v>53</v>
      </c>
      <c r="AH478" s="22" t="s">
        <v>53</v>
      </c>
      <c r="AI478" s="22" t="s">
        <v>53</v>
      </c>
      <c r="AJ478">
        <v>0</v>
      </c>
      <c r="AK478">
        <v>0</v>
      </c>
      <c r="AL478">
        <v>0</v>
      </c>
      <c r="AM478">
        <v>0</v>
      </c>
      <c r="AN478" s="22" t="s">
        <v>53</v>
      </c>
      <c r="AO478" s="22" t="s">
        <v>53</v>
      </c>
      <c r="AP478" s="22" t="s">
        <v>53</v>
      </c>
      <c r="AQ478" s="22" t="s">
        <v>53</v>
      </c>
      <c r="AR478" s="35">
        <v>0</v>
      </c>
      <c r="AS478" s="35">
        <v>0</v>
      </c>
      <c r="AT478" s="35">
        <v>0</v>
      </c>
      <c r="AU478" s="31" t="str">
        <f t="shared" si="11"/>
        <v>库存为0</v>
      </c>
      <c r="AV478" s="36" t="str">
        <f>IFERROR(时间!$B$4+AU478,"上周无销量")</f>
        <v>上周无销量</v>
      </c>
    </row>
    <row r="479" spans="1:48">
      <c r="A479" s="20" t="s">
        <v>1110</v>
      </c>
      <c r="B479" t="s">
        <v>1111</v>
      </c>
      <c r="C479" t="s">
        <v>1097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4</v>
      </c>
      <c r="J479" s="33">
        <v>0</v>
      </c>
      <c r="K479" s="33">
        <v>0</v>
      </c>
      <c r="L479" s="33">
        <v>0</v>
      </c>
      <c r="M479">
        <v>4</v>
      </c>
      <c r="N479">
        <v>0</v>
      </c>
      <c r="O479">
        <v>4</v>
      </c>
      <c r="P479" t="s">
        <v>53</v>
      </c>
      <c r="Q479" t="s">
        <v>53</v>
      </c>
      <c r="R479" t="s">
        <v>53</v>
      </c>
      <c r="S479" t="s">
        <v>53</v>
      </c>
      <c r="T479" t="s">
        <v>53</v>
      </c>
      <c r="U479" t="s">
        <v>53</v>
      </c>
      <c r="V479" t="s">
        <v>53</v>
      </c>
      <c r="W479" t="s">
        <v>53</v>
      </c>
      <c r="X479" s="22" t="s">
        <v>53</v>
      </c>
      <c r="Y479" s="22" t="s">
        <v>53</v>
      </c>
      <c r="Z479" s="22" t="s">
        <v>53</v>
      </c>
      <c r="AA479" s="22" t="s">
        <v>53</v>
      </c>
      <c r="AB479" t="s">
        <v>53</v>
      </c>
      <c r="AC479" t="s">
        <v>53</v>
      </c>
      <c r="AD479" t="s">
        <v>53</v>
      </c>
      <c r="AE479" t="s">
        <v>53</v>
      </c>
      <c r="AF479" s="22" t="s">
        <v>53</v>
      </c>
      <c r="AG479" s="22" t="s">
        <v>53</v>
      </c>
      <c r="AH479" s="22" t="s">
        <v>53</v>
      </c>
      <c r="AI479" s="22" t="s">
        <v>53</v>
      </c>
      <c r="AJ479">
        <v>1</v>
      </c>
      <c r="AK479">
        <v>5</v>
      </c>
      <c r="AL479">
        <v>1</v>
      </c>
      <c r="AM479">
        <v>3</v>
      </c>
      <c r="AN479" s="22">
        <v>0</v>
      </c>
      <c r="AO479" s="22">
        <v>0</v>
      </c>
      <c r="AP479" s="22">
        <v>0</v>
      </c>
      <c r="AQ479" s="22">
        <v>0</v>
      </c>
      <c r="AR479" s="35">
        <v>0</v>
      </c>
      <c r="AS479" s="35">
        <v>0</v>
      </c>
      <c r="AT479" s="35">
        <v>4</v>
      </c>
      <c r="AU479" s="31" t="str">
        <f t="shared" si="11"/>
        <v>库存为4</v>
      </c>
      <c r="AV479" s="36" t="str">
        <f>IFERROR(时间!$B$4+AU479,"上周无销量")</f>
        <v>上周无销量</v>
      </c>
    </row>
    <row r="480" spans="1:48">
      <c r="A480" s="20" t="s">
        <v>1112</v>
      </c>
      <c r="B480" t="s">
        <v>1113</v>
      </c>
      <c r="C480" t="s">
        <v>1097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3</v>
      </c>
      <c r="J480" s="33">
        <v>0</v>
      </c>
      <c r="K480" s="33">
        <v>0</v>
      </c>
      <c r="L480" s="33">
        <v>0</v>
      </c>
      <c r="M480">
        <v>3</v>
      </c>
      <c r="N480">
        <v>0</v>
      </c>
      <c r="O480">
        <v>3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2</v>
      </c>
      <c r="AK480">
        <v>3</v>
      </c>
      <c r="AL480">
        <v>1</v>
      </c>
      <c r="AM480">
        <v>3</v>
      </c>
      <c r="AN480" s="22">
        <v>0</v>
      </c>
      <c r="AO480" s="22">
        <v>0</v>
      </c>
      <c r="AP480" s="22">
        <v>0</v>
      </c>
      <c r="AQ480" s="22">
        <v>0</v>
      </c>
      <c r="AR480" s="35">
        <v>0</v>
      </c>
      <c r="AS480" s="35">
        <v>0</v>
      </c>
      <c r="AT480" s="35">
        <v>3</v>
      </c>
      <c r="AU480" s="31" t="str">
        <f t="shared" si="11"/>
        <v>库存为3</v>
      </c>
      <c r="AV480" s="36" t="str">
        <f>IFERROR(时间!$B$4+AU480,"上周无销量")</f>
        <v>上周无销量</v>
      </c>
    </row>
    <row r="481" spans="1:48">
      <c r="A481" s="20" t="s">
        <v>1114</v>
      </c>
      <c r="B481" t="s">
        <v>1115</v>
      </c>
      <c r="C481" t="s">
        <v>1097</v>
      </c>
      <c r="D481" s="31">
        <v>0</v>
      </c>
      <c r="E481" s="31">
        <v>1</v>
      </c>
      <c r="F481" s="31">
        <v>0</v>
      </c>
      <c r="G481" s="31">
        <v>0</v>
      </c>
      <c r="H481" s="32">
        <v>9.99</v>
      </c>
      <c r="I481">
        <v>4</v>
      </c>
      <c r="J481" s="33">
        <v>0</v>
      </c>
      <c r="K481" s="33">
        <v>0</v>
      </c>
      <c r="L481" s="33">
        <v>0</v>
      </c>
      <c r="M481">
        <v>4</v>
      </c>
      <c r="N481">
        <v>0</v>
      </c>
      <c r="O481">
        <v>3</v>
      </c>
      <c r="P481" t="s">
        <v>53</v>
      </c>
      <c r="Q481" t="s">
        <v>53</v>
      </c>
      <c r="R481" t="s">
        <v>53</v>
      </c>
      <c r="S481" t="s">
        <v>53</v>
      </c>
      <c r="T481" t="s">
        <v>53</v>
      </c>
      <c r="U481" t="s">
        <v>53</v>
      </c>
      <c r="V481" t="s">
        <v>53</v>
      </c>
      <c r="W481" t="s">
        <v>53</v>
      </c>
      <c r="X481" s="22" t="s">
        <v>53</v>
      </c>
      <c r="Y481" s="22" t="s">
        <v>53</v>
      </c>
      <c r="Z481" s="22" t="s">
        <v>53</v>
      </c>
      <c r="AA481" s="22" t="s">
        <v>53</v>
      </c>
      <c r="AB481" t="s">
        <v>53</v>
      </c>
      <c r="AC481" t="s">
        <v>53</v>
      </c>
      <c r="AD481" t="s">
        <v>53</v>
      </c>
      <c r="AE481" t="s">
        <v>53</v>
      </c>
      <c r="AF481" s="22" t="s">
        <v>53</v>
      </c>
      <c r="AG481" s="22" t="s">
        <v>53</v>
      </c>
      <c r="AH481" s="22" t="s">
        <v>53</v>
      </c>
      <c r="AI481" s="22" t="s">
        <v>53</v>
      </c>
      <c r="AJ481">
        <v>1</v>
      </c>
      <c r="AK481">
        <v>4</v>
      </c>
      <c r="AL481">
        <v>2</v>
      </c>
      <c r="AM481">
        <v>6</v>
      </c>
      <c r="AN481" s="22">
        <v>0</v>
      </c>
      <c r="AO481" s="22">
        <v>0.25</v>
      </c>
      <c r="AP481" s="22">
        <v>0</v>
      </c>
      <c r="AQ481" s="22">
        <v>0</v>
      </c>
      <c r="AR481" s="35">
        <v>0</v>
      </c>
      <c r="AS481" s="35">
        <v>0</v>
      </c>
      <c r="AT481" s="35">
        <v>4</v>
      </c>
      <c r="AU481" s="31" t="str">
        <f t="shared" si="11"/>
        <v>库存为4</v>
      </c>
      <c r="AV481" s="36" t="str">
        <f>IFERROR(时间!$B$4+AU481,"上周无销量")</f>
        <v>上周无销量</v>
      </c>
    </row>
    <row r="482" spans="1:48">
      <c r="A482" s="20" t="s">
        <v>1116</v>
      </c>
      <c r="B482" t="s">
        <v>1117</v>
      </c>
      <c r="C482" t="s">
        <v>1097</v>
      </c>
      <c r="D482" s="31">
        <v>0</v>
      </c>
      <c r="E482" s="31">
        <v>1</v>
      </c>
      <c r="F482" s="31">
        <v>0</v>
      </c>
      <c r="G482" s="31">
        <v>0</v>
      </c>
      <c r="H482" s="32">
        <v>9.99</v>
      </c>
      <c r="I482">
        <v>6</v>
      </c>
      <c r="J482" s="33">
        <v>0</v>
      </c>
      <c r="K482" s="33">
        <v>0</v>
      </c>
      <c r="L482" s="33">
        <v>0</v>
      </c>
      <c r="M482">
        <v>6</v>
      </c>
      <c r="N482">
        <v>0</v>
      </c>
      <c r="O482">
        <v>5</v>
      </c>
      <c r="P482" t="s">
        <v>53</v>
      </c>
      <c r="Q482" t="s">
        <v>53</v>
      </c>
      <c r="R482" t="s">
        <v>53</v>
      </c>
      <c r="S482" t="s">
        <v>53</v>
      </c>
      <c r="T482" t="s">
        <v>53</v>
      </c>
      <c r="U482" t="s">
        <v>53</v>
      </c>
      <c r="V482" t="s">
        <v>53</v>
      </c>
      <c r="W482" t="s">
        <v>53</v>
      </c>
      <c r="X482" s="22" t="s">
        <v>53</v>
      </c>
      <c r="Y482" s="22" t="s">
        <v>53</v>
      </c>
      <c r="Z482" s="22" t="s">
        <v>53</v>
      </c>
      <c r="AA482" s="22" t="s">
        <v>53</v>
      </c>
      <c r="AB482" t="s">
        <v>53</v>
      </c>
      <c r="AC482" t="s">
        <v>53</v>
      </c>
      <c r="AD482" t="s">
        <v>53</v>
      </c>
      <c r="AE482" t="s">
        <v>53</v>
      </c>
      <c r="AF482" s="22" t="s">
        <v>53</v>
      </c>
      <c r="AG482" s="22" t="s">
        <v>53</v>
      </c>
      <c r="AH482" s="22" t="s">
        <v>53</v>
      </c>
      <c r="AI482" s="22" t="s">
        <v>53</v>
      </c>
      <c r="AJ482">
        <v>4</v>
      </c>
      <c r="AK482">
        <v>3</v>
      </c>
      <c r="AL482">
        <v>1</v>
      </c>
      <c r="AM482">
        <v>6</v>
      </c>
      <c r="AN482" s="22">
        <v>0</v>
      </c>
      <c r="AO482" s="22">
        <v>0.333333333333333</v>
      </c>
      <c r="AP482" s="22">
        <v>0</v>
      </c>
      <c r="AQ482" s="22">
        <v>0</v>
      </c>
      <c r="AR482" s="35">
        <v>0</v>
      </c>
      <c r="AS482" s="35">
        <v>0</v>
      </c>
      <c r="AT482" s="35">
        <v>6</v>
      </c>
      <c r="AU482" s="31" t="str">
        <f t="shared" si="11"/>
        <v>库存为6</v>
      </c>
      <c r="AV482" s="36" t="str">
        <f>IFERROR(时间!$B$4+AU482,"上周无销量")</f>
        <v>上周无销量</v>
      </c>
    </row>
    <row r="483" spans="1:48">
      <c r="A483" s="20" t="s">
        <v>1118</v>
      </c>
      <c r="B483" t="s">
        <v>1119</v>
      </c>
      <c r="C483" t="s">
        <v>1097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26</v>
      </c>
      <c r="J483" s="33">
        <v>0</v>
      </c>
      <c r="K483" s="33">
        <v>0</v>
      </c>
      <c r="L483" s="33">
        <v>0</v>
      </c>
      <c r="M483">
        <v>26</v>
      </c>
      <c r="N483">
        <v>0</v>
      </c>
      <c r="O483">
        <v>26</v>
      </c>
      <c r="P483" t="s">
        <v>53</v>
      </c>
      <c r="Q483" t="s">
        <v>53</v>
      </c>
      <c r="R483" t="s">
        <v>53</v>
      </c>
      <c r="S483" t="s">
        <v>53</v>
      </c>
      <c r="T483" t="s">
        <v>53</v>
      </c>
      <c r="U483" t="s">
        <v>53</v>
      </c>
      <c r="V483" t="s">
        <v>53</v>
      </c>
      <c r="W483" t="s">
        <v>53</v>
      </c>
      <c r="X483" s="22" t="s">
        <v>53</v>
      </c>
      <c r="Y483" s="22" t="s">
        <v>53</v>
      </c>
      <c r="Z483" s="22" t="s">
        <v>53</v>
      </c>
      <c r="AA483" s="22" t="s">
        <v>53</v>
      </c>
      <c r="AB483" t="s">
        <v>53</v>
      </c>
      <c r="AC483" t="s">
        <v>53</v>
      </c>
      <c r="AD483" t="s">
        <v>53</v>
      </c>
      <c r="AE483" t="s">
        <v>53</v>
      </c>
      <c r="AF483" s="22" t="s">
        <v>53</v>
      </c>
      <c r="AG483" s="22" t="s">
        <v>53</v>
      </c>
      <c r="AH483" s="22" t="s">
        <v>53</v>
      </c>
      <c r="AI483" s="22" t="s">
        <v>53</v>
      </c>
      <c r="AJ483">
        <v>3</v>
      </c>
      <c r="AK483">
        <v>6</v>
      </c>
      <c r="AL483">
        <v>3</v>
      </c>
      <c r="AM483">
        <v>4</v>
      </c>
      <c r="AN483" s="22">
        <v>0</v>
      </c>
      <c r="AO483" s="22">
        <v>0</v>
      </c>
      <c r="AP483" s="22">
        <v>0</v>
      </c>
      <c r="AQ483" s="22">
        <v>0</v>
      </c>
      <c r="AR483" s="35">
        <v>0</v>
      </c>
      <c r="AS483" s="35">
        <v>0</v>
      </c>
      <c r="AT483" s="35">
        <v>26</v>
      </c>
      <c r="AU483" s="31" t="str">
        <f t="shared" si="11"/>
        <v>库存为26</v>
      </c>
      <c r="AV483" s="36" t="str">
        <f>IFERROR(时间!$B$4+AU483,"上周无销量")</f>
        <v>上周无销量</v>
      </c>
    </row>
    <row r="484" spans="1:48">
      <c r="A484" s="20" t="s">
        <v>1120</v>
      </c>
      <c r="B484" t="s">
        <v>1121</v>
      </c>
      <c r="C484" t="s">
        <v>1097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53</v>
      </c>
      <c r="Q484" t="s">
        <v>53</v>
      </c>
      <c r="R484" t="s">
        <v>53</v>
      </c>
      <c r="S484" t="s">
        <v>53</v>
      </c>
      <c r="T484" t="s">
        <v>53</v>
      </c>
      <c r="U484" t="s">
        <v>53</v>
      </c>
      <c r="V484" t="s">
        <v>53</v>
      </c>
      <c r="W484" t="s">
        <v>53</v>
      </c>
      <c r="X484" s="22" t="s">
        <v>53</v>
      </c>
      <c r="Y484" s="22" t="s">
        <v>53</v>
      </c>
      <c r="Z484" s="22" t="s">
        <v>53</v>
      </c>
      <c r="AA484" s="22" t="s">
        <v>53</v>
      </c>
      <c r="AB484" t="s">
        <v>53</v>
      </c>
      <c r="AC484" t="s">
        <v>53</v>
      </c>
      <c r="AD484" t="s">
        <v>53</v>
      </c>
      <c r="AE484" t="s">
        <v>53</v>
      </c>
      <c r="AF484" s="22" t="s">
        <v>53</v>
      </c>
      <c r="AG484" s="22" t="s">
        <v>53</v>
      </c>
      <c r="AH484" s="22" t="s">
        <v>53</v>
      </c>
      <c r="AI484" s="22" t="s">
        <v>53</v>
      </c>
      <c r="AJ484">
        <v>0</v>
      </c>
      <c r="AK484">
        <v>0</v>
      </c>
      <c r="AL484">
        <v>0</v>
      </c>
      <c r="AM484">
        <v>0</v>
      </c>
      <c r="AN484" s="22" t="s">
        <v>53</v>
      </c>
      <c r="AO484" s="22" t="s">
        <v>53</v>
      </c>
      <c r="AP484" s="22" t="s">
        <v>53</v>
      </c>
      <c r="AQ484" s="22" t="s">
        <v>53</v>
      </c>
      <c r="AR484" s="35">
        <v>0</v>
      </c>
      <c r="AS484" s="35">
        <v>0</v>
      </c>
      <c r="AT484" s="35">
        <v>0</v>
      </c>
      <c r="AU484" s="31" t="str">
        <f t="shared" si="11"/>
        <v>库存为0</v>
      </c>
      <c r="AV484" s="36" t="str">
        <f>IFERROR(时间!$B$4+AU484,"上周无销量")</f>
        <v>上周无销量</v>
      </c>
    </row>
    <row r="485" spans="1:48">
      <c r="A485" s="20" t="s">
        <v>1122</v>
      </c>
      <c r="B485" t="s">
        <v>1123</v>
      </c>
      <c r="C485" t="s">
        <v>1097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26</v>
      </c>
      <c r="J485" s="33">
        <v>0</v>
      </c>
      <c r="K485" s="33">
        <v>0</v>
      </c>
      <c r="L485" s="33">
        <v>0</v>
      </c>
      <c r="M485">
        <v>26</v>
      </c>
      <c r="N485">
        <v>0</v>
      </c>
      <c r="O485">
        <v>26</v>
      </c>
      <c r="P485" t="s">
        <v>53</v>
      </c>
      <c r="Q485" t="s">
        <v>53</v>
      </c>
      <c r="R485" t="s">
        <v>53</v>
      </c>
      <c r="S485" t="s">
        <v>53</v>
      </c>
      <c r="T485" t="s">
        <v>53</v>
      </c>
      <c r="U485" t="s">
        <v>53</v>
      </c>
      <c r="V485" t="s">
        <v>53</v>
      </c>
      <c r="W485" t="s">
        <v>53</v>
      </c>
      <c r="X485" s="22" t="s">
        <v>53</v>
      </c>
      <c r="Y485" s="22" t="s">
        <v>53</v>
      </c>
      <c r="Z485" s="22" t="s">
        <v>53</v>
      </c>
      <c r="AA485" s="22" t="s">
        <v>53</v>
      </c>
      <c r="AB485" t="s">
        <v>53</v>
      </c>
      <c r="AC485" t="s">
        <v>53</v>
      </c>
      <c r="AD485" t="s">
        <v>53</v>
      </c>
      <c r="AE485" t="s">
        <v>53</v>
      </c>
      <c r="AF485" s="22" t="s">
        <v>53</v>
      </c>
      <c r="AG485" s="22" t="s">
        <v>53</v>
      </c>
      <c r="AH485" s="22" t="s">
        <v>53</v>
      </c>
      <c r="AI485" s="22" t="s">
        <v>53</v>
      </c>
      <c r="AJ485">
        <v>4</v>
      </c>
      <c r="AK485">
        <v>4</v>
      </c>
      <c r="AL485">
        <v>4</v>
      </c>
      <c r="AM485">
        <v>2</v>
      </c>
      <c r="AN485" s="22">
        <v>0</v>
      </c>
      <c r="AO485" s="22">
        <v>0</v>
      </c>
      <c r="AP485" s="22">
        <v>0</v>
      </c>
      <c r="AQ485" s="22">
        <v>0</v>
      </c>
      <c r="AR485" s="35">
        <v>0</v>
      </c>
      <c r="AS485" s="35">
        <v>0</v>
      </c>
      <c r="AT485" s="35">
        <v>26</v>
      </c>
      <c r="AU485" s="31" t="str">
        <f t="shared" si="11"/>
        <v>库存为26</v>
      </c>
      <c r="AV485" s="36" t="str">
        <f>IFERROR(时间!$B$4+AU485,"上周无销量")</f>
        <v>上周无销量</v>
      </c>
    </row>
    <row r="486" spans="1:48">
      <c r="A486" s="20" t="s">
        <v>1124</v>
      </c>
      <c r="B486" t="s">
        <v>1125</v>
      </c>
      <c r="C486" t="s">
        <v>1097</v>
      </c>
      <c r="D486" s="31">
        <v>1</v>
      </c>
      <c r="E486" s="31">
        <v>0</v>
      </c>
      <c r="F486" s="31">
        <v>0</v>
      </c>
      <c r="G486" s="31">
        <v>0</v>
      </c>
      <c r="H486" s="32">
        <v>14.99</v>
      </c>
      <c r="I486">
        <v>25</v>
      </c>
      <c r="J486" s="33">
        <v>0</v>
      </c>
      <c r="K486" s="33">
        <v>0</v>
      </c>
      <c r="L486" s="33">
        <v>0</v>
      </c>
      <c r="M486">
        <v>25</v>
      </c>
      <c r="N486">
        <v>0</v>
      </c>
      <c r="O486">
        <v>25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8</v>
      </c>
      <c r="AK486">
        <v>11</v>
      </c>
      <c r="AL486">
        <v>9</v>
      </c>
      <c r="AM486">
        <v>15</v>
      </c>
      <c r="AN486" s="22">
        <v>0.125</v>
      </c>
      <c r="AO486" s="22">
        <v>0</v>
      </c>
      <c r="AP486" s="22">
        <v>0</v>
      </c>
      <c r="AQ486" s="22">
        <v>0</v>
      </c>
      <c r="AR486" s="35">
        <v>0.142857142857143</v>
      </c>
      <c r="AS486" s="35">
        <v>8.57142857142857</v>
      </c>
      <c r="AT486" s="35">
        <v>16.4285714285714</v>
      </c>
      <c r="AU486" s="31">
        <f t="shared" si="11"/>
        <v>175</v>
      </c>
      <c r="AV486" s="36">
        <f>IFERROR(时间!$B$4+AU486,"上周无销量")</f>
        <v>43493</v>
      </c>
    </row>
    <row r="487" spans="1:48">
      <c r="A487" s="20" t="s">
        <v>1126</v>
      </c>
      <c r="B487" t="s">
        <v>1127</v>
      </c>
      <c r="C487" t="s">
        <v>1097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3</v>
      </c>
      <c r="J487" s="33">
        <v>0</v>
      </c>
      <c r="K487" s="33">
        <v>0</v>
      </c>
      <c r="L487" s="33">
        <v>0</v>
      </c>
      <c r="M487">
        <v>3</v>
      </c>
      <c r="N487">
        <v>0</v>
      </c>
      <c r="O487">
        <v>3</v>
      </c>
      <c r="P487" t="s">
        <v>53</v>
      </c>
      <c r="Q487" t="s">
        <v>53</v>
      </c>
      <c r="R487" t="s">
        <v>53</v>
      </c>
      <c r="S487" t="s">
        <v>53</v>
      </c>
      <c r="T487" t="s">
        <v>53</v>
      </c>
      <c r="U487" t="s">
        <v>53</v>
      </c>
      <c r="V487" t="s">
        <v>53</v>
      </c>
      <c r="W487" t="s">
        <v>53</v>
      </c>
      <c r="X487" s="22" t="s">
        <v>53</v>
      </c>
      <c r="Y487" s="22" t="s">
        <v>53</v>
      </c>
      <c r="Z487" s="22" t="s">
        <v>53</v>
      </c>
      <c r="AA487" s="22" t="s">
        <v>53</v>
      </c>
      <c r="AB487" t="s">
        <v>53</v>
      </c>
      <c r="AC487" t="s">
        <v>53</v>
      </c>
      <c r="AD487" t="s">
        <v>53</v>
      </c>
      <c r="AE487" t="s">
        <v>53</v>
      </c>
      <c r="AF487" s="22" t="s">
        <v>53</v>
      </c>
      <c r="AG487" s="22" t="s">
        <v>53</v>
      </c>
      <c r="AH487" s="22" t="s">
        <v>53</v>
      </c>
      <c r="AI487" s="22" t="s">
        <v>53</v>
      </c>
      <c r="AJ487">
        <v>3</v>
      </c>
      <c r="AK487">
        <v>1</v>
      </c>
      <c r="AL487">
        <v>3</v>
      </c>
      <c r="AM487">
        <v>2</v>
      </c>
      <c r="AN487" s="22">
        <v>0</v>
      </c>
      <c r="AO487" s="22">
        <v>0</v>
      </c>
      <c r="AP487" s="22">
        <v>0</v>
      </c>
      <c r="AQ487" s="22">
        <v>0</v>
      </c>
      <c r="AR487" s="35">
        <v>0</v>
      </c>
      <c r="AS487" s="35">
        <v>0</v>
      </c>
      <c r="AT487" s="35">
        <v>3</v>
      </c>
      <c r="AU487" s="31" t="str">
        <f t="shared" si="11"/>
        <v>库存为3</v>
      </c>
      <c r="AV487" s="36" t="str">
        <f>IFERROR(时间!$B$4+AU487,"上周无销量")</f>
        <v>上周无销量</v>
      </c>
    </row>
    <row r="488" spans="1:48">
      <c r="A488" s="20" t="s">
        <v>1128</v>
      </c>
      <c r="B488" t="s">
        <v>1129</v>
      </c>
      <c r="C488" t="s">
        <v>1097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4</v>
      </c>
      <c r="J488" s="33">
        <v>0</v>
      </c>
      <c r="K488" s="33">
        <v>0</v>
      </c>
      <c r="L488" s="33">
        <v>0</v>
      </c>
      <c r="M488">
        <v>4</v>
      </c>
      <c r="N488">
        <v>0</v>
      </c>
      <c r="O488">
        <v>4</v>
      </c>
      <c r="P488" t="s">
        <v>53</v>
      </c>
      <c r="Q488" t="s">
        <v>53</v>
      </c>
      <c r="R488" t="s">
        <v>53</v>
      </c>
      <c r="S488" t="s">
        <v>53</v>
      </c>
      <c r="T488" t="s">
        <v>53</v>
      </c>
      <c r="U488" t="s">
        <v>53</v>
      </c>
      <c r="V488" t="s">
        <v>53</v>
      </c>
      <c r="W488" t="s">
        <v>53</v>
      </c>
      <c r="X488" s="22" t="s">
        <v>53</v>
      </c>
      <c r="Y488" s="22" t="s">
        <v>53</v>
      </c>
      <c r="Z488" s="22" t="s">
        <v>53</v>
      </c>
      <c r="AA488" s="22" t="s">
        <v>53</v>
      </c>
      <c r="AB488" t="s">
        <v>53</v>
      </c>
      <c r="AC488" t="s">
        <v>53</v>
      </c>
      <c r="AD488" t="s">
        <v>53</v>
      </c>
      <c r="AE488" t="s">
        <v>53</v>
      </c>
      <c r="AF488" s="22" t="s">
        <v>53</v>
      </c>
      <c r="AG488" s="22" t="s">
        <v>53</v>
      </c>
      <c r="AH488" s="22" t="s">
        <v>53</v>
      </c>
      <c r="AI488" s="22" t="s">
        <v>53</v>
      </c>
      <c r="AJ488">
        <v>2</v>
      </c>
      <c r="AK488">
        <v>3</v>
      </c>
      <c r="AL488">
        <v>0</v>
      </c>
      <c r="AM488">
        <v>4</v>
      </c>
      <c r="AN488" s="22">
        <v>0</v>
      </c>
      <c r="AO488" s="22">
        <v>0</v>
      </c>
      <c r="AP488" s="22" t="s">
        <v>53</v>
      </c>
      <c r="AQ488" s="22">
        <v>0</v>
      </c>
      <c r="AR488" s="35">
        <v>0</v>
      </c>
      <c r="AS488" s="35">
        <v>0</v>
      </c>
      <c r="AT488" s="35">
        <v>4</v>
      </c>
      <c r="AU488" s="31" t="str">
        <f t="shared" si="11"/>
        <v>库存为4</v>
      </c>
      <c r="AV488" s="36" t="str">
        <f>IFERROR(时间!$B$4+AU488,"上周无销量")</f>
        <v>上周无销量</v>
      </c>
    </row>
    <row r="489" spans="1:48">
      <c r="A489" s="20" t="s">
        <v>1130</v>
      </c>
      <c r="B489" t="s">
        <v>1131</v>
      </c>
      <c r="C489" t="s">
        <v>1097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14</v>
      </c>
      <c r="J489" s="33">
        <v>0</v>
      </c>
      <c r="K489" s="33">
        <v>0</v>
      </c>
      <c r="L489" s="33">
        <v>0</v>
      </c>
      <c r="M489">
        <v>14</v>
      </c>
      <c r="N489">
        <v>0</v>
      </c>
      <c r="O489">
        <v>14</v>
      </c>
      <c r="P489" t="s">
        <v>53</v>
      </c>
      <c r="Q489" t="s">
        <v>53</v>
      </c>
      <c r="R489" t="s">
        <v>53</v>
      </c>
      <c r="S489" t="s">
        <v>53</v>
      </c>
      <c r="T489" t="s">
        <v>53</v>
      </c>
      <c r="U489" t="s">
        <v>53</v>
      </c>
      <c r="V489" t="s">
        <v>53</v>
      </c>
      <c r="W489" t="s">
        <v>53</v>
      </c>
      <c r="X489" s="22" t="s">
        <v>53</v>
      </c>
      <c r="Y489" s="22" t="s">
        <v>53</v>
      </c>
      <c r="Z489" s="22" t="s">
        <v>53</v>
      </c>
      <c r="AA489" s="22" t="s">
        <v>53</v>
      </c>
      <c r="AB489" t="s">
        <v>53</v>
      </c>
      <c r="AC489" t="s">
        <v>53</v>
      </c>
      <c r="AD489" t="s">
        <v>53</v>
      </c>
      <c r="AE489" t="s">
        <v>53</v>
      </c>
      <c r="AF489" s="22" t="s">
        <v>53</v>
      </c>
      <c r="AG489" s="22" t="s">
        <v>53</v>
      </c>
      <c r="AH489" s="22" t="s">
        <v>53</v>
      </c>
      <c r="AI489" s="22" t="s">
        <v>53</v>
      </c>
      <c r="AJ489">
        <v>0</v>
      </c>
      <c r="AK489">
        <v>4</v>
      </c>
      <c r="AL489">
        <v>3</v>
      </c>
      <c r="AM489">
        <v>2</v>
      </c>
      <c r="AN489" s="22" t="s">
        <v>53</v>
      </c>
      <c r="AO489" s="22">
        <v>0</v>
      </c>
      <c r="AP489" s="22">
        <v>0</v>
      </c>
      <c r="AQ489" s="22">
        <v>0</v>
      </c>
      <c r="AR489" s="35">
        <v>0</v>
      </c>
      <c r="AS489" s="35">
        <v>0</v>
      </c>
      <c r="AT489" s="35">
        <v>14</v>
      </c>
      <c r="AU489" s="31" t="str">
        <f t="shared" si="11"/>
        <v>库存为14</v>
      </c>
      <c r="AV489" s="36" t="str">
        <f>IFERROR(时间!$B$4+AU489,"上周无销量")</f>
        <v>上周无销量</v>
      </c>
    </row>
    <row r="490" spans="1:48">
      <c r="A490" s="20" t="s">
        <v>1132</v>
      </c>
      <c r="B490" t="s">
        <v>1133</v>
      </c>
      <c r="C490" t="s">
        <v>1097</v>
      </c>
      <c r="D490" s="31">
        <v>0</v>
      </c>
      <c r="E490" s="31">
        <v>0</v>
      </c>
      <c r="F490" s="31">
        <v>0</v>
      </c>
      <c r="G490" s="31">
        <v>1</v>
      </c>
      <c r="H490" s="32">
        <v>9.99</v>
      </c>
      <c r="I490">
        <v>3</v>
      </c>
      <c r="J490" s="33">
        <v>0</v>
      </c>
      <c r="K490" s="33">
        <v>0</v>
      </c>
      <c r="L490" s="33">
        <v>0</v>
      </c>
      <c r="M490">
        <v>3</v>
      </c>
      <c r="N490">
        <v>0</v>
      </c>
      <c r="O490">
        <v>3</v>
      </c>
      <c r="P490" t="s">
        <v>53</v>
      </c>
      <c r="Q490" t="s">
        <v>53</v>
      </c>
      <c r="R490" t="s">
        <v>53</v>
      </c>
      <c r="S490" t="s">
        <v>53</v>
      </c>
      <c r="T490" t="s">
        <v>53</v>
      </c>
      <c r="U490" t="s">
        <v>53</v>
      </c>
      <c r="V490" t="s">
        <v>53</v>
      </c>
      <c r="W490" t="s">
        <v>53</v>
      </c>
      <c r="X490" s="22" t="s">
        <v>53</v>
      </c>
      <c r="Y490" s="22" t="s">
        <v>53</v>
      </c>
      <c r="Z490" s="22" t="s">
        <v>53</v>
      </c>
      <c r="AA490" s="22" t="s">
        <v>53</v>
      </c>
      <c r="AB490" t="s">
        <v>53</v>
      </c>
      <c r="AC490" t="s">
        <v>53</v>
      </c>
      <c r="AD490" t="s">
        <v>53</v>
      </c>
      <c r="AE490" t="s">
        <v>53</v>
      </c>
      <c r="AF490" s="22" t="s">
        <v>53</v>
      </c>
      <c r="AG490" s="22" t="s">
        <v>53</v>
      </c>
      <c r="AH490" s="22" t="s">
        <v>53</v>
      </c>
      <c r="AI490" s="22" t="s">
        <v>53</v>
      </c>
      <c r="AJ490">
        <v>3</v>
      </c>
      <c r="AK490">
        <v>5</v>
      </c>
      <c r="AL490">
        <v>2</v>
      </c>
      <c r="AM490">
        <v>5</v>
      </c>
      <c r="AN490" s="22">
        <v>0</v>
      </c>
      <c r="AO490" s="22">
        <v>0</v>
      </c>
      <c r="AP490" s="22">
        <v>0</v>
      </c>
      <c r="AQ490" s="22">
        <v>0.2</v>
      </c>
      <c r="AR490" s="35">
        <v>0</v>
      </c>
      <c r="AS490" s="35">
        <v>0</v>
      </c>
      <c r="AT490" s="35">
        <v>3</v>
      </c>
      <c r="AU490" s="31" t="str">
        <f t="shared" si="11"/>
        <v>库存为3</v>
      </c>
      <c r="AV490" s="36" t="str">
        <f>IFERROR(时间!$B$4+AU490,"上周无销量")</f>
        <v>上周无销量</v>
      </c>
    </row>
    <row r="491" spans="1:48">
      <c r="A491" s="20" t="s">
        <v>1134</v>
      </c>
      <c r="B491" t="s">
        <v>1135</v>
      </c>
      <c r="C491" t="s">
        <v>1097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20</v>
      </c>
      <c r="J491" s="33">
        <v>0</v>
      </c>
      <c r="K491" s="33">
        <v>0</v>
      </c>
      <c r="L491" s="33">
        <v>0</v>
      </c>
      <c r="M491">
        <v>20</v>
      </c>
      <c r="N491">
        <v>0</v>
      </c>
      <c r="O491">
        <v>19</v>
      </c>
      <c r="P491" t="s">
        <v>53</v>
      </c>
      <c r="Q491" t="s">
        <v>53</v>
      </c>
      <c r="R491" t="s">
        <v>53</v>
      </c>
      <c r="S491" t="s">
        <v>53</v>
      </c>
      <c r="T491" t="s">
        <v>53</v>
      </c>
      <c r="U491" t="s">
        <v>53</v>
      </c>
      <c r="V491" t="s">
        <v>53</v>
      </c>
      <c r="W491" t="s">
        <v>53</v>
      </c>
      <c r="X491" s="22" t="s">
        <v>53</v>
      </c>
      <c r="Y491" s="22" t="s">
        <v>53</v>
      </c>
      <c r="Z491" s="22" t="s">
        <v>53</v>
      </c>
      <c r="AA491" s="22" t="s">
        <v>53</v>
      </c>
      <c r="AB491" t="s">
        <v>53</v>
      </c>
      <c r="AC491" t="s">
        <v>53</v>
      </c>
      <c r="AD491" t="s">
        <v>53</v>
      </c>
      <c r="AE491" t="s">
        <v>53</v>
      </c>
      <c r="AF491" s="22" t="s">
        <v>53</v>
      </c>
      <c r="AG491" s="22" t="s">
        <v>53</v>
      </c>
      <c r="AH491" s="22" t="s">
        <v>53</v>
      </c>
      <c r="AI491" s="22" t="s">
        <v>53</v>
      </c>
      <c r="AJ491">
        <v>2</v>
      </c>
      <c r="AK491">
        <v>3</v>
      </c>
      <c r="AL491">
        <v>0</v>
      </c>
      <c r="AM491">
        <v>7</v>
      </c>
      <c r="AN491" s="22">
        <v>0</v>
      </c>
      <c r="AO491" s="22">
        <v>0</v>
      </c>
      <c r="AP491" s="22" t="s">
        <v>53</v>
      </c>
      <c r="AQ491" s="22">
        <v>0</v>
      </c>
      <c r="AR491" s="35">
        <v>0</v>
      </c>
      <c r="AS491" s="35">
        <v>0</v>
      </c>
      <c r="AT491" s="35">
        <v>20</v>
      </c>
      <c r="AU491" s="31" t="str">
        <f t="shared" si="11"/>
        <v>库存为20</v>
      </c>
      <c r="AV491" s="36" t="str">
        <f>IFERROR(时间!$B$4+AU491,"上周无销量")</f>
        <v>上周无销量</v>
      </c>
    </row>
    <row r="492" spans="1:48">
      <c r="A492" s="20" t="s">
        <v>1136</v>
      </c>
      <c r="B492" t="s">
        <v>1137</v>
      </c>
      <c r="C492" t="s">
        <v>1097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53</v>
      </c>
      <c r="Q492" t="s">
        <v>53</v>
      </c>
      <c r="R492" t="s">
        <v>53</v>
      </c>
      <c r="S492" t="s">
        <v>53</v>
      </c>
      <c r="T492" t="s">
        <v>53</v>
      </c>
      <c r="U492" t="s">
        <v>53</v>
      </c>
      <c r="V492" t="s">
        <v>53</v>
      </c>
      <c r="W492" t="s">
        <v>53</v>
      </c>
      <c r="X492" s="22" t="s">
        <v>53</v>
      </c>
      <c r="Y492" s="22" t="s">
        <v>53</v>
      </c>
      <c r="Z492" s="22" t="s">
        <v>53</v>
      </c>
      <c r="AA492" s="22" t="s">
        <v>53</v>
      </c>
      <c r="AB492" t="s">
        <v>53</v>
      </c>
      <c r="AC492" t="s">
        <v>53</v>
      </c>
      <c r="AD492" t="s">
        <v>53</v>
      </c>
      <c r="AE492" t="s">
        <v>53</v>
      </c>
      <c r="AF492" s="22" t="s">
        <v>53</v>
      </c>
      <c r="AG492" s="22" t="s">
        <v>53</v>
      </c>
      <c r="AH492" s="22" t="s">
        <v>53</v>
      </c>
      <c r="AI492" s="22" t="s">
        <v>53</v>
      </c>
      <c r="AJ492">
        <v>0</v>
      </c>
      <c r="AK492">
        <v>0</v>
      </c>
      <c r="AL492">
        <v>0</v>
      </c>
      <c r="AM492">
        <v>0</v>
      </c>
      <c r="AN492" s="22" t="s">
        <v>53</v>
      </c>
      <c r="AO492" s="22" t="s">
        <v>53</v>
      </c>
      <c r="AP492" s="22" t="s">
        <v>53</v>
      </c>
      <c r="AQ492" s="22" t="s">
        <v>53</v>
      </c>
      <c r="AR492" s="35">
        <v>0</v>
      </c>
      <c r="AS492" s="35">
        <v>0</v>
      </c>
      <c r="AT492" s="35">
        <v>0</v>
      </c>
      <c r="AU492" s="31" t="str">
        <f t="shared" si="11"/>
        <v>库存为0</v>
      </c>
      <c r="AV492" s="36" t="str">
        <f>IFERROR(时间!$B$4+AU492,"上周无销量")</f>
        <v>上周无销量</v>
      </c>
    </row>
    <row r="493" spans="1:48">
      <c r="A493" s="20" t="s">
        <v>1138</v>
      </c>
      <c r="B493" t="s">
        <v>1139</v>
      </c>
      <c r="C493" t="s">
        <v>1097</v>
      </c>
      <c r="D493" s="31">
        <v>1</v>
      </c>
      <c r="E493" s="31">
        <v>0</v>
      </c>
      <c r="F493" s="31">
        <v>0</v>
      </c>
      <c r="G493" s="31">
        <v>0</v>
      </c>
      <c r="H493" s="32">
        <v>12.99</v>
      </c>
      <c r="I493">
        <v>5</v>
      </c>
      <c r="J493" s="33">
        <v>0</v>
      </c>
      <c r="K493" s="33">
        <v>0</v>
      </c>
      <c r="L493" s="33">
        <v>0</v>
      </c>
      <c r="M493">
        <v>5</v>
      </c>
      <c r="N493">
        <v>0</v>
      </c>
      <c r="O493">
        <v>5</v>
      </c>
      <c r="P493" t="s">
        <v>53</v>
      </c>
      <c r="Q493" t="s">
        <v>53</v>
      </c>
      <c r="R493" t="s">
        <v>53</v>
      </c>
      <c r="S493" t="s">
        <v>53</v>
      </c>
      <c r="T493" t="s">
        <v>53</v>
      </c>
      <c r="U493" t="s">
        <v>53</v>
      </c>
      <c r="V493" t="s">
        <v>53</v>
      </c>
      <c r="W493" t="s">
        <v>53</v>
      </c>
      <c r="X493" s="22" t="s">
        <v>53</v>
      </c>
      <c r="Y493" s="22" t="s">
        <v>53</v>
      </c>
      <c r="Z493" s="22" t="s">
        <v>53</v>
      </c>
      <c r="AA493" s="22" t="s">
        <v>53</v>
      </c>
      <c r="AB493" t="s">
        <v>53</v>
      </c>
      <c r="AC493" t="s">
        <v>53</v>
      </c>
      <c r="AD493" t="s">
        <v>53</v>
      </c>
      <c r="AE493" t="s">
        <v>53</v>
      </c>
      <c r="AF493" s="22" t="s">
        <v>53</v>
      </c>
      <c r="AG493" s="22" t="s">
        <v>53</v>
      </c>
      <c r="AH493" s="22" t="s">
        <v>53</v>
      </c>
      <c r="AI493" s="22" t="s">
        <v>53</v>
      </c>
      <c r="AJ493">
        <v>3</v>
      </c>
      <c r="AK493">
        <v>3</v>
      </c>
      <c r="AL493">
        <v>3</v>
      </c>
      <c r="AM493">
        <v>3</v>
      </c>
      <c r="AN493" s="22">
        <v>0.333333333333333</v>
      </c>
      <c r="AO493" s="22">
        <v>0</v>
      </c>
      <c r="AP493" s="22">
        <v>0</v>
      </c>
      <c r="AQ493" s="22">
        <v>0</v>
      </c>
      <c r="AR493" s="35">
        <v>0.142857142857143</v>
      </c>
      <c r="AS493" s="35">
        <v>8.57142857142857</v>
      </c>
      <c r="AT493" s="35">
        <v>-3.57142857142857</v>
      </c>
      <c r="AU493" s="31">
        <f t="shared" si="11"/>
        <v>35</v>
      </c>
      <c r="AV493" s="36">
        <f>IFERROR(时间!$B$4+AU493,"上周无销量")</f>
        <v>43353</v>
      </c>
    </row>
    <row r="494" spans="1:48">
      <c r="A494" s="20" t="s">
        <v>1140</v>
      </c>
      <c r="B494" t="s">
        <v>1141</v>
      </c>
      <c r="C494" t="s">
        <v>1097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26</v>
      </c>
      <c r="J494" s="33">
        <v>0</v>
      </c>
      <c r="K494" s="33">
        <v>0</v>
      </c>
      <c r="L494" s="33">
        <v>0</v>
      </c>
      <c r="M494">
        <v>26</v>
      </c>
      <c r="N494">
        <v>0</v>
      </c>
      <c r="O494">
        <v>26</v>
      </c>
      <c r="P494" t="s">
        <v>53</v>
      </c>
      <c r="Q494" t="s">
        <v>53</v>
      </c>
      <c r="R494" t="s">
        <v>53</v>
      </c>
      <c r="S494" t="s">
        <v>53</v>
      </c>
      <c r="T494" t="s">
        <v>53</v>
      </c>
      <c r="U494" t="s">
        <v>53</v>
      </c>
      <c r="V494" t="s">
        <v>53</v>
      </c>
      <c r="W494" t="s">
        <v>53</v>
      </c>
      <c r="X494" s="22" t="s">
        <v>53</v>
      </c>
      <c r="Y494" s="22" t="s">
        <v>53</v>
      </c>
      <c r="Z494" s="22" t="s">
        <v>53</v>
      </c>
      <c r="AA494" s="22" t="s">
        <v>53</v>
      </c>
      <c r="AB494" t="s">
        <v>53</v>
      </c>
      <c r="AC494" t="s">
        <v>53</v>
      </c>
      <c r="AD494" t="s">
        <v>53</v>
      </c>
      <c r="AE494" t="s">
        <v>53</v>
      </c>
      <c r="AF494" s="22" t="s">
        <v>53</v>
      </c>
      <c r="AG494" s="22" t="s">
        <v>53</v>
      </c>
      <c r="AH494" s="22" t="s">
        <v>53</v>
      </c>
      <c r="AI494" s="22" t="s">
        <v>53</v>
      </c>
      <c r="AJ494">
        <v>2</v>
      </c>
      <c r="AK494">
        <v>1</v>
      </c>
      <c r="AL494">
        <v>7</v>
      </c>
      <c r="AM494">
        <v>12</v>
      </c>
      <c r="AN494" s="22">
        <v>0</v>
      </c>
      <c r="AO494" s="22">
        <v>0</v>
      </c>
      <c r="AP494" s="22">
        <v>0</v>
      </c>
      <c r="AQ494" s="22">
        <v>0</v>
      </c>
      <c r="AR494" s="35">
        <v>0</v>
      </c>
      <c r="AS494" s="35">
        <v>0</v>
      </c>
      <c r="AT494" s="35">
        <v>26</v>
      </c>
      <c r="AU494" s="31" t="str">
        <f t="shared" si="11"/>
        <v>库存为26</v>
      </c>
      <c r="AV494" s="36" t="str">
        <f>IFERROR(时间!$B$4+AU494,"上周无销量")</f>
        <v>上周无销量</v>
      </c>
    </row>
    <row r="495" spans="1:48">
      <c r="A495" s="20" t="s">
        <v>1142</v>
      </c>
      <c r="B495" t="s">
        <v>1143</v>
      </c>
      <c r="C495" t="s">
        <v>1097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1</v>
      </c>
      <c r="J495" s="33">
        <v>0</v>
      </c>
      <c r="K495" s="33">
        <v>0</v>
      </c>
      <c r="L495" s="33">
        <v>0</v>
      </c>
      <c r="M495">
        <v>1</v>
      </c>
      <c r="N495">
        <v>0</v>
      </c>
      <c r="O495">
        <v>1</v>
      </c>
      <c r="P495" t="s">
        <v>53</v>
      </c>
      <c r="Q495" t="s">
        <v>53</v>
      </c>
      <c r="R495" t="s">
        <v>53</v>
      </c>
      <c r="S495" t="s">
        <v>53</v>
      </c>
      <c r="T495" t="s">
        <v>53</v>
      </c>
      <c r="U495" t="s">
        <v>53</v>
      </c>
      <c r="V495" t="s">
        <v>53</v>
      </c>
      <c r="W495" t="s">
        <v>53</v>
      </c>
      <c r="X495" s="22" t="s">
        <v>53</v>
      </c>
      <c r="Y495" s="22" t="s">
        <v>53</v>
      </c>
      <c r="Z495" s="22" t="s">
        <v>53</v>
      </c>
      <c r="AA495" s="22" t="s">
        <v>53</v>
      </c>
      <c r="AB495" t="s">
        <v>53</v>
      </c>
      <c r="AC495" t="s">
        <v>53</v>
      </c>
      <c r="AD495" t="s">
        <v>53</v>
      </c>
      <c r="AE495" t="s">
        <v>53</v>
      </c>
      <c r="AF495" s="22" t="s">
        <v>53</v>
      </c>
      <c r="AG495" s="22" t="s">
        <v>53</v>
      </c>
      <c r="AH495" s="22" t="s">
        <v>53</v>
      </c>
      <c r="AI495" s="22" t="s">
        <v>53</v>
      </c>
      <c r="AJ495">
        <v>5</v>
      </c>
      <c r="AK495">
        <v>2</v>
      </c>
      <c r="AL495">
        <v>1</v>
      </c>
      <c r="AM495">
        <v>5</v>
      </c>
      <c r="AN495" s="22">
        <v>0</v>
      </c>
      <c r="AO495" s="22">
        <v>0</v>
      </c>
      <c r="AP495" s="22">
        <v>0</v>
      </c>
      <c r="AQ495" s="22">
        <v>0</v>
      </c>
      <c r="AR495" s="35">
        <v>0</v>
      </c>
      <c r="AS495" s="35">
        <v>0</v>
      </c>
      <c r="AT495" s="35">
        <v>1</v>
      </c>
      <c r="AU495" s="31" t="str">
        <f t="shared" si="11"/>
        <v>库存为1</v>
      </c>
      <c r="AV495" s="36" t="str">
        <f>IFERROR(时间!$B$4+AU495,"上周无销量")</f>
        <v>上周无销量</v>
      </c>
    </row>
    <row r="496" spans="1:48">
      <c r="A496" s="20" t="s">
        <v>1144</v>
      </c>
      <c r="B496" t="s">
        <v>1145</v>
      </c>
      <c r="C496" t="s">
        <v>1146</v>
      </c>
      <c r="D496" s="31">
        <v>2</v>
      </c>
      <c r="E496" s="31">
        <v>1</v>
      </c>
      <c r="F496" s="31">
        <v>2</v>
      </c>
      <c r="G496" s="31">
        <v>0</v>
      </c>
      <c r="H496" s="32">
        <v>13.99</v>
      </c>
      <c r="I496">
        <v>9</v>
      </c>
      <c r="J496" s="33">
        <v>0</v>
      </c>
      <c r="K496" s="33">
        <v>0</v>
      </c>
      <c r="L496" s="33">
        <v>0</v>
      </c>
      <c r="M496">
        <v>9</v>
      </c>
      <c r="N496">
        <v>0</v>
      </c>
      <c r="O496">
        <v>0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15</v>
      </c>
      <c r="AK496">
        <v>19</v>
      </c>
      <c r="AL496">
        <v>13</v>
      </c>
      <c r="AM496">
        <v>13</v>
      </c>
      <c r="AN496" s="22">
        <v>0.133333333333333</v>
      </c>
      <c r="AO496" s="22">
        <v>0.0526315789473684</v>
      </c>
      <c r="AP496" s="22">
        <v>0.153846153846154</v>
      </c>
      <c r="AQ496" s="22">
        <v>0</v>
      </c>
      <c r="AR496" s="35">
        <v>0.285714285714286</v>
      </c>
      <c r="AS496" s="35">
        <v>17.1428571428571</v>
      </c>
      <c r="AT496" s="35">
        <v>-8.14285714285714</v>
      </c>
      <c r="AU496" s="31">
        <f t="shared" si="11"/>
        <v>31</v>
      </c>
      <c r="AV496" s="36">
        <f>IFERROR(时间!$B$4+AU496,"上周无销量")</f>
        <v>43349</v>
      </c>
    </row>
    <row r="497" spans="1:48">
      <c r="A497" s="20" t="s">
        <v>1147</v>
      </c>
      <c r="B497" t="s">
        <v>1148</v>
      </c>
      <c r="C497" t="s">
        <v>1146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22</v>
      </c>
      <c r="J497" s="33">
        <v>0</v>
      </c>
      <c r="K497" s="33">
        <v>0</v>
      </c>
      <c r="L497" s="33">
        <v>0</v>
      </c>
      <c r="M497">
        <v>22</v>
      </c>
      <c r="N497">
        <v>0</v>
      </c>
      <c r="O497">
        <v>8</v>
      </c>
      <c r="P497">
        <v>0</v>
      </c>
      <c r="Q497">
        <v>0</v>
      </c>
      <c r="R497">
        <v>0</v>
      </c>
      <c r="S497">
        <v>27</v>
      </c>
      <c r="T497">
        <v>0</v>
      </c>
      <c r="U497">
        <v>0</v>
      </c>
      <c r="V497">
        <v>0</v>
      </c>
      <c r="W497">
        <v>0</v>
      </c>
      <c r="X497" s="22" t="s">
        <v>53</v>
      </c>
      <c r="Y497" s="22" t="s">
        <v>53</v>
      </c>
      <c r="Z497" s="22" t="s">
        <v>53</v>
      </c>
      <c r="AA497" s="22">
        <v>0</v>
      </c>
      <c r="AB497">
        <v>0</v>
      </c>
      <c r="AC497">
        <v>0</v>
      </c>
      <c r="AD497">
        <v>0</v>
      </c>
      <c r="AE497">
        <v>0</v>
      </c>
      <c r="AF497" s="22" t="s">
        <v>53</v>
      </c>
      <c r="AG497" s="22" t="s">
        <v>53</v>
      </c>
      <c r="AH497" s="22" t="s">
        <v>53</v>
      </c>
      <c r="AI497" s="22" t="s">
        <v>53</v>
      </c>
      <c r="AJ497">
        <v>4</v>
      </c>
      <c r="AK497">
        <v>11</v>
      </c>
      <c r="AL497">
        <v>11</v>
      </c>
      <c r="AM497">
        <v>8</v>
      </c>
      <c r="AN497" s="22">
        <v>0</v>
      </c>
      <c r="AO497" s="22">
        <v>0</v>
      </c>
      <c r="AP497" s="22">
        <v>0</v>
      </c>
      <c r="AQ497" s="22">
        <v>0</v>
      </c>
      <c r="AR497" s="35">
        <v>0</v>
      </c>
      <c r="AS497" s="35">
        <v>0</v>
      </c>
      <c r="AT497" s="35">
        <v>22</v>
      </c>
      <c r="AU497" s="31" t="str">
        <f t="shared" si="11"/>
        <v>库存为22</v>
      </c>
      <c r="AV497" s="36" t="str">
        <f>IFERROR(时间!$B$4+AU497,"上周无销量")</f>
        <v>上周无销量</v>
      </c>
    </row>
    <row r="498" spans="1:48">
      <c r="A498" s="20" t="s">
        <v>1149</v>
      </c>
      <c r="B498" t="s">
        <v>1150</v>
      </c>
      <c r="C498" t="s">
        <v>1146</v>
      </c>
      <c r="D498" s="31">
        <v>2</v>
      </c>
      <c r="E498" s="31">
        <v>6</v>
      </c>
      <c r="F498" s="31">
        <v>3</v>
      </c>
      <c r="G498" s="31">
        <v>0</v>
      </c>
      <c r="H498" s="32">
        <v>13.99</v>
      </c>
      <c r="I498">
        <v>11</v>
      </c>
      <c r="J498" s="33">
        <v>0</v>
      </c>
      <c r="K498" s="33">
        <v>0</v>
      </c>
      <c r="L498" s="33">
        <v>0</v>
      </c>
      <c r="M498">
        <v>11</v>
      </c>
      <c r="N498">
        <v>0</v>
      </c>
      <c r="O498">
        <v>0</v>
      </c>
      <c r="P498">
        <v>149</v>
      </c>
      <c r="Q498">
        <v>172</v>
      </c>
      <c r="R498">
        <v>0</v>
      </c>
      <c r="S498">
        <v>0</v>
      </c>
      <c r="T498">
        <v>3</v>
      </c>
      <c r="U498">
        <v>0</v>
      </c>
      <c r="V498">
        <v>0</v>
      </c>
      <c r="W498">
        <v>0</v>
      </c>
      <c r="X498" s="22">
        <v>0.0201342281879195</v>
      </c>
      <c r="Y498" s="22">
        <v>0</v>
      </c>
      <c r="Z498" s="22" t="s">
        <v>53</v>
      </c>
      <c r="AA498" s="22" t="s">
        <v>53</v>
      </c>
      <c r="AB498">
        <v>0.51</v>
      </c>
      <c r="AC498">
        <v>0</v>
      </c>
      <c r="AD498">
        <v>0</v>
      </c>
      <c r="AE498">
        <v>0</v>
      </c>
      <c r="AF498" s="22">
        <v>0.0182273052180129</v>
      </c>
      <c r="AG498" s="22" t="s">
        <v>53</v>
      </c>
      <c r="AH498" s="22" t="s">
        <v>53</v>
      </c>
      <c r="AI498" s="22" t="s">
        <v>53</v>
      </c>
      <c r="AJ498">
        <v>10</v>
      </c>
      <c r="AK498">
        <v>17</v>
      </c>
      <c r="AL498">
        <v>8</v>
      </c>
      <c r="AM498">
        <v>9</v>
      </c>
      <c r="AN498" s="22">
        <v>0.2</v>
      </c>
      <c r="AO498" s="22">
        <v>0.352941176470588</v>
      </c>
      <c r="AP498" s="22">
        <v>0.375</v>
      </c>
      <c r="AQ498" s="22">
        <v>0</v>
      </c>
      <c r="AR498" s="35">
        <v>0.285714285714286</v>
      </c>
      <c r="AS498" s="35">
        <v>17.1428571428571</v>
      </c>
      <c r="AT498" s="35">
        <v>-6.14285714285714</v>
      </c>
      <c r="AU498" s="31">
        <f t="shared" si="11"/>
        <v>38</v>
      </c>
      <c r="AV498" s="36">
        <f>IFERROR(时间!$B$4+AU498,"上周无销量")</f>
        <v>43356</v>
      </c>
    </row>
    <row r="499" spans="1:48">
      <c r="A499" s="20" t="s">
        <v>1151</v>
      </c>
      <c r="B499" t="s">
        <v>1152</v>
      </c>
      <c r="C499" t="s">
        <v>1146</v>
      </c>
      <c r="D499" s="31">
        <v>6</v>
      </c>
      <c r="E499" s="31">
        <v>3</v>
      </c>
      <c r="F499" s="31">
        <v>4</v>
      </c>
      <c r="G499" s="31">
        <v>2</v>
      </c>
      <c r="H499" s="32">
        <v>13.99</v>
      </c>
      <c r="I499">
        <v>2</v>
      </c>
      <c r="J499" s="33">
        <v>0</v>
      </c>
      <c r="K499" s="33">
        <v>0</v>
      </c>
      <c r="L499" s="33">
        <v>0</v>
      </c>
      <c r="M499">
        <v>2</v>
      </c>
      <c r="N499">
        <v>6</v>
      </c>
      <c r="O499">
        <v>0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33</v>
      </c>
      <c r="AK499">
        <v>44</v>
      </c>
      <c r="AL499">
        <v>35</v>
      </c>
      <c r="AM499">
        <v>14</v>
      </c>
      <c r="AN499" s="22">
        <v>0.181818181818182</v>
      </c>
      <c r="AO499" s="22">
        <v>0.0681818181818182</v>
      </c>
      <c r="AP499" s="22">
        <v>0.114285714285714</v>
      </c>
      <c r="AQ499" s="22">
        <v>0.142857142857143</v>
      </c>
      <c r="AR499" s="35">
        <v>0.857142857142857</v>
      </c>
      <c r="AS499" s="35">
        <v>51.4285714285714</v>
      </c>
      <c r="AT499" s="35">
        <v>-49.4285714285714</v>
      </c>
      <c r="AU499" s="31">
        <f t="shared" si="11"/>
        <v>2</v>
      </c>
      <c r="AV499" s="36">
        <f>IFERROR(时间!$B$4+AU499,"上周无销量")</f>
        <v>43320</v>
      </c>
    </row>
    <row r="500" spans="1:48">
      <c r="A500" s="20" t="s">
        <v>1153</v>
      </c>
      <c r="B500" t="s">
        <v>1154</v>
      </c>
      <c r="C500" t="s">
        <v>1146</v>
      </c>
      <c r="D500" s="31">
        <v>0</v>
      </c>
      <c r="E500" s="31">
        <v>6</v>
      </c>
      <c r="F500" s="31">
        <v>1</v>
      </c>
      <c r="G500" s="31">
        <v>0</v>
      </c>
      <c r="H500" s="32">
        <v>13.99</v>
      </c>
      <c r="I500">
        <v>10</v>
      </c>
      <c r="J500" s="33">
        <v>0</v>
      </c>
      <c r="K500" s="33">
        <v>0</v>
      </c>
      <c r="L500" s="33">
        <v>5</v>
      </c>
      <c r="M500">
        <v>15</v>
      </c>
      <c r="N500">
        <v>2</v>
      </c>
      <c r="O500">
        <v>2</v>
      </c>
      <c r="P500">
        <v>0</v>
      </c>
      <c r="Q500">
        <v>0</v>
      </c>
      <c r="R500">
        <v>0</v>
      </c>
      <c r="S500">
        <v>52</v>
      </c>
      <c r="T500">
        <v>0</v>
      </c>
      <c r="U500">
        <v>0</v>
      </c>
      <c r="V500">
        <v>0</v>
      </c>
      <c r="W500">
        <v>0</v>
      </c>
      <c r="X500" s="22" t="s">
        <v>53</v>
      </c>
      <c r="Y500" s="22" t="s">
        <v>53</v>
      </c>
      <c r="Z500" s="22" t="s">
        <v>53</v>
      </c>
      <c r="AA500" s="22">
        <v>0</v>
      </c>
      <c r="AB500">
        <v>0</v>
      </c>
      <c r="AC500">
        <v>0</v>
      </c>
      <c r="AD500">
        <v>0</v>
      </c>
      <c r="AE500">
        <v>0</v>
      </c>
      <c r="AF500" s="22" t="s">
        <v>53</v>
      </c>
      <c r="AG500" s="22" t="s">
        <v>53</v>
      </c>
      <c r="AH500" s="22" t="s">
        <v>53</v>
      </c>
      <c r="AI500" s="22" t="s">
        <v>53</v>
      </c>
      <c r="AJ500">
        <v>7</v>
      </c>
      <c r="AK500">
        <v>17</v>
      </c>
      <c r="AL500">
        <v>17</v>
      </c>
      <c r="AM500">
        <v>4</v>
      </c>
      <c r="AN500" s="22">
        <v>0</v>
      </c>
      <c r="AO500" s="22">
        <v>0.352941176470588</v>
      </c>
      <c r="AP500" s="22">
        <v>0.0588235294117647</v>
      </c>
      <c r="AQ500" s="22">
        <v>0</v>
      </c>
      <c r="AR500" s="35">
        <v>0</v>
      </c>
      <c r="AS500" s="35">
        <v>0</v>
      </c>
      <c r="AT500" s="35">
        <v>15</v>
      </c>
      <c r="AU500" s="31" t="str">
        <f t="shared" si="11"/>
        <v>库存为15</v>
      </c>
      <c r="AV500" s="36" t="str">
        <f>IFERROR(时间!$B$4+AU500,"上周无销量")</f>
        <v>上周无销量</v>
      </c>
    </row>
    <row r="501" spans="1:48">
      <c r="A501" s="20" t="s">
        <v>1155</v>
      </c>
      <c r="B501" t="s">
        <v>1156</v>
      </c>
      <c r="C501" t="s">
        <v>1146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20</v>
      </c>
      <c r="J501" s="33">
        <v>0</v>
      </c>
      <c r="K501" s="33">
        <v>0</v>
      </c>
      <c r="L501" s="33">
        <v>0</v>
      </c>
      <c r="M501">
        <v>20</v>
      </c>
      <c r="N501">
        <v>0</v>
      </c>
      <c r="O501">
        <v>0</v>
      </c>
      <c r="P501">
        <v>71</v>
      </c>
      <c r="Q501">
        <v>279</v>
      </c>
      <c r="R501">
        <v>1170</v>
      </c>
      <c r="S501">
        <v>168</v>
      </c>
      <c r="T501">
        <v>0</v>
      </c>
      <c r="U501">
        <v>0</v>
      </c>
      <c r="V501">
        <v>3</v>
      </c>
      <c r="W501">
        <v>1</v>
      </c>
      <c r="X501" s="22">
        <v>0</v>
      </c>
      <c r="Y501" s="22">
        <v>0</v>
      </c>
      <c r="Z501" s="22">
        <v>0.00256410256410256</v>
      </c>
      <c r="AA501" s="22">
        <v>0.00595238095238095</v>
      </c>
      <c r="AB501">
        <v>0</v>
      </c>
      <c r="AC501">
        <v>0</v>
      </c>
      <c r="AD501">
        <v>0.81</v>
      </c>
      <c r="AE501">
        <v>0.07</v>
      </c>
      <c r="AF501" s="22" t="s">
        <v>53</v>
      </c>
      <c r="AG501" s="22" t="s">
        <v>53</v>
      </c>
      <c r="AH501" s="22" t="s">
        <v>1157</v>
      </c>
      <c r="AI501" s="22" t="s">
        <v>1158</v>
      </c>
      <c r="AJ501">
        <v>8</v>
      </c>
      <c r="AK501">
        <v>3</v>
      </c>
      <c r="AL501">
        <v>17</v>
      </c>
      <c r="AM501">
        <v>14</v>
      </c>
      <c r="AN501" s="22">
        <v>0</v>
      </c>
      <c r="AO501" s="22">
        <v>0</v>
      </c>
      <c r="AP501" s="22">
        <v>0</v>
      </c>
      <c r="AQ501" s="22">
        <v>0</v>
      </c>
      <c r="AR501" s="35">
        <v>0</v>
      </c>
      <c r="AS501" s="35">
        <v>0</v>
      </c>
      <c r="AT501" s="35">
        <v>20</v>
      </c>
      <c r="AU501" s="31" t="str">
        <f t="shared" si="11"/>
        <v>库存为20</v>
      </c>
      <c r="AV501" s="36" t="str">
        <f>IFERROR(时间!$B$4+AU501,"上周无销量")</f>
        <v>上周无销量</v>
      </c>
    </row>
    <row r="502" spans="1:48">
      <c r="A502" s="20" t="s">
        <v>1159</v>
      </c>
      <c r="B502" t="s">
        <v>1160</v>
      </c>
      <c r="C502" t="s">
        <v>1146</v>
      </c>
      <c r="D502" s="31">
        <v>0</v>
      </c>
      <c r="E502" s="31">
        <v>4</v>
      </c>
      <c r="F502" s="31">
        <v>3</v>
      </c>
      <c r="G502" s="31">
        <v>0</v>
      </c>
      <c r="H502" s="32">
        <v>13.99</v>
      </c>
      <c r="I502">
        <v>25</v>
      </c>
      <c r="J502" s="33">
        <v>0</v>
      </c>
      <c r="K502" s="33">
        <v>0</v>
      </c>
      <c r="L502" s="33">
        <v>0</v>
      </c>
      <c r="M502">
        <v>25</v>
      </c>
      <c r="N502">
        <v>0</v>
      </c>
      <c r="O502">
        <v>0</v>
      </c>
      <c r="P502">
        <v>0</v>
      </c>
      <c r="Q502">
        <v>425</v>
      </c>
      <c r="R502">
        <v>4136</v>
      </c>
      <c r="S502">
        <v>1565</v>
      </c>
      <c r="T502">
        <v>0</v>
      </c>
      <c r="U502">
        <v>0</v>
      </c>
      <c r="V502">
        <v>6</v>
      </c>
      <c r="W502">
        <v>3</v>
      </c>
      <c r="X502" s="22" t="s">
        <v>53</v>
      </c>
      <c r="Y502" s="22">
        <v>0</v>
      </c>
      <c r="Z502" s="22">
        <v>0.00145067698259188</v>
      </c>
      <c r="AA502" s="22">
        <v>0.00191693290734824</v>
      </c>
      <c r="AB502">
        <v>0</v>
      </c>
      <c r="AC502">
        <v>0</v>
      </c>
      <c r="AD502">
        <v>1.24</v>
      </c>
      <c r="AE502">
        <v>0.63</v>
      </c>
      <c r="AF502" s="22" t="s">
        <v>53</v>
      </c>
      <c r="AG502" s="22" t="s">
        <v>53</v>
      </c>
      <c r="AH502" s="22">
        <v>0.0295449130331189</v>
      </c>
      <c r="AI502" s="22" t="s">
        <v>1161</v>
      </c>
      <c r="AJ502">
        <v>10</v>
      </c>
      <c r="AK502">
        <v>14</v>
      </c>
      <c r="AL502">
        <v>22</v>
      </c>
      <c r="AM502">
        <v>11</v>
      </c>
      <c r="AN502" s="22">
        <v>0</v>
      </c>
      <c r="AO502" s="22">
        <v>0.285714285714286</v>
      </c>
      <c r="AP502" s="22">
        <v>0.136363636363636</v>
      </c>
      <c r="AQ502" s="22">
        <v>0</v>
      </c>
      <c r="AR502" s="35">
        <v>0</v>
      </c>
      <c r="AS502" s="35">
        <v>0</v>
      </c>
      <c r="AT502" s="35">
        <v>25</v>
      </c>
      <c r="AU502" s="31" t="str">
        <f t="shared" si="11"/>
        <v>库存为25</v>
      </c>
      <c r="AV502" s="36" t="str">
        <f>IFERROR(时间!$B$4+AU502,"上周无销量")</f>
        <v>上周无销量</v>
      </c>
    </row>
    <row r="503" spans="1:48">
      <c r="A503" s="20" t="s">
        <v>1162</v>
      </c>
      <c r="B503" t="s">
        <v>1163</v>
      </c>
      <c r="C503" t="s">
        <v>1146</v>
      </c>
      <c r="D503" s="31">
        <v>0</v>
      </c>
      <c r="E503" s="31">
        <v>0</v>
      </c>
      <c r="F503" s="31">
        <v>0</v>
      </c>
      <c r="G503" s="31">
        <v>1</v>
      </c>
      <c r="H503" s="32">
        <v>13.99</v>
      </c>
      <c r="I503">
        <v>6</v>
      </c>
      <c r="J503" s="33">
        <v>0</v>
      </c>
      <c r="K503" s="33">
        <v>0</v>
      </c>
      <c r="L503" s="33">
        <v>0</v>
      </c>
      <c r="M503">
        <v>6</v>
      </c>
      <c r="N503">
        <v>0</v>
      </c>
      <c r="O503">
        <v>6</v>
      </c>
      <c r="P503" t="s">
        <v>53</v>
      </c>
      <c r="Q503" t="s">
        <v>53</v>
      </c>
      <c r="R503" t="s">
        <v>53</v>
      </c>
      <c r="S503" t="s">
        <v>53</v>
      </c>
      <c r="T503" t="s">
        <v>53</v>
      </c>
      <c r="U503" t="s">
        <v>53</v>
      </c>
      <c r="V503" t="s">
        <v>53</v>
      </c>
      <c r="W503" t="s">
        <v>53</v>
      </c>
      <c r="X503" s="22" t="s">
        <v>53</v>
      </c>
      <c r="Y503" s="22" t="s">
        <v>53</v>
      </c>
      <c r="Z503" s="22" t="s">
        <v>53</v>
      </c>
      <c r="AA503" s="22" t="s">
        <v>53</v>
      </c>
      <c r="AB503" t="s">
        <v>53</v>
      </c>
      <c r="AC503" t="s">
        <v>53</v>
      </c>
      <c r="AD503" t="s">
        <v>53</v>
      </c>
      <c r="AE503" t="s">
        <v>53</v>
      </c>
      <c r="AF503" s="22" t="s">
        <v>53</v>
      </c>
      <c r="AG503" s="22" t="s">
        <v>53</v>
      </c>
      <c r="AH503" s="22" t="s">
        <v>53</v>
      </c>
      <c r="AI503" s="22" t="s">
        <v>53</v>
      </c>
      <c r="AJ503">
        <v>11</v>
      </c>
      <c r="AK503">
        <v>18</v>
      </c>
      <c r="AL503">
        <v>22</v>
      </c>
      <c r="AM503">
        <v>9</v>
      </c>
      <c r="AN503" s="22">
        <v>0</v>
      </c>
      <c r="AO503" s="22">
        <v>0</v>
      </c>
      <c r="AP503" s="22">
        <v>0</v>
      </c>
      <c r="AQ503" s="22">
        <v>0.111111111111111</v>
      </c>
      <c r="AR503" s="35">
        <v>0</v>
      </c>
      <c r="AS503" s="35">
        <v>0</v>
      </c>
      <c r="AT503" s="35">
        <v>6</v>
      </c>
      <c r="AU503" s="31" t="str">
        <f t="shared" si="11"/>
        <v>库存为6</v>
      </c>
      <c r="AV503" s="36" t="str">
        <f>IFERROR(时间!$B$4+AU503,"上周无销量")</f>
        <v>上周无销量</v>
      </c>
    </row>
    <row r="504" spans="1:48">
      <c r="A504" s="20" t="s">
        <v>1164</v>
      </c>
      <c r="B504" t="s">
        <v>1165</v>
      </c>
      <c r="C504" t="s">
        <v>1146</v>
      </c>
      <c r="D504" s="31">
        <v>0</v>
      </c>
      <c r="E504" s="31">
        <v>0</v>
      </c>
      <c r="F504" s="31">
        <v>2</v>
      </c>
      <c r="G504" s="31">
        <v>0</v>
      </c>
      <c r="H504" s="32">
        <v>13.99</v>
      </c>
      <c r="I504">
        <v>8</v>
      </c>
      <c r="J504" s="33">
        <v>0</v>
      </c>
      <c r="K504" s="33">
        <v>0</v>
      </c>
      <c r="L504" s="33">
        <v>5</v>
      </c>
      <c r="M504">
        <v>13</v>
      </c>
      <c r="N504">
        <v>0</v>
      </c>
      <c r="O504">
        <v>0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8</v>
      </c>
      <c r="AK504">
        <v>11</v>
      </c>
      <c r="AL504">
        <v>7</v>
      </c>
      <c r="AM504">
        <v>9</v>
      </c>
      <c r="AN504" s="22">
        <v>0</v>
      </c>
      <c r="AO504" s="22">
        <v>0</v>
      </c>
      <c r="AP504" s="22">
        <v>0.285714285714286</v>
      </c>
      <c r="AQ504" s="22">
        <v>0</v>
      </c>
      <c r="AR504" s="35">
        <v>0</v>
      </c>
      <c r="AS504" s="35">
        <v>0</v>
      </c>
      <c r="AT504" s="35">
        <v>13</v>
      </c>
      <c r="AU504" s="31" t="str">
        <f t="shared" si="11"/>
        <v>库存为13</v>
      </c>
      <c r="AV504" s="36" t="str">
        <f>IFERROR(时间!$B$4+AU504,"上周无销量")</f>
        <v>上周无销量</v>
      </c>
    </row>
    <row r="505" spans="1:48">
      <c r="A505" s="20" t="s">
        <v>1166</v>
      </c>
      <c r="B505" t="s">
        <v>1167</v>
      </c>
      <c r="C505" t="s">
        <v>1146</v>
      </c>
      <c r="D505" s="31">
        <v>0</v>
      </c>
      <c r="E505" s="31">
        <v>3</v>
      </c>
      <c r="F505" s="31">
        <v>3</v>
      </c>
      <c r="G505" s="31">
        <v>0</v>
      </c>
      <c r="H505" s="32">
        <v>13.99</v>
      </c>
      <c r="I505">
        <v>20</v>
      </c>
      <c r="J505" s="33">
        <v>0</v>
      </c>
      <c r="K505" s="33">
        <v>0</v>
      </c>
      <c r="L505" s="33">
        <v>0</v>
      </c>
      <c r="M505">
        <v>20</v>
      </c>
      <c r="N505">
        <v>0</v>
      </c>
      <c r="O505">
        <v>0</v>
      </c>
      <c r="P505">
        <v>131</v>
      </c>
      <c r="Q505">
        <v>341</v>
      </c>
      <c r="R505">
        <v>804</v>
      </c>
      <c r="S505">
        <v>302</v>
      </c>
      <c r="T505">
        <v>1</v>
      </c>
      <c r="U505">
        <v>2</v>
      </c>
      <c r="V505">
        <v>8</v>
      </c>
      <c r="W505">
        <v>1</v>
      </c>
      <c r="X505" s="22">
        <v>0.00763358778625954</v>
      </c>
      <c r="Y505" s="22">
        <v>0.00586510263929619</v>
      </c>
      <c r="Z505" s="22">
        <v>0.00995024875621891</v>
      </c>
      <c r="AA505" s="22">
        <v>0.0033112582781457</v>
      </c>
      <c r="AB505">
        <v>0.25</v>
      </c>
      <c r="AC505">
        <v>0.43</v>
      </c>
      <c r="AD505">
        <v>2.21</v>
      </c>
      <c r="AE505">
        <v>0.27</v>
      </c>
      <c r="AF505" s="22" t="s">
        <v>1168</v>
      </c>
      <c r="AG505" s="22">
        <v>0.010245413390517</v>
      </c>
      <c r="AH505" s="22">
        <v>0.0526566595187038</v>
      </c>
      <c r="AI505" s="22" t="s">
        <v>541</v>
      </c>
      <c r="AJ505">
        <v>14</v>
      </c>
      <c r="AK505">
        <v>21</v>
      </c>
      <c r="AL505">
        <v>26</v>
      </c>
      <c r="AM505">
        <v>17</v>
      </c>
      <c r="AN505" s="22">
        <v>0</v>
      </c>
      <c r="AO505" s="22">
        <v>0.142857142857143</v>
      </c>
      <c r="AP505" s="22">
        <v>0.115384615384615</v>
      </c>
      <c r="AQ505" s="22">
        <v>0</v>
      </c>
      <c r="AR505" s="35">
        <v>0</v>
      </c>
      <c r="AS505" s="35">
        <v>0</v>
      </c>
      <c r="AT505" s="35">
        <v>20</v>
      </c>
      <c r="AU505" s="31" t="str">
        <f t="shared" si="11"/>
        <v>库存为20</v>
      </c>
      <c r="AV505" s="36" t="str">
        <f>IFERROR(时间!$B$4+AU505,"上周无销量")</f>
        <v>上周无销量</v>
      </c>
    </row>
    <row r="506" spans="1:48">
      <c r="A506" s="20" t="s">
        <v>1169</v>
      </c>
      <c r="B506" t="s">
        <v>1170</v>
      </c>
      <c r="C506" t="s">
        <v>1169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2</v>
      </c>
      <c r="J506" s="33">
        <v>0</v>
      </c>
      <c r="K506" s="33">
        <v>0</v>
      </c>
      <c r="L506" s="33">
        <v>0</v>
      </c>
      <c r="M506">
        <v>2</v>
      </c>
      <c r="N506">
        <v>0</v>
      </c>
      <c r="O506">
        <v>2</v>
      </c>
      <c r="P506" t="s">
        <v>53</v>
      </c>
      <c r="Q506" t="s">
        <v>53</v>
      </c>
      <c r="R506" t="s">
        <v>53</v>
      </c>
      <c r="S506" t="s">
        <v>53</v>
      </c>
      <c r="T506" t="s">
        <v>53</v>
      </c>
      <c r="U506" t="s">
        <v>53</v>
      </c>
      <c r="V506" t="s">
        <v>53</v>
      </c>
      <c r="W506" t="s">
        <v>53</v>
      </c>
      <c r="X506" s="22" t="s">
        <v>53</v>
      </c>
      <c r="Y506" s="22" t="s">
        <v>53</v>
      </c>
      <c r="Z506" s="22" t="s">
        <v>53</v>
      </c>
      <c r="AA506" s="22" t="s">
        <v>53</v>
      </c>
      <c r="AB506" t="s">
        <v>53</v>
      </c>
      <c r="AC506" t="s">
        <v>53</v>
      </c>
      <c r="AD506" t="s">
        <v>53</v>
      </c>
      <c r="AE506" t="s">
        <v>53</v>
      </c>
      <c r="AF506" s="22" t="s">
        <v>53</v>
      </c>
      <c r="AG506" s="22" t="s">
        <v>53</v>
      </c>
      <c r="AH506" s="22" t="s">
        <v>53</v>
      </c>
      <c r="AI506" s="22" t="s">
        <v>53</v>
      </c>
      <c r="AJ506">
        <v>0</v>
      </c>
      <c r="AK506">
        <v>0</v>
      </c>
      <c r="AL506">
        <v>0</v>
      </c>
      <c r="AM506">
        <v>0</v>
      </c>
      <c r="AN506" s="22" t="s">
        <v>53</v>
      </c>
      <c r="AO506" s="22" t="s">
        <v>53</v>
      </c>
      <c r="AP506" s="22" t="s">
        <v>53</v>
      </c>
      <c r="AQ506" s="22" t="s">
        <v>53</v>
      </c>
      <c r="AR506" s="35">
        <v>0</v>
      </c>
      <c r="AS506" s="35">
        <v>0</v>
      </c>
      <c r="AT506" s="35">
        <v>2</v>
      </c>
      <c r="AU506" s="31" t="str">
        <f t="shared" si="11"/>
        <v>库存为2</v>
      </c>
      <c r="AV506" s="36" t="str">
        <f>IFERROR(时间!$B$4+AU506,"上周无销量")</f>
        <v>上周无销量</v>
      </c>
    </row>
    <row r="507" spans="1:48">
      <c r="A507" s="20" t="s">
        <v>1171</v>
      </c>
      <c r="B507" t="s">
        <v>1172</v>
      </c>
      <c r="C507" t="s">
        <v>1173</v>
      </c>
      <c r="D507" s="31">
        <v>162</v>
      </c>
      <c r="E507" s="31">
        <v>71</v>
      </c>
      <c r="F507" s="31">
        <v>3</v>
      </c>
      <c r="G507" s="31">
        <v>124</v>
      </c>
      <c r="H507" s="32">
        <v>22.7790277777776</v>
      </c>
      <c r="I507">
        <v>262</v>
      </c>
      <c r="J507" s="33">
        <v>350</v>
      </c>
      <c r="K507" s="33">
        <v>0</v>
      </c>
      <c r="L507" s="33">
        <v>10</v>
      </c>
      <c r="M507">
        <v>622</v>
      </c>
      <c r="N507">
        <v>2</v>
      </c>
      <c r="O507">
        <v>0</v>
      </c>
      <c r="P507" t="s">
        <v>53</v>
      </c>
      <c r="Q507" t="s">
        <v>53</v>
      </c>
      <c r="R507" t="s">
        <v>53</v>
      </c>
      <c r="S507" t="s">
        <v>53</v>
      </c>
      <c r="T507" t="s">
        <v>53</v>
      </c>
      <c r="U507" t="s">
        <v>53</v>
      </c>
      <c r="V507" t="s">
        <v>53</v>
      </c>
      <c r="W507" t="s">
        <v>53</v>
      </c>
      <c r="X507" s="22" t="s">
        <v>53</v>
      </c>
      <c r="Y507" s="22" t="s">
        <v>53</v>
      </c>
      <c r="Z507" s="22" t="s">
        <v>53</v>
      </c>
      <c r="AA507" s="22" t="s">
        <v>53</v>
      </c>
      <c r="AB507" t="s">
        <v>53</v>
      </c>
      <c r="AC507" t="s">
        <v>53</v>
      </c>
      <c r="AD507" t="s">
        <v>53</v>
      </c>
      <c r="AE507" t="s">
        <v>53</v>
      </c>
      <c r="AF507" s="22" t="s">
        <v>53</v>
      </c>
      <c r="AG507" s="22" t="s">
        <v>53</v>
      </c>
      <c r="AH507" s="22" t="s">
        <v>53</v>
      </c>
      <c r="AI507" s="22" t="s">
        <v>53</v>
      </c>
      <c r="AJ507">
        <v>799</v>
      </c>
      <c r="AK507">
        <v>636</v>
      </c>
      <c r="AL507">
        <v>1075</v>
      </c>
      <c r="AM507">
        <v>786</v>
      </c>
      <c r="AN507" s="22">
        <v>0.202753441802253</v>
      </c>
      <c r="AO507" s="22">
        <v>0.111635220125786</v>
      </c>
      <c r="AP507" s="22">
        <v>0.0027906976744186</v>
      </c>
      <c r="AQ507" s="22">
        <v>0.157760814249364</v>
      </c>
      <c r="AR507" s="35">
        <v>23.1428571428571</v>
      </c>
      <c r="AS507" s="35">
        <v>1388.57142857143</v>
      </c>
      <c r="AT507" s="35">
        <v>-766.571428571428</v>
      </c>
      <c r="AU507" s="31">
        <f t="shared" si="11"/>
        <v>26</v>
      </c>
      <c r="AV507" s="36">
        <f>IFERROR(时间!$B$4+AU507,"上周无销量")</f>
        <v>43344</v>
      </c>
    </row>
    <row r="508" spans="1:48">
      <c r="A508" s="20" t="s">
        <v>1174</v>
      </c>
      <c r="B508" t="s">
        <v>1175</v>
      </c>
      <c r="C508" t="s">
        <v>1173</v>
      </c>
      <c r="D508" s="31">
        <v>324</v>
      </c>
      <c r="E508" s="31">
        <v>263</v>
      </c>
      <c r="F508" s="31">
        <v>278</v>
      </c>
      <c r="G508" s="31">
        <v>77</v>
      </c>
      <c r="H508" s="32">
        <v>22.9900000000002</v>
      </c>
      <c r="I508">
        <v>463</v>
      </c>
      <c r="J508" s="33">
        <v>500</v>
      </c>
      <c r="K508" s="33">
        <v>1</v>
      </c>
      <c r="L508" s="33">
        <v>16</v>
      </c>
      <c r="M508">
        <v>980</v>
      </c>
      <c r="N508">
        <v>9</v>
      </c>
      <c r="O508">
        <v>0</v>
      </c>
      <c r="P508">
        <v>46246</v>
      </c>
      <c r="Q508">
        <v>23079</v>
      </c>
      <c r="R508">
        <v>9094</v>
      </c>
      <c r="S508">
        <v>7667</v>
      </c>
      <c r="T508">
        <v>209</v>
      </c>
      <c r="U508">
        <v>143</v>
      </c>
      <c r="V508">
        <v>58</v>
      </c>
      <c r="W508">
        <v>50</v>
      </c>
      <c r="X508" s="22">
        <v>0.00451930977814297</v>
      </c>
      <c r="Y508" s="22">
        <v>0.00619610901685515</v>
      </c>
      <c r="Z508" s="22">
        <v>0.00637783153727733</v>
      </c>
      <c r="AA508" s="22">
        <v>0.00652145558888744</v>
      </c>
      <c r="AB508">
        <v>119.44</v>
      </c>
      <c r="AC508">
        <v>88.37</v>
      </c>
      <c r="AD508">
        <v>28.7</v>
      </c>
      <c r="AE508">
        <v>27.35</v>
      </c>
      <c r="AF508" s="22">
        <v>0.016034883658488</v>
      </c>
      <c r="AG508" s="22">
        <v>0.014615380798727</v>
      </c>
      <c r="AH508" s="22">
        <v>0.00449053545332499</v>
      </c>
      <c r="AI508" s="22">
        <v>0.0154499697779383</v>
      </c>
      <c r="AJ508">
        <v>2544</v>
      </c>
      <c r="AK508">
        <v>2494</v>
      </c>
      <c r="AL508">
        <v>2117</v>
      </c>
      <c r="AM508">
        <v>1330</v>
      </c>
      <c r="AN508" s="22">
        <v>0.127358490566038</v>
      </c>
      <c r="AO508" s="22">
        <v>0.105453087409783</v>
      </c>
      <c r="AP508" s="22">
        <v>0.131317902692489</v>
      </c>
      <c r="AQ508" s="22">
        <v>0.0578947368421053</v>
      </c>
      <c r="AR508" s="35">
        <v>46.2857142857143</v>
      </c>
      <c r="AS508" s="35">
        <v>2777.14285714286</v>
      </c>
      <c r="AT508" s="35">
        <v>-1797.14285714286</v>
      </c>
      <c r="AU508" s="31">
        <f t="shared" si="11"/>
        <v>21</v>
      </c>
      <c r="AV508" s="36">
        <f>IFERROR(时间!$B$4+AU508,"上周无销量")</f>
        <v>43339</v>
      </c>
    </row>
    <row r="509" spans="1:48">
      <c r="A509" s="20" t="s">
        <v>1176</v>
      </c>
      <c r="B509" t="s">
        <v>1177</v>
      </c>
      <c r="C509" t="s">
        <v>1173</v>
      </c>
      <c r="D509" s="31">
        <v>90</v>
      </c>
      <c r="E509" s="31">
        <v>117</v>
      </c>
      <c r="F509" s="31">
        <v>109</v>
      </c>
      <c r="G509" s="31">
        <v>63</v>
      </c>
      <c r="H509" s="32">
        <v>23.0903693931397</v>
      </c>
      <c r="I509">
        <v>246</v>
      </c>
      <c r="J509" s="33">
        <v>2</v>
      </c>
      <c r="K509" s="33">
        <v>0</v>
      </c>
      <c r="L509" s="33">
        <v>11</v>
      </c>
      <c r="M509">
        <v>259</v>
      </c>
      <c r="N509">
        <v>3</v>
      </c>
      <c r="O509">
        <v>0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557</v>
      </c>
      <c r="AK509">
        <v>855</v>
      </c>
      <c r="AL509">
        <v>1652</v>
      </c>
      <c r="AM509">
        <v>568</v>
      </c>
      <c r="AN509" s="22">
        <v>0.161579892280072</v>
      </c>
      <c r="AO509" s="22">
        <v>0.136842105263158</v>
      </c>
      <c r="AP509" s="22">
        <v>0.0659806295399516</v>
      </c>
      <c r="AQ509" s="22">
        <v>0.110915492957746</v>
      </c>
      <c r="AR509" s="35">
        <v>12.8571428571429</v>
      </c>
      <c r="AS509" s="35">
        <v>771.428571428571</v>
      </c>
      <c r="AT509" s="35">
        <v>-512.428571428571</v>
      </c>
      <c r="AU509" s="31">
        <f t="shared" si="11"/>
        <v>20</v>
      </c>
      <c r="AV509" s="36">
        <f>IFERROR(时间!$B$4+AU509,"上周无销量")</f>
        <v>43338</v>
      </c>
    </row>
    <row r="510" spans="1:48">
      <c r="A510" s="20" t="s">
        <v>1178</v>
      </c>
      <c r="B510" t="s">
        <v>1179</v>
      </c>
      <c r="C510" t="s">
        <v>1173</v>
      </c>
      <c r="D510" s="31">
        <v>64</v>
      </c>
      <c r="E510" s="31">
        <v>36</v>
      </c>
      <c r="F510" s="31">
        <v>50</v>
      </c>
      <c r="G510" s="31">
        <v>16</v>
      </c>
      <c r="H510" s="32">
        <v>22.8153012048192</v>
      </c>
      <c r="I510">
        <v>76</v>
      </c>
      <c r="J510" s="33">
        <v>145</v>
      </c>
      <c r="K510" s="33">
        <v>0</v>
      </c>
      <c r="L510" s="33">
        <v>3</v>
      </c>
      <c r="M510">
        <v>224</v>
      </c>
      <c r="N510">
        <v>1</v>
      </c>
      <c r="O510">
        <v>0</v>
      </c>
      <c r="P510">
        <v>0</v>
      </c>
      <c r="Q510">
        <v>217</v>
      </c>
      <c r="R510">
        <v>650</v>
      </c>
      <c r="S510">
        <v>583</v>
      </c>
      <c r="T510">
        <v>0</v>
      </c>
      <c r="U510">
        <v>3</v>
      </c>
      <c r="V510">
        <v>4</v>
      </c>
      <c r="W510">
        <v>2</v>
      </c>
      <c r="X510" s="22" t="s">
        <v>53</v>
      </c>
      <c r="Y510" s="22">
        <v>0.0138248847926267</v>
      </c>
      <c r="Z510" s="22">
        <v>0.00615384615384615</v>
      </c>
      <c r="AA510" s="22">
        <v>0.00343053173241852</v>
      </c>
      <c r="AB510">
        <v>0</v>
      </c>
      <c r="AC510">
        <v>0.38</v>
      </c>
      <c r="AD510">
        <v>0.63</v>
      </c>
      <c r="AE510">
        <v>1.12</v>
      </c>
      <c r="AF510" s="22" t="s">
        <v>53</v>
      </c>
      <c r="AG510" s="22">
        <v>0.00046265247435462</v>
      </c>
      <c r="AH510" s="22">
        <v>0.000552260953598042</v>
      </c>
      <c r="AI510" s="22">
        <v>0.00306811640887801</v>
      </c>
      <c r="AJ510">
        <v>657</v>
      </c>
      <c r="AK510">
        <v>379</v>
      </c>
      <c r="AL510">
        <v>543</v>
      </c>
      <c r="AM510">
        <v>265</v>
      </c>
      <c r="AN510" s="22">
        <v>0.0974124809741248</v>
      </c>
      <c r="AO510" s="22">
        <v>0.0949868073878628</v>
      </c>
      <c r="AP510" s="22">
        <v>0.0920810313075506</v>
      </c>
      <c r="AQ510" s="22">
        <v>0.060377358490566</v>
      </c>
      <c r="AR510" s="35">
        <v>9.14285714285714</v>
      </c>
      <c r="AS510" s="35">
        <v>548.571428571429</v>
      </c>
      <c r="AT510" s="35">
        <v>-324.571428571429</v>
      </c>
      <c r="AU510" s="31">
        <f t="shared" si="11"/>
        <v>24</v>
      </c>
      <c r="AV510" s="36">
        <f>IFERROR(时间!$B$4+AU510,"上周无销量")</f>
        <v>43342</v>
      </c>
    </row>
    <row r="511" spans="1:48">
      <c r="A511" s="20" t="s">
        <v>1180</v>
      </c>
      <c r="B511" t="s">
        <v>1181</v>
      </c>
      <c r="C511" t="s">
        <v>1173</v>
      </c>
      <c r="D511" s="31">
        <v>294</v>
      </c>
      <c r="E511" s="31">
        <v>288</v>
      </c>
      <c r="F511" s="31">
        <v>328</v>
      </c>
      <c r="G511" s="31">
        <v>168</v>
      </c>
      <c r="H511" s="32">
        <v>23.4194990723566</v>
      </c>
      <c r="I511">
        <v>649</v>
      </c>
      <c r="J511" s="33">
        <v>200</v>
      </c>
      <c r="K511" s="33">
        <v>0</v>
      </c>
      <c r="L511" s="33">
        <v>80</v>
      </c>
      <c r="M511">
        <v>929</v>
      </c>
      <c r="N511">
        <v>5</v>
      </c>
      <c r="O511">
        <v>0</v>
      </c>
      <c r="P511">
        <v>278114</v>
      </c>
      <c r="Q511">
        <v>200764</v>
      </c>
      <c r="R511">
        <v>162294</v>
      </c>
      <c r="S511">
        <v>171264</v>
      </c>
      <c r="T511">
        <v>768</v>
      </c>
      <c r="U511">
        <v>625</v>
      </c>
      <c r="V511">
        <v>420</v>
      </c>
      <c r="W511">
        <v>454</v>
      </c>
      <c r="X511" s="22">
        <v>0.00276145753180351</v>
      </c>
      <c r="Y511" s="22">
        <v>0.00311310792771612</v>
      </c>
      <c r="Z511" s="22">
        <v>0.00258789604051906</v>
      </c>
      <c r="AA511" s="22">
        <v>0.00265087817638266</v>
      </c>
      <c r="AB511">
        <v>414.32</v>
      </c>
      <c r="AC511">
        <v>377.15</v>
      </c>
      <c r="AD511">
        <v>215.97</v>
      </c>
      <c r="AE511">
        <v>231.25</v>
      </c>
      <c r="AF511" s="22">
        <v>0.0601742887978204</v>
      </c>
      <c r="AG511" s="22">
        <v>0.0559170205590284</v>
      </c>
      <c r="AH511" s="22">
        <v>0.0281152521630328</v>
      </c>
      <c r="AI511" s="22">
        <v>0.0587753004872271</v>
      </c>
      <c r="AJ511">
        <v>3111</v>
      </c>
      <c r="AK511">
        <v>3061</v>
      </c>
      <c r="AL511">
        <v>2712</v>
      </c>
      <c r="AM511">
        <v>1622</v>
      </c>
      <c r="AN511" s="22">
        <v>0.09450337512054</v>
      </c>
      <c r="AO511" s="22">
        <v>0.0940868997059784</v>
      </c>
      <c r="AP511" s="22">
        <v>0.12094395280236</v>
      </c>
      <c r="AQ511" s="22">
        <v>0.103575832305795</v>
      </c>
      <c r="AR511" s="35">
        <v>42</v>
      </c>
      <c r="AS511" s="35">
        <v>2520</v>
      </c>
      <c r="AT511" s="35">
        <v>-1591</v>
      </c>
      <c r="AU511" s="31">
        <f t="shared" si="11"/>
        <v>22</v>
      </c>
      <c r="AV511" s="36">
        <f>IFERROR(时间!$B$4+AU511,"上周无销量")</f>
        <v>43340</v>
      </c>
    </row>
    <row r="512" spans="1:48">
      <c r="A512" s="20" t="s">
        <v>1182</v>
      </c>
      <c r="B512" t="s">
        <v>1183</v>
      </c>
      <c r="C512" t="s">
        <v>1173</v>
      </c>
      <c r="D512" s="31">
        <v>18</v>
      </c>
      <c r="E512" s="31">
        <v>33</v>
      </c>
      <c r="F512" s="31">
        <v>20</v>
      </c>
      <c r="G512" s="31">
        <v>7</v>
      </c>
      <c r="H512" s="32">
        <v>22.233717948718</v>
      </c>
      <c r="I512">
        <v>10</v>
      </c>
      <c r="J512" s="33">
        <v>0</v>
      </c>
      <c r="K512" s="33">
        <v>0</v>
      </c>
      <c r="L512" s="33">
        <v>56</v>
      </c>
      <c r="M512">
        <v>66</v>
      </c>
      <c r="N512">
        <v>0</v>
      </c>
      <c r="O512">
        <v>0</v>
      </c>
      <c r="P512" t="s">
        <v>53</v>
      </c>
      <c r="Q512" t="s">
        <v>53</v>
      </c>
      <c r="R512" t="s">
        <v>53</v>
      </c>
      <c r="S512" t="s">
        <v>53</v>
      </c>
      <c r="T512" t="s">
        <v>53</v>
      </c>
      <c r="U512" t="s">
        <v>53</v>
      </c>
      <c r="V512" t="s">
        <v>53</v>
      </c>
      <c r="W512" t="s">
        <v>53</v>
      </c>
      <c r="X512" s="22" t="s">
        <v>53</v>
      </c>
      <c r="Y512" s="22" t="s">
        <v>53</v>
      </c>
      <c r="Z512" s="22" t="s">
        <v>53</v>
      </c>
      <c r="AA512" s="22" t="s">
        <v>53</v>
      </c>
      <c r="AB512" t="s">
        <v>53</v>
      </c>
      <c r="AC512" t="s">
        <v>53</v>
      </c>
      <c r="AD512" t="s">
        <v>53</v>
      </c>
      <c r="AE512" t="s">
        <v>53</v>
      </c>
      <c r="AF512" s="22" t="s">
        <v>53</v>
      </c>
      <c r="AG512" s="22" t="s">
        <v>53</v>
      </c>
      <c r="AH512" s="22" t="s">
        <v>53</v>
      </c>
      <c r="AI512" s="22" t="s">
        <v>53</v>
      </c>
      <c r="AJ512">
        <v>468</v>
      </c>
      <c r="AK512">
        <v>627</v>
      </c>
      <c r="AL512">
        <v>402</v>
      </c>
      <c r="AM512">
        <v>149</v>
      </c>
      <c r="AN512" s="22">
        <v>0.0384615384615385</v>
      </c>
      <c r="AO512" s="22">
        <v>0.0526315789473684</v>
      </c>
      <c r="AP512" s="22">
        <v>0.0497512437810945</v>
      </c>
      <c r="AQ512" s="22">
        <v>0.0469798657718121</v>
      </c>
      <c r="AR512" s="35">
        <v>2.57142857142857</v>
      </c>
      <c r="AS512" s="35">
        <v>154.285714285714</v>
      </c>
      <c r="AT512" s="35">
        <v>-88.2857142857143</v>
      </c>
      <c r="AU512" s="31">
        <f t="shared" si="11"/>
        <v>25</v>
      </c>
      <c r="AV512" s="36">
        <f>IFERROR(时间!$B$4+AU512,"上周无销量")</f>
        <v>43343</v>
      </c>
    </row>
    <row r="513" spans="1:48">
      <c r="A513" s="20" t="s">
        <v>1184</v>
      </c>
      <c r="B513" t="s">
        <v>1185</v>
      </c>
      <c r="C513" t="s">
        <v>1173</v>
      </c>
      <c r="D513" s="31">
        <v>26</v>
      </c>
      <c r="E513" s="31">
        <v>19</v>
      </c>
      <c r="F513" s="31">
        <v>22</v>
      </c>
      <c r="G513" s="31">
        <v>6</v>
      </c>
      <c r="H513" s="32">
        <v>22.6612328767123</v>
      </c>
      <c r="I513">
        <v>38</v>
      </c>
      <c r="J513" s="33">
        <v>35</v>
      </c>
      <c r="K513" s="33">
        <v>0</v>
      </c>
      <c r="L513" s="33">
        <v>2</v>
      </c>
      <c r="M513">
        <v>75</v>
      </c>
      <c r="N513">
        <v>0</v>
      </c>
      <c r="O513">
        <v>0</v>
      </c>
      <c r="P513" t="s">
        <v>53</v>
      </c>
      <c r="Q513" t="s">
        <v>53</v>
      </c>
      <c r="R513" t="s">
        <v>53</v>
      </c>
      <c r="S513" t="s">
        <v>53</v>
      </c>
      <c r="T513" t="s">
        <v>53</v>
      </c>
      <c r="U513" t="s">
        <v>53</v>
      </c>
      <c r="V513" t="s">
        <v>53</v>
      </c>
      <c r="W513" t="s">
        <v>53</v>
      </c>
      <c r="X513" s="22" t="s">
        <v>53</v>
      </c>
      <c r="Y513" s="22" t="s">
        <v>53</v>
      </c>
      <c r="Z513" s="22" t="s">
        <v>53</v>
      </c>
      <c r="AA513" s="22" t="s">
        <v>53</v>
      </c>
      <c r="AB513" t="s">
        <v>53</v>
      </c>
      <c r="AC513" t="s">
        <v>53</v>
      </c>
      <c r="AD513" t="s">
        <v>53</v>
      </c>
      <c r="AE513" t="s">
        <v>53</v>
      </c>
      <c r="AF513" s="22" t="s">
        <v>53</v>
      </c>
      <c r="AG513" s="22" t="s">
        <v>53</v>
      </c>
      <c r="AH513" s="22" t="s">
        <v>53</v>
      </c>
      <c r="AI513" s="22" t="s">
        <v>53</v>
      </c>
      <c r="AJ513">
        <v>506</v>
      </c>
      <c r="AK513">
        <v>619</v>
      </c>
      <c r="AL513">
        <v>19</v>
      </c>
      <c r="AM513">
        <v>106</v>
      </c>
      <c r="AN513" s="22">
        <v>0.0513833992094862</v>
      </c>
      <c r="AO513" s="22">
        <v>0.0306946688206785</v>
      </c>
      <c r="AP513" s="22">
        <v>1.15789473684211</v>
      </c>
      <c r="AQ513" s="22">
        <v>0.0566037735849057</v>
      </c>
      <c r="AR513" s="35">
        <v>3.71428571428571</v>
      </c>
      <c r="AS513" s="35">
        <v>222.857142857143</v>
      </c>
      <c r="AT513" s="35">
        <v>-147.857142857143</v>
      </c>
      <c r="AU513" s="31">
        <f t="shared" si="11"/>
        <v>20</v>
      </c>
      <c r="AV513" s="36">
        <f>IFERROR(时间!$B$4+AU513,"上周无销量")</f>
        <v>43338</v>
      </c>
    </row>
    <row r="514" spans="1:48">
      <c r="A514" s="20" t="s">
        <v>1186</v>
      </c>
      <c r="B514" t="s">
        <v>1187</v>
      </c>
      <c r="C514" t="s">
        <v>1173</v>
      </c>
      <c r="D514" s="31">
        <v>29</v>
      </c>
      <c r="E514" s="31">
        <v>41</v>
      </c>
      <c r="F514" s="31">
        <v>38</v>
      </c>
      <c r="G514" s="31">
        <v>6</v>
      </c>
      <c r="H514" s="32">
        <v>22.8847368421052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431</v>
      </c>
      <c r="AK514">
        <v>642</v>
      </c>
      <c r="AL514">
        <v>23</v>
      </c>
      <c r="AM514">
        <v>141</v>
      </c>
      <c r="AN514" s="22">
        <v>0.0672853828306264</v>
      </c>
      <c r="AO514" s="22">
        <v>0.0638629283489097</v>
      </c>
      <c r="AP514" s="22">
        <v>1.65217391304348</v>
      </c>
      <c r="AQ514" s="22">
        <v>0.0425531914893617</v>
      </c>
      <c r="AR514" s="35">
        <v>4.14285714285714</v>
      </c>
      <c r="AS514" s="35">
        <v>248.571428571429</v>
      </c>
      <c r="AT514" s="35">
        <v>-248.571428571429</v>
      </c>
      <c r="AU514" s="31">
        <f t="shared" si="11"/>
        <v>0</v>
      </c>
      <c r="AV514" s="36">
        <f>IFERROR(时间!$B$4+AU514,"上周无销量")</f>
        <v>43318</v>
      </c>
    </row>
    <row r="515" spans="1:48">
      <c r="A515" s="20" t="s">
        <v>1188</v>
      </c>
      <c r="B515" t="s">
        <v>1189</v>
      </c>
      <c r="C515" t="s">
        <v>1173</v>
      </c>
      <c r="D515" s="31">
        <v>22</v>
      </c>
      <c r="E515" s="31">
        <v>16</v>
      </c>
      <c r="F515" s="31">
        <v>14</v>
      </c>
      <c r="G515" s="31">
        <v>3</v>
      </c>
      <c r="H515" s="32">
        <v>22.9172727272727</v>
      </c>
      <c r="I515">
        <v>33</v>
      </c>
      <c r="J515" s="33">
        <v>55</v>
      </c>
      <c r="K515" s="33">
        <v>0</v>
      </c>
      <c r="L515" s="33">
        <v>11</v>
      </c>
      <c r="M515">
        <v>99</v>
      </c>
      <c r="N515">
        <v>0</v>
      </c>
      <c r="O515">
        <v>0</v>
      </c>
      <c r="P515">
        <v>0</v>
      </c>
      <c r="Q515">
        <v>3009</v>
      </c>
      <c r="R515">
        <v>17636</v>
      </c>
      <c r="S515">
        <v>12714</v>
      </c>
      <c r="T515">
        <v>0</v>
      </c>
      <c r="U515">
        <v>11</v>
      </c>
      <c r="V515">
        <v>34</v>
      </c>
      <c r="W515">
        <v>24</v>
      </c>
      <c r="X515" s="22" t="s">
        <v>53</v>
      </c>
      <c r="Y515" s="22">
        <v>0.00365569956796278</v>
      </c>
      <c r="Z515" s="22">
        <v>0.0019278748015423</v>
      </c>
      <c r="AA515" s="22">
        <v>0.00188768286927796</v>
      </c>
      <c r="AB515">
        <v>0</v>
      </c>
      <c r="AC515">
        <v>5.78</v>
      </c>
      <c r="AD515">
        <v>20.77</v>
      </c>
      <c r="AE515">
        <v>11.55</v>
      </c>
      <c r="AF515" s="22" t="s">
        <v>53</v>
      </c>
      <c r="AG515" s="22">
        <v>0.0157632194851045</v>
      </c>
      <c r="AH515" s="22">
        <v>0.0647359503125302</v>
      </c>
      <c r="AI515" s="22">
        <v>0.167995557142291</v>
      </c>
      <c r="AJ515">
        <v>461</v>
      </c>
      <c r="AK515">
        <v>540</v>
      </c>
      <c r="AL515">
        <v>11</v>
      </c>
      <c r="AM515">
        <v>83</v>
      </c>
      <c r="AN515" s="22">
        <v>0.0477223427331887</v>
      </c>
      <c r="AO515" s="22">
        <v>0.0296296296296296</v>
      </c>
      <c r="AP515" s="22">
        <v>1.27272727272727</v>
      </c>
      <c r="AQ515" s="22">
        <v>0.036144578313253</v>
      </c>
      <c r="AR515" s="35">
        <v>3.14285714285714</v>
      </c>
      <c r="AS515" s="35">
        <v>188.571428571429</v>
      </c>
      <c r="AT515" s="35">
        <v>-89.5714285714286</v>
      </c>
      <c r="AU515" s="31">
        <f t="shared" si="11"/>
        <v>31</v>
      </c>
      <c r="AV515" s="36">
        <f>IFERROR(时间!$B$4+AU515,"上周无销量")</f>
        <v>43349</v>
      </c>
    </row>
    <row r="516" spans="1:48">
      <c r="A516" s="20" t="s">
        <v>1190</v>
      </c>
      <c r="B516" t="s">
        <v>1191</v>
      </c>
      <c r="C516" t="s">
        <v>1173</v>
      </c>
      <c r="D516" s="31">
        <v>50</v>
      </c>
      <c r="E516" s="31">
        <v>57</v>
      </c>
      <c r="F516" s="31">
        <v>47</v>
      </c>
      <c r="G516" s="31">
        <v>35</v>
      </c>
      <c r="H516" s="32">
        <v>22.7307407407406</v>
      </c>
      <c r="I516">
        <v>167</v>
      </c>
      <c r="J516" s="33">
        <v>70</v>
      </c>
      <c r="K516" s="33">
        <v>0</v>
      </c>
      <c r="L516" s="33">
        <v>2</v>
      </c>
      <c r="M516">
        <v>239</v>
      </c>
      <c r="N516">
        <v>5</v>
      </c>
      <c r="O516">
        <v>0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409</v>
      </c>
      <c r="AK516">
        <v>554</v>
      </c>
      <c r="AL516">
        <v>1111</v>
      </c>
      <c r="AM516">
        <v>397</v>
      </c>
      <c r="AN516" s="22">
        <v>0.122249388753056</v>
      </c>
      <c r="AO516" s="22">
        <v>0.102888086642599</v>
      </c>
      <c r="AP516" s="22">
        <v>0.0423042304230423</v>
      </c>
      <c r="AQ516" s="22">
        <v>0.0881612090680101</v>
      </c>
      <c r="AR516" s="35">
        <v>7.14285714285714</v>
      </c>
      <c r="AS516" s="35">
        <v>428.571428571429</v>
      </c>
      <c r="AT516" s="35">
        <v>-189.571428571429</v>
      </c>
      <c r="AU516" s="31">
        <f t="shared" si="11"/>
        <v>33</v>
      </c>
      <c r="AV516" s="36">
        <f>IFERROR(时间!$B$4+AU516,"上周无销量")</f>
        <v>43351</v>
      </c>
    </row>
    <row r="517" spans="1:48">
      <c r="A517" s="20" t="s">
        <v>1192</v>
      </c>
      <c r="B517" t="s">
        <v>1193</v>
      </c>
      <c r="C517" t="s">
        <v>1173</v>
      </c>
      <c r="D517" s="31">
        <v>23</v>
      </c>
      <c r="E517" s="31">
        <v>40</v>
      </c>
      <c r="F517" s="31">
        <v>144</v>
      </c>
      <c r="G517" s="31">
        <v>31</v>
      </c>
      <c r="H517" s="32">
        <v>22.9899999999999</v>
      </c>
      <c r="I517">
        <v>138</v>
      </c>
      <c r="J517" s="33">
        <v>141</v>
      </c>
      <c r="K517" s="33">
        <v>0</v>
      </c>
      <c r="L517" s="33">
        <v>3</v>
      </c>
      <c r="M517">
        <v>282</v>
      </c>
      <c r="N517">
        <v>0</v>
      </c>
      <c r="O517">
        <v>0</v>
      </c>
      <c r="P517" t="s">
        <v>53</v>
      </c>
      <c r="Q517" t="s">
        <v>53</v>
      </c>
      <c r="R517" t="s">
        <v>53</v>
      </c>
      <c r="S517" t="s">
        <v>53</v>
      </c>
      <c r="T517" t="s">
        <v>53</v>
      </c>
      <c r="U517" t="s">
        <v>53</v>
      </c>
      <c r="V517" t="s">
        <v>53</v>
      </c>
      <c r="W517" t="s">
        <v>53</v>
      </c>
      <c r="X517" s="22" t="s">
        <v>53</v>
      </c>
      <c r="Y517" s="22" t="s">
        <v>53</v>
      </c>
      <c r="Z517" s="22" t="s">
        <v>53</v>
      </c>
      <c r="AA517" s="22" t="s">
        <v>53</v>
      </c>
      <c r="AB517" t="s">
        <v>53</v>
      </c>
      <c r="AC517" t="s">
        <v>53</v>
      </c>
      <c r="AD517" t="s">
        <v>53</v>
      </c>
      <c r="AE517" t="s">
        <v>53</v>
      </c>
      <c r="AF517" s="22" t="s">
        <v>53</v>
      </c>
      <c r="AG517" s="22" t="s">
        <v>53</v>
      </c>
      <c r="AH517" s="22" t="s">
        <v>53</v>
      </c>
      <c r="AI517" s="22" t="s">
        <v>53</v>
      </c>
      <c r="AJ517">
        <v>564</v>
      </c>
      <c r="AK517">
        <v>655</v>
      </c>
      <c r="AL517">
        <v>3466</v>
      </c>
      <c r="AM517">
        <v>426</v>
      </c>
      <c r="AN517" s="22">
        <v>0.0407801418439716</v>
      </c>
      <c r="AO517" s="22">
        <v>0.0610687022900763</v>
      </c>
      <c r="AP517" s="22">
        <v>0.0415464512406232</v>
      </c>
      <c r="AQ517" s="22">
        <v>0.0727699530516432</v>
      </c>
      <c r="AR517" s="35">
        <v>3.28571428571429</v>
      </c>
      <c r="AS517" s="35">
        <v>197.142857142857</v>
      </c>
      <c r="AT517" s="35">
        <v>84.8571428571429</v>
      </c>
      <c r="AU517" s="31">
        <f t="shared" ref="AU517:AU580" si="12">IF(AR517="","库存为"&amp;M517,IF(AS517=0,"库存为"&amp;M517,INT(M517/AR517)))</f>
        <v>85</v>
      </c>
      <c r="AV517" s="36">
        <f>IFERROR(时间!$B$4+AU517,"上周无销量")</f>
        <v>43403</v>
      </c>
    </row>
    <row r="518" spans="1:48">
      <c r="A518" s="20" t="s">
        <v>1194</v>
      </c>
      <c r="B518" t="s">
        <v>1195</v>
      </c>
      <c r="C518" t="s">
        <v>1173</v>
      </c>
      <c r="D518" s="31">
        <v>84</v>
      </c>
      <c r="E518" s="31">
        <v>88</v>
      </c>
      <c r="F518" s="31">
        <v>123</v>
      </c>
      <c r="G518" s="31">
        <v>74</v>
      </c>
      <c r="H518" s="32">
        <v>22.9899999999998</v>
      </c>
      <c r="I518">
        <v>190</v>
      </c>
      <c r="J518" s="33">
        <v>170</v>
      </c>
      <c r="K518" s="33">
        <v>0</v>
      </c>
      <c r="L518" s="33">
        <v>8</v>
      </c>
      <c r="M518">
        <v>368</v>
      </c>
      <c r="N518">
        <v>2</v>
      </c>
      <c r="O518">
        <v>0</v>
      </c>
      <c r="P518" t="s">
        <v>53</v>
      </c>
      <c r="Q518" t="s">
        <v>53</v>
      </c>
      <c r="R518" t="s">
        <v>53</v>
      </c>
      <c r="S518" t="s">
        <v>53</v>
      </c>
      <c r="T518" t="s">
        <v>53</v>
      </c>
      <c r="U518" t="s">
        <v>53</v>
      </c>
      <c r="V518" t="s">
        <v>53</v>
      </c>
      <c r="W518" t="s">
        <v>53</v>
      </c>
      <c r="X518" s="22" t="s">
        <v>53</v>
      </c>
      <c r="Y518" s="22" t="s">
        <v>53</v>
      </c>
      <c r="Z518" s="22" t="s">
        <v>53</v>
      </c>
      <c r="AA518" s="22" t="s">
        <v>53</v>
      </c>
      <c r="AB518" t="s">
        <v>53</v>
      </c>
      <c r="AC518" t="s">
        <v>53</v>
      </c>
      <c r="AD518" t="s">
        <v>53</v>
      </c>
      <c r="AE518" t="s">
        <v>53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747</v>
      </c>
      <c r="AK518">
        <v>976</v>
      </c>
      <c r="AL518">
        <v>1666</v>
      </c>
      <c r="AM518">
        <v>597</v>
      </c>
      <c r="AN518" s="22">
        <v>0.112449799196787</v>
      </c>
      <c r="AO518" s="22">
        <v>0.0901639344262295</v>
      </c>
      <c r="AP518" s="22">
        <v>0.0738295318127251</v>
      </c>
      <c r="AQ518" s="22">
        <v>0.123953098827471</v>
      </c>
      <c r="AR518" s="35">
        <v>12</v>
      </c>
      <c r="AS518" s="35">
        <v>720</v>
      </c>
      <c r="AT518" s="35">
        <v>-352</v>
      </c>
      <c r="AU518" s="31">
        <f t="shared" si="12"/>
        <v>30</v>
      </c>
      <c r="AV518" s="36">
        <f>IFERROR(时间!$B$4+AU518,"上周无销量")</f>
        <v>43348</v>
      </c>
    </row>
    <row r="519" spans="1:48">
      <c r="A519" s="20" t="s">
        <v>1196</v>
      </c>
      <c r="B519" t="s">
        <v>1197</v>
      </c>
      <c r="C519" t="s">
        <v>1198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7</v>
      </c>
      <c r="J519" s="33">
        <v>0</v>
      </c>
      <c r="K519" s="33">
        <v>0</v>
      </c>
      <c r="L519" s="33">
        <v>0</v>
      </c>
      <c r="M519">
        <v>7</v>
      </c>
      <c r="N519">
        <v>0</v>
      </c>
      <c r="O519">
        <v>0</v>
      </c>
      <c r="P519">
        <v>0</v>
      </c>
      <c r="Q519">
        <v>178</v>
      </c>
      <c r="R519">
        <v>0</v>
      </c>
      <c r="S519">
        <v>0</v>
      </c>
      <c r="T519">
        <v>0</v>
      </c>
      <c r="U519">
        <v>3</v>
      </c>
      <c r="V519">
        <v>0</v>
      </c>
      <c r="W519">
        <v>0</v>
      </c>
      <c r="X519" s="22" t="s">
        <v>53</v>
      </c>
      <c r="Y519" s="22">
        <v>0.0168539325842697</v>
      </c>
      <c r="Z519" s="22" t="s">
        <v>53</v>
      </c>
      <c r="AA519" s="22" t="s">
        <v>53</v>
      </c>
      <c r="AB519">
        <v>0</v>
      </c>
      <c r="AC519">
        <v>1.55</v>
      </c>
      <c r="AD519">
        <v>0</v>
      </c>
      <c r="AE519">
        <v>0</v>
      </c>
      <c r="AF519" s="22" t="s">
        <v>53</v>
      </c>
      <c r="AG519" s="22" t="s">
        <v>1199</v>
      </c>
      <c r="AH519" s="22" t="s">
        <v>53</v>
      </c>
      <c r="AI519" s="22" t="s">
        <v>53</v>
      </c>
      <c r="AJ519">
        <v>53</v>
      </c>
      <c r="AK519">
        <v>34</v>
      </c>
      <c r="AL519">
        <v>21</v>
      </c>
      <c r="AM519">
        <v>0</v>
      </c>
      <c r="AN519" s="22">
        <v>0</v>
      </c>
      <c r="AO519" s="22">
        <v>0</v>
      </c>
      <c r="AP519" s="22">
        <v>0</v>
      </c>
      <c r="AQ519" s="22" t="s">
        <v>53</v>
      </c>
      <c r="AR519" s="35">
        <v>0</v>
      </c>
      <c r="AS519" s="35">
        <v>0</v>
      </c>
      <c r="AT519" s="35">
        <v>7</v>
      </c>
      <c r="AU519" s="31" t="str">
        <f t="shared" si="12"/>
        <v>库存为7</v>
      </c>
      <c r="AV519" s="36" t="str">
        <f>IFERROR(时间!$B$4+AU519,"上周无销量")</f>
        <v>上周无销量</v>
      </c>
    </row>
    <row r="520" spans="1:48">
      <c r="A520" s="20" t="s">
        <v>1200</v>
      </c>
      <c r="B520" t="s">
        <v>1201</v>
      </c>
      <c r="C520" t="s">
        <v>1198</v>
      </c>
      <c r="D520" s="31">
        <v>0</v>
      </c>
      <c r="E520" s="31">
        <v>1</v>
      </c>
      <c r="F520" s="31">
        <v>0</v>
      </c>
      <c r="G520" s="31">
        <v>0</v>
      </c>
      <c r="H520" s="32">
        <v>25</v>
      </c>
      <c r="I520">
        <v>6</v>
      </c>
      <c r="J520" s="33">
        <v>0</v>
      </c>
      <c r="K520" s="33">
        <v>0</v>
      </c>
      <c r="L520" s="33">
        <v>0</v>
      </c>
      <c r="M520">
        <v>6</v>
      </c>
      <c r="N520">
        <v>0</v>
      </c>
      <c r="O520">
        <v>0</v>
      </c>
      <c r="P520">
        <v>246</v>
      </c>
      <c r="Q520">
        <v>831</v>
      </c>
      <c r="R520">
        <v>0</v>
      </c>
      <c r="S520">
        <v>0</v>
      </c>
      <c r="T520">
        <v>0</v>
      </c>
      <c r="U520">
        <v>2</v>
      </c>
      <c r="V520">
        <v>0</v>
      </c>
      <c r="W520">
        <v>0</v>
      </c>
      <c r="X520" s="22">
        <v>0</v>
      </c>
      <c r="Y520" s="22">
        <v>0.00240673886883273</v>
      </c>
      <c r="Z520" s="22" t="s">
        <v>53</v>
      </c>
      <c r="AA520" s="22" t="s">
        <v>53</v>
      </c>
      <c r="AB520">
        <v>0</v>
      </c>
      <c r="AC520">
        <v>0.52</v>
      </c>
      <c r="AD520">
        <v>0</v>
      </c>
      <c r="AE520">
        <v>0</v>
      </c>
      <c r="AF520" s="22" t="s">
        <v>53</v>
      </c>
      <c r="AG520" s="22">
        <v>0.0208</v>
      </c>
      <c r="AH520" s="22" t="s">
        <v>53</v>
      </c>
      <c r="AI520" s="22" t="s">
        <v>53</v>
      </c>
      <c r="AJ520">
        <v>47</v>
      </c>
      <c r="AK520">
        <v>30</v>
      </c>
      <c r="AL520">
        <v>5</v>
      </c>
      <c r="AM520">
        <v>0</v>
      </c>
      <c r="AN520" s="22">
        <v>0</v>
      </c>
      <c r="AO520" s="22">
        <v>0.0333333333333333</v>
      </c>
      <c r="AP520" s="22">
        <v>0</v>
      </c>
      <c r="AQ520" s="22" t="s">
        <v>53</v>
      </c>
      <c r="AR520" s="35">
        <v>0</v>
      </c>
      <c r="AS520" s="35">
        <v>0</v>
      </c>
      <c r="AT520" s="35">
        <v>6</v>
      </c>
      <c r="AU520" s="31" t="str">
        <f t="shared" si="12"/>
        <v>库存为6</v>
      </c>
      <c r="AV520" s="36" t="str">
        <f>IFERROR(时间!$B$4+AU520,"上周无销量")</f>
        <v>上周无销量</v>
      </c>
    </row>
    <row r="521" spans="1:48">
      <c r="A521" s="20" t="s">
        <v>1202</v>
      </c>
      <c r="B521" t="s">
        <v>1203</v>
      </c>
      <c r="C521" t="s">
        <v>1198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7</v>
      </c>
      <c r="J521" s="33">
        <v>0</v>
      </c>
      <c r="K521" s="33">
        <v>0</v>
      </c>
      <c r="L521" s="33">
        <v>0</v>
      </c>
      <c r="M521">
        <v>7</v>
      </c>
      <c r="N521">
        <v>0</v>
      </c>
      <c r="O521">
        <v>0</v>
      </c>
      <c r="P521">
        <v>127</v>
      </c>
      <c r="Q521">
        <v>119</v>
      </c>
      <c r="R521">
        <v>0</v>
      </c>
      <c r="S521">
        <v>0</v>
      </c>
      <c r="T521">
        <v>1</v>
      </c>
      <c r="U521">
        <v>0</v>
      </c>
      <c r="V521">
        <v>0</v>
      </c>
      <c r="W521">
        <v>0</v>
      </c>
      <c r="X521" s="22">
        <v>0.0078740157480315</v>
      </c>
      <c r="Y521" s="22">
        <v>0</v>
      </c>
      <c r="Z521" s="22" t="s">
        <v>53</v>
      </c>
      <c r="AA521" s="22" t="s">
        <v>53</v>
      </c>
      <c r="AB521">
        <v>0.23</v>
      </c>
      <c r="AC521">
        <v>0</v>
      </c>
      <c r="AD521">
        <v>0</v>
      </c>
      <c r="AE521">
        <v>0</v>
      </c>
      <c r="AF521" s="22" t="s">
        <v>1204</v>
      </c>
      <c r="AG521" s="22" t="s">
        <v>53</v>
      </c>
      <c r="AH521" s="22" t="s">
        <v>53</v>
      </c>
      <c r="AI521" s="22" t="s">
        <v>53</v>
      </c>
      <c r="AJ521">
        <v>46</v>
      </c>
      <c r="AK521">
        <v>32</v>
      </c>
      <c r="AL521">
        <v>9</v>
      </c>
      <c r="AM521">
        <v>0</v>
      </c>
      <c r="AN521" s="22">
        <v>0</v>
      </c>
      <c r="AO521" s="22">
        <v>0</v>
      </c>
      <c r="AP521" s="22">
        <v>0</v>
      </c>
      <c r="AQ521" s="22" t="s">
        <v>53</v>
      </c>
      <c r="AR521" s="35">
        <v>0</v>
      </c>
      <c r="AS521" s="35">
        <v>0</v>
      </c>
      <c r="AT521" s="35">
        <v>7</v>
      </c>
      <c r="AU521" s="31" t="str">
        <f t="shared" si="12"/>
        <v>库存为7</v>
      </c>
      <c r="AV521" s="36" t="str">
        <f>IFERROR(时间!$B$4+AU521,"上周无销量")</f>
        <v>上周无销量</v>
      </c>
    </row>
    <row r="522" spans="1:48">
      <c r="A522" s="20" t="s">
        <v>1205</v>
      </c>
      <c r="B522" t="s">
        <v>1206</v>
      </c>
      <c r="C522" t="s">
        <v>1207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0</v>
      </c>
      <c r="AK522">
        <v>0</v>
      </c>
      <c r="AL522">
        <v>0</v>
      </c>
      <c r="AM522">
        <v>0</v>
      </c>
      <c r="AN522" s="22" t="s">
        <v>53</v>
      </c>
      <c r="AO522" s="22" t="s">
        <v>53</v>
      </c>
      <c r="AP522" s="22" t="s">
        <v>53</v>
      </c>
      <c r="AQ522" s="22" t="s">
        <v>53</v>
      </c>
      <c r="AR522" s="35">
        <v>0</v>
      </c>
      <c r="AS522" s="35">
        <v>0</v>
      </c>
      <c r="AT522" s="35">
        <v>0</v>
      </c>
      <c r="AU522" s="31" t="str">
        <f t="shared" si="12"/>
        <v>库存为0</v>
      </c>
      <c r="AV522" s="36" t="str">
        <f>IFERROR(时间!$B$4+AU522,"上周无销量")</f>
        <v>上周无销量</v>
      </c>
    </row>
    <row r="523" spans="1:48">
      <c r="A523" s="20" t="s">
        <v>1208</v>
      </c>
      <c r="B523" t="s">
        <v>1209</v>
      </c>
      <c r="C523" t="s">
        <v>1210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53</v>
      </c>
      <c r="Q523" t="s">
        <v>53</v>
      </c>
      <c r="R523" t="s">
        <v>53</v>
      </c>
      <c r="S523" t="s">
        <v>53</v>
      </c>
      <c r="T523" t="s">
        <v>53</v>
      </c>
      <c r="U523" t="s">
        <v>53</v>
      </c>
      <c r="V523" t="s">
        <v>53</v>
      </c>
      <c r="W523" t="s">
        <v>53</v>
      </c>
      <c r="X523" s="22" t="s">
        <v>53</v>
      </c>
      <c r="Y523" s="22" t="s">
        <v>53</v>
      </c>
      <c r="Z523" s="22" t="s">
        <v>53</v>
      </c>
      <c r="AA523" s="22" t="s">
        <v>53</v>
      </c>
      <c r="AB523" t="s">
        <v>53</v>
      </c>
      <c r="AC523" t="s">
        <v>53</v>
      </c>
      <c r="AD523" t="s">
        <v>53</v>
      </c>
      <c r="AE523" t="s">
        <v>53</v>
      </c>
      <c r="AF523" s="22" t="s">
        <v>53</v>
      </c>
      <c r="AG523" s="22" t="s">
        <v>53</v>
      </c>
      <c r="AH523" s="22" t="s">
        <v>53</v>
      </c>
      <c r="AI523" s="22" t="s">
        <v>53</v>
      </c>
      <c r="AJ523">
        <v>0</v>
      </c>
      <c r="AK523">
        <v>0</v>
      </c>
      <c r="AL523">
        <v>0</v>
      </c>
      <c r="AM523">
        <v>0</v>
      </c>
      <c r="AN523" s="22" t="s">
        <v>53</v>
      </c>
      <c r="AO523" s="22" t="s">
        <v>53</v>
      </c>
      <c r="AP523" s="22" t="s">
        <v>53</v>
      </c>
      <c r="AQ523" s="22" t="s">
        <v>53</v>
      </c>
      <c r="AR523" s="35">
        <v>0</v>
      </c>
      <c r="AS523" s="35">
        <v>0</v>
      </c>
      <c r="AT523" s="35">
        <v>0</v>
      </c>
      <c r="AU523" s="31" t="str">
        <f t="shared" si="12"/>
        <v>库存为0</v>
      </c>
      <c r="AV523" s="36" t="str">
        <f>IFERROR(时间!$B$4+AU523,"上周无销量")</f>
        <v>上周无销量</v>
      </c>
    </row>
    <row r="524" spans="1:48">
      <c r="A524" s="20" t="s">
        <v>1211</v>
      </c>
      <c r="B524" t="s">
        <v>1212</v>
      </c>
      <c r="C524" t="s">
        <v>1210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0</v>
      </c>
      <c r="AK524">
        <v>0</v>
      </c>
      <c r="AL524">
        <v>0</v>
      </c>
      <c r="AM524">
        <v>0</v>
      </c>
      <c r="AN524" s="22" t="s">
        <v>53</v>
      </c>
      <c r="AO524" s="22" t="s">
        <v>53</v>
      </c>
      <c r="AP524" s="22" t="s">
        <v>53</v>
      </c>
      <c r="AQ524" s="22" t="s">
        <v>53</v>
      </c>
      <c r="AR524" s="35">
        <v>0</v>
      </c>
      <c r="AS524" s="35">
        <v>0</v>
      </c>
      <c r="AT524" s="35">
        <v>0</v>
      </c>
      <c r="AU524" s="31" t="str">
        <f t="shared" si="12"/>
        <v>库存为0</v>
      </c>
      <c r="AV524" s="36" t="str">
        <f>IFERROR(时间!$B$4+AU524,"上周无销量")</f>
        <v>上周无销量</v>
      </c>
    </row>
    <row r="525" spans="1:48">
      <c r="A525" s="20" t="s">
        <v>1213</v>
      </c>
      <c r="B525" t="s">
        <v>1214</v>
      </c>
      <c r="C525" t="s">
        <v>1215</v>
      </c>
      <c r="D525" s="31">
        <v>0</v>
      </c>
      <c r="E525" s="31">
        <v>0</v>
      </c>
      <c r="F525" s="31">
        <v>0</v>
      </c>
      <c r="G525" s="31">
        <v>1</v>
      </c>
      <c r="H525" s="32">
        <v>22.99</v>
      </c>
      <c r="I525">
        <v>5</v>
      </c>
      <c r="J525" s="33">
        <v>0</v>
      </c>
      <c r="K525" s="33">
        <v>0</v>
      </c>
      <c r="L525" s="33">
        <v>0</v>
      </c>
      <c r="M525">
        <v>5</v>
      </c>
      <c r="N525">
        <v>0</v>
      </c>
      <c r="O525">
        <v>5</v>
      </c>
      <c r="P525" t="s">
        <v>53</v>
      </c>
      <c r="Q525" t="s">
        <v>53</v>
      </c>
      <c r="R525" t="s">
        <v>53</v>
      </c>
      <c r="S525" t="s">
        <v>53</v>
      </c>
      <c r="T525" t="s">
        <v>53</v>
      </c>
      <c r="U525" t="s">
        <v>53</v>
      </c>
      <c r="V525" t="s">
        <v>53</v>
      </c>
      <c r="W525" t="s">
        <v>53</v>
      </c>
      <c r="X525" s="22" t="s">
        <v>53</v>
      </c>
      <c r="Y525" s="22" t="s">
        <v>53</v>
      </c>
      <c r="Z525" s="22" t="s">
        <v>53</v>
      </c>
      <c r="AA525" s="22" t="s">
        <v>53</v>
      </c>
      <c r="AB525" t="s">
        <v>53</v>
      </c>
      <c r="AC525" t="s">
        <v>53</v>
      </c>
      <c r="AD525" t="s">
        <v>53</v>
      </c>
      <c r="AE525" t="s">
        <v>53</v>
      </c>
      <c r="AF525" s="22" t="s">
        <v>53</v>
      </c>
      <c r="AG525" s="22" t="s">
        <v>53</v>
      </c>
      <c r="AH525" s="22" t="s">
        <v>53</v>
      </c>
      <c r="AI525" s="22" t="s">
        <v>53</v>
      </c>
      <c r="AJ525">
        <v>1</v>
      </c>
      <c r="AK525">
        <v>1</v>
      </c>
      <c r="AL525">
        <v>3</v>
      </c>
      <c r="AM525">
        <v>5</v>
      </c>
      <c r="AN525" s="22">
        <v>0</v>
      </c>
      <c r="AO525" s="22">
        <v>0</v>
      </c>
      <c r="AP525" s="22">
        <v>0</v>
      </c>
      <c r="AQ525" s="22">
        <v>0.2</v>
      </c>
      <c r="AR525" s="35">
        <v>0</v>
      </c>
      <c r="AS525" s="35">
        <v>0</v>
      </c>
      <c r="AT525" s="35">
        <v>5</v>
      </c>
      <c r="AU525" s="31" t="str">
        <f t="shared" si="12"/>
        <v>库存为5</v>
      </c>
      <c r="AV525" s="36" t="str">
        <f>IFERROR(时间!$B$4+AU525,"上周无销量")</f>
        <v>上周无销量</v>
      </c>
    </row>
    <row r="526" spans="1:48">
      <c r="A526" s="20" t="s">
        <v>1216</v>
      </c>
      <c r="B526" t="s">
        <v>1217</v>
      </c>
      <c r="C526" t="s">
        <v>1215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3</v>
      </c>
      <c r="J526" s="33">
        <v>0</v>
      </c>
      <c r="K526" s="33">
        <v>0</v>
      </c>
      <c r="L526" s="33">
        <v>0</v>
      </c>
      <c r="M526">
        <v>3</v>
      </c>
      <c r="N526">
        <v>0</v>
      </c>
      <c r="O526">
        <v>3</v>
      </c>
      <c r="P526" t="s">
        <v>53</v>
      </c>
      <c r="Q526" t="s">
        <v>53</v>
      </c>
      <c r="R526" t="s">
        <v>53</v>
      </c>
      <c r="S526" t="s">
        <v>53</v>
      </c>
      <c r="T526" t="s">
        <v>53</v>
      </c>
      <c r="U526" t="s">
        <v>53</v>
      </c>
      <c r="V526" t="s">
        <v>53</v>
      </c>
      <c r="W526" t="s">
        <v>53</v>
      </c>
      <c r="X526" s="22" t="s">
        <v>53</v>
      </c>
      <c r="Y526" s="22" t="s">
        <v>53</v>
      </c>
      <c r="Z526" s="22" t="s">
        <v>53</v>
      </c>
      <c r="AA526" s="22" t="s">
        <v>53</v>
      </c>
      <c r="AB526" t="s">
        <v>53</v>
      </c>
      <c r="AC526" t="s">
        <v>53</v>
      </c>
      <c r="AD526" t="s">
        <v>53</v>
      </c>
      <c r="AE526" t="s">
        <v>53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6</v>
      </c>
      <c r="AK526">
        <v>3</v>
      </c>
      <c r="AL526">
        <v>1</v>
      </c>
      <c r="AM526">
        <v>2</v>
      </c>
      <c r="AN526" s="22">
        <v>0</v>
      </c>
      <c r="AO526" s="22">
        <v>0</v>
      </c>
      <c r="AP526" s="22">
        <v>0</v>
      </c>
      <c r="AQ526" s="22">
        <v>0</v>
      </c>
      <c r="AR526" s="35">
        <v>0</v>
      </c>
      <c r="AS526" s="35">
        <v>0</v>
      </c>
      <c r="AT526" s="35">
        <v>3</v>
      </c>
      <c r="AU526" s="31" t="str">
        <f t="shared" si="12"/>
        <v>库存为3</v>
      </c>
      <c r="AV526" s="36" t="str">
        <f>IFERROR(时间!$B$4+AU526,"上周无销量")</f>
        <v>上周无销量</v>
      </c>
    </row>
    <row r="527" spans="1:48">
      <c r="A527" s="20" t="s">
        <v>1218</v>
      </c>
      <c r="B527" t="s">
        <v>1219</v>
      </c>
      <c r="C527" t="s">
        <v>1215</v>
      </c>
      <c r="D527" s="31">
        <v>6</v>
      </c>
      <c r="E527" s="31">
        <v>3</v>
      </c>
      <c r="F527" s="31">
        <v>4</v>
      </c>
      <c r="G527" s="31">
        <v>1</v>
      </c>
      <c r="H527" s="32">
        <v>13.99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8</v>
      </c>
      <c r="AK527">
        <v>7</v>
      </c>
      <c r="AL527">
        <v>6</v>
      </c>
      <c r="AM527">
        <v>5</v>
      </c>
      <c r="AN527" s="22">
        <v>0.75</v>
      </c>
      <c r="AO527" s="22">
        <v>0.428571428571429</v>
      </c>
      <c r="AP527" s="22">
        <v>0.666666666666667</v>
      </c>
      <c r="AQ527" s="22">
        <v>0.2</v>
      </c>
      <c r="AR527" s="35">
        <v>0.857142857142857</v>
      </c>
      <c r="AS527" s="35">
        <v>51.4285714285714</v>
      </c>
      <c r="AT527" s="35">
        <v>-51.4285714285714</v>
      </c>
      <c r="AU527" s="31">
        <f t="shared" si="12"/>
        <v>0</v>
      </c>
      <c r="AV527" s="36">
        <f>IFERROR(时间!$B$4+AU527,"上周无销量")</f>
        <v>43318</v>
      </c>
    </row>
    <row r="528" spans="1:48">
      <c r="A528" s="20" t="s">
        <v>1220</v>
      </c>
      <c r="B528" t="s">
        <v>1221</v>
      </c>
      <c r="C528" t="s">
        <v>1215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2</v>
      </c>
      <c r="J528" s="33">
        <v>0</v>
      </c>
      <c r="K528" s="33">
        <v>0</v>
      </c>
      <c r="L528" s="33">
        <v>0</v>
      </c>
      <c r="M528">
        <v>2</v>
      </c>
      <c r="N528">
        <v>0</v>
      </c>
      <c r="O528">
        <v>2</v>
      </c>
      <c r="P528" t="s">
        <v>53</v>
      </c>
      <c r="Q528" t="s">
        <v>53</v>
      </c>
      <c r="R528" t="s">
        <v>53</v>
      </c>
      <c r="S528" t="s">
        <v>53</v>
      </c>
      <c r="T528" t="s">
        <v>53</v>
      </c>
      <c r="U528" t="s">
        <v>53</v>
      </c>
      <c r="V528" t="s">
        <v>53</v>
      </c>
      <c r="W528" t="s">
        <v>53</v>
      </c>
      <c r="X528" s="22" t="s">
        <v>53</v>
      </c>
      <c r="Y528" s="22" t="s">
        <v>53</v>
      </c>
      <c r="Z528" s="22" t="s">
        <v>53</v>
      </c>
      <c r="AA528" s="22" t="s">
        <v>53</v>
      </c>
      <c r="AB528" t="s">
        <v>53</v>
      </c>
      <c r="AC528" t="s">
        <v>53</v>
      </c>
      <c r="AD528" t="s">
        <v>53</v>
      </c>
      <c r="AE528" t="s">
        <v>53</v>
      </c>
      <c r="AF528" s="22" t="s">
        <v>53</v>
      </c>
      <c r="AG528" s="22" t="s">
        <v>53</v>
      </c>
      <c r="AH528" s="22" t="s">
        <v>53</v>
      </c>
      <c r="AI528" s="22" t="s">
        <v>53</v>
      </c>
      <c r="AJ528">
        <v>0</v>
      </c>
      <c r="AK528">
        <v>0</v>
      </c>
      <c r="AL528">
        <v>0</v>
      </c>
      <c r="AM528">
        <v>2</v>
      </c>
      <c r="AN528" s="22" t="s">
        <v>53</v>
      </c>
      <c r="AO528" s="22" t="s">
        <v>53</v>
      </c>
      <c r="AP528" s="22" t="s">
        <v>53</v>
      </c>
      <c r="AQ528" s="22">
        <v>0</v>
      </c>
      <c r="AR528" s="35">
        <v>0</v>
      </c>
      <c r="AS528" s="35">
        <v>0</v>
      </c>
      <c r="AT528" s="35">
        <v>2</v>
      </c>
      <c r="AU528" s="31" t="str">
        <f t="shared" si="12"/>
        <v>库存为2</v>
      </c>
      <c r="AV528" s="36" t="str">
        <f>IFERROR(时间!$B$4+AU528,"上周无销量")</f>
        <v>上周无销量</v>
      </c>
    </row>
    <row r="529" spans="1:48">
      <c r="A529" s="20" t="s">
        <v>1222</v>
      </c>
      <c r="B529" t="s">
        <v>1223</v>
      </c>
      <c r="C529" t="s">
        <v>1215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5</v>
      </c>
      <c r="J529" s="33">
        <v>0</v>
      </c>
      <c r="K529" s="33">
        <v>0</v>
      </c>
      <c r="L529" s="33">
        <v>0</v>
      </c>
      <c r="M529">
        <v>5</v>
      </c>
      <c r="N529">
        <v>0</v>
      </c>
      <c r="O529">
        <v>0</v>
      </c>
      <c r="P529" t="s">
        <v>53</v>
      </c>
      <c r="Q529" t="s">
        <v>53</v>
      </c>
      <c r="R529" t="s">
        <v>53</v>
      </c>
      <c r="S529" t="s">
        <v>53</v>
      </c>
      <c r="T529" t="s">
        <v>53</v>
      </c>
      <c r="U529" t="s">
        <v>53</v>
      </c>
      <c r="V529" t="s">
        <v>53</v>
      </c>
      <c r="W529" t="s">
        <v>53</v>
      </c>
      <c r="X529" s="22" t="s">
        <v>53</v>
      </c>
      <c r="Y529" s="22" t="s">
        <v>53</v>
      </c>
      <c r="Z529" s="22" t="s">
        <v>53</v>
      </c>
      <c r="AA529" s="22" t="s">
        <v>53</v>
      </c>
      <c r="AB529" t="s">
        <v>53</v>
      </c>
      <c r="AC529" t="s">
        <v>53</v>
      </c>
      <c r="AD529" t="s">
        <v>53</v>
      </c>
      <c r="AE529" t="s">
        <v>53</v>
      </c>
      <c r="AF529" s="22" t="s">
        <v>53</v>
      </c>
      <c r="AG529" s="22" t="s">
        <v>53</v>
      </c>
      <c r="AH529" s="22" t="s">
        <v>53</v>
      </c>
      <c r="AI529" s="22" t="s">
        <v>53</v>
      </c>
      <c r="AJ529">
        <v>0</v>
      </c>
      <c r="AK529">
        <v>2</v>
      </c>
      <c r="AL529">
        <v>1</v>
      </c>
      <c r="AM529">
        <v>4</v>
      </c>
      <c r="AN529" s="22" t="s">
        <v>53</v>
      </c>
      <c r="AO529" s="22">
        <v>0</v>
      </c>
      <c r="AP529" s="22">
        <v>0</v>
      </c>
      <c r="AQ529" s="22">
        <v>0</v>
      </c>
      <c r="AR529" s="35">
        <v>0</v>
      </c>
      <c r="AS529" s="35">
        <v>0</v>
      </c>
      <c r="AT529" s="35">
        <v>5</v>
      </c>
      <c r="AU529" s="31" t="str">
        <f t="shared" si="12"/>
        <v>库存为5</v>
      </c>
      <c r="AV529" s="36" t="str">
        <f>IFERROR(时间!$B$4+AU529,"上周无销量")</f>
        <v>上周无销量</v>
      </c>
    </row>
    <row r="530" spans="1:48">
      <c r="A530" s="20" t="s">
        <v>1224</v>
      </c>
      <c r="B530" t="s">
        <v>1225</v>
      </c>
      <c r="C530" t="s">
        <v>1215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0</v>
      </c>
      <c r="AK530">
        <v>0</v>
      </c>
      <c r="AL530">
        <v>0</v>
      </c>
      <c r="AM530">
        <v>0</v>
      </c>
      <c r="AN530" s="22" t="s">
        <v>53</v>
      </c>
      <c r="AO530" s="22" t="s">
        <v>53</v>
      </c>
      <c r="AP530" s="22" t="s">
        <v>53</v>
      </c>
      <c r="AQ530" s="22" t="s">
        <v>53</v>
      </c>
      <c r="AR530" s="35">
        <v>0</v>
      </c>
      <c r="AS530" s="35">
        <v>0</v>
      </c>
      <c r="AT530" s="35">
        <v>0</v>
      </c>
      <c r="AU530" s="31" t="str">
        <f t="shared" si="12"/>
        <v>库存为0</v>
      </c>
      <c r="AV530" s="36" t="str">
        <f>IFERROR(时间!$B$4+AU530,"上周无销量")</f>
        <v>上周无销量</v>
      </c>
    </row>
    <row r="531" spans="1:48">
      <c r="A531" s="20" t="s">
        <v>1226</v>
      </c>
      <c r="B531" t="s">
        <v>1227</v>
      </c>
      <c r="C531" t="s">
        <v>1215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7</v>
      </c>
      <c r="J531" s="33">
        <v>0</v>
      </c>
      <c r="K531" s="33">
        <v>0</v>
      </c>
      <c r="L531" s="33">
        <v>0</v>
      </c>
      <c r="M531">
        <v>7</v>
      </c>
      <c r="N531">
        <v>0</v>
      </c>
      <c r="O531">
        <v>7</v>
      </c>
      <c r="P531" t="s">
        <v>53</v>
      </c>
      <c r="Q531" t="s">
        <v>53</v>
      </c>
      <c r="R531" t="s">
        <v>53</v>
      </c>
      <c r="S531" t="s">
        <v>53</v>
      </c>
      <c r="T531" t="s">
        <v>53</v>
      </c>
      <c r="U531" t="s">
        <v>53</v>
      </c>
      <c r="V531" t="s">
        <v>53</v>
      </c>
      <c r="W531" t="s">
        <v>53</v>
      </c>
      <c r="X531" s="22" t="s">
        <v>53</v>
      </c>
      <c r="Y531" s="22" t="s">
        <v>53</v>
      </c>
      <c r="Z531" s="22" t="s">
        <v>53</v>
      </c>
      <c r="AA531" s="22" t="s">
        <v>53</v>
      </c>
      <c r="AB531" t="s">
        <v>53</v>
      </c>
      <c r="AC531" t="s">
        <v>53</v>
      </c>
      <c r="AD531" t="s">
        <v>53</v>
      </c>
      <c r="AE531" t="s">
        <v>53</v>
      </c>
      <c r="AF531" s="22" t="s">
        <v>53</v>
      </c>
      <c r="AG531" s="22" t="s">
        <v>53</v>
      </c>
      <c r="AH531" s="22" t="s">
        <v>53</v>
      </c>
      <c r="AI531" s="22" t="s">
        <v>53</v>
      </c>
      <c r="AJ531">
        <v>0</v>
      </c>
      <c r="AK531">
        <v>2</v>
      </c>
      <c r="AL531">
        <v>1</v>
      </c>
      <c r="AM531">
        <v>1</v>
      </c>
      <c r="AN531" s="22" t="s">
        <v>53</v>
      </c>
      <c r="AO531" s="22">
        <v>0</v>
      </c>
      <c r="AP531" s="22">
        <v>0</v>
      </c>
      <c r="AQ531" s="22">
        <v>0</v>
      </c>
      <c r="AR531" s="35">
        <v>0</v>
      </c>
      <c r="AS531" s="35">
        <v>0</v>
      </c>
      <c r="AT531" s="35">
        <v>7</v>
      </c>
      <c r="AU531" s="31" t="str">
        <f t="shared" si="12"/>
        <v>库存为7</v>
      </c>
      <c r="AV531" s="36" t="str">
        <f>IFERROR(时间!$B$4+AU531,"上周无销量")</f>
        <v>上周无销量</v>
      </c>
    </row>
    <row r="532" spans="1:48">
      <c r="A532" s="20" t="s">
        <v>1228</v>
      </c>
      <c r="B532" t="s">
        <v>1229</v>
      </c>
      <c r="C532" t="s">
        <v>1215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53</v>
      </c>
      <c r="Q532" t="s">
        <v>53</v>
      </c>
      <c r="R532" t="s">
        <v>53</v>
      </c>
      <c r="S532" t="s">
        <v>53</v>
      </c>
      <c r="T532" t="s">
        <v>53</v>
      </c>
      <c r="U532" t="s">
        <v>53</v>
      </c>
      <c r="V532" t="s">
        <v>53</v>
      </c>
      <c r="W532" t="s">
        <v>53</v>
      </c>
      <c r="X532" s="22" t="s">
        <v>53</v>
      </c>
      <c r="Y532" s="22" t="s">
        <v>53</v>
      </c>
      <c r="Z532" s="22" t="s">
        <v>53</v>
      </c>
      <c r="AA532" s="22" t="s">
        <v>53</v>
      </c>
      <c r="AB532" t="s">
        <v>53</v>
      </c>
      <c r="AC532" t="s">
        <v>53</v>
      </c>
      <c r="AD532" t="s">
        <v>53</v>
      </c>
      <c r="AE532" t="s">
        <v>53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0</v>
      </c>
      <c r="AK532">
        <v>0</v>
      </c>
      <c r="AL532">
        <v>0</v>
      </c>
      <c r="AM532">
        <v>0</v>
      </c>
      <c r="AN532" s="22" t="s">
        <v>53</v>
      </c>
      <c r="AO532" s="22" t="s">
        <v>53</v>
      </c>
      <c r="AP532" s="22" t="s">
        <v>53</v>
      </c>
      <c r="AQ532" s="22" t="s">
        <v>53</v>
      </c>
      <c r="AR532" s="35">
        <v>0</v>
      </c>
      <c r="AS532" s="35">
        <v>0</v>
      </c>
      <c r="AT532" s="35">
        <v>0</v>
      </c>
      <c r="AU532" s="31" t="str">
        <f t="shared" si="12"/>
        <v>库存为0</v>
      </c>
      <c r="AV532" s="36" t="str">
        <f>IFERROR(时间!$B$4+AU532,"上周无销量")</f>
        <v>上周无销量</v>
      </c>
    </row>
    <row r="533" spans="1:48">
      <c r="A533" s="20" t="s">
        <v>1230</v>
      </c>
      <c r="B533" t="s">
        <v>1231</v>
      </c>
      <c r="C533" t="s">
        <v>1215</v>
      </c>
      <c r="D533" s="31">
        <v>0</v>
      </c>
      <c r="E533" s="31">
        <v>1</v>
      </c>
      <c r="F533" s="31">
        <v>1</v>
      </c>
      <c r="G533" s="31">
        <v>1</v>
      </c>
      <c r="H533" s="32">
        <v>13.99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0</v>
      </c>
      <c r="AK533">
        <v>7</v>
      </c>
      <c r="AL533">
        <v>7</v>
      </c>
      <c r="AM533">
        <v>3</v>
      </c>
      <c r="AN533" s="22" t="s">
        <v>53</v>
      </c>
      <c r="AO533" s="22">
        <v>0.142857142857143</v>
      </c>
      <c r="AP533" s="22">
        <v>0.142857142857143</v>
      </c>
      <c r="AQ533" s="22">
        <v>0.333333333333333</v>
      </c>
      <c r="AR533" s="35">
        <v>0</v>
      </c>
      <c r="AS533" s="35">
        <v>0</v>
      </c>
      <c r="AT533" s="35">
        <v>0</v>
      </c>
      <c r="AU533" s="31" t="str">
        <f t="shared" si="12"/>
        <v>库存为0</v>
      </c>
      <c r="AV533" s="36" t="str">
        <f>IFERROR(时间!$B$4+AU533,"上周无销量")</f>
        <v>上周无销量</v>
      </c>
    </row>
    <row r="534" spans="1:48">
      <c r="A534" s="20" t="s">
        <v>1232</v>
      </c>
      <c r="B534" t="s">
        <v>1233</v>
      </c>
      <c r="C534" t="s">
        <v>1215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5</v>
      </c>
      <c r="J534" s="33">
        <v>0</v>
      </c>
      <c r="K534" s="33">
        <v>0</v>
      </c>
      <c r="L534" s="33">
        <v>0</v>
      </c>
      <c r="M534">
        <v>5</v>
      </c>
      <c r="N534">
        <v>0</v>
      </c>
      <c r="O534">
        <v>5</v>
      </c>
      <c r="P534" t="s">
        <v>53</v>
      </c>
      <c r="Q534" t="s">
        <v>53</v>
      </c>
      <c r="R534" t="s">
        <v>53</v>
      </c>
      <c r="S534" t="s">
        <v>53</v>
      </c>
      <c r="T534" t="s">
        <v>53</v>
      </c>
      <c r="U534" t="s">
        <v>53</v>
      </c>
      <c r="V534" t="s">
        <v>53</v>
      </c>
      <c r="W534" t="s">
        <v>53</v>
      </c>
      <c r="X534" s="22" t="s">
        <v>53</v>
      </c>
      <c r="Y534" s="22" t="s">
        <v>53</v>
      </c>
      <c r="Z534" s="22" t="s">
        <v>53</v>
      </c>
      <c r="AA534" s="22" t="s">
        <v>53</v>
      </c>
      <c r="AB534" t="s">
        <v>53</v>
      </c>
      <c r="AC534" t="s">
        <v>53</v>
      </c>
      <c r="AD534" t="s">
        <v>53</v>
      </c>
      <c r="AE534" t="s">
        <v>53</v>
      </c>
      <c r="AF534" s="22" t="s">
        <v>53</v>
      </c>
      <c r="AG534" s="22" t="s">
        <v>53</v>
      </c>
      <c r="AH534" s="22" t="s">
        <v>53</v>
      </c>
      <c r="AI534" s="22" t="s">
        <v>53</v>
      </c>
      <c r="AJ534">
        <v>3</v>
      </c>
      <c r="AK534">
        <v>3</v>
      </c>
      <c r="AL534">
        <v>4</v>
      </c>
      <c r="AM534">
        <v>4</v>
      </c>
      <c r="AN534" s="22">
        <v>0</v>
      </c>
      <c r="AO534" s="22">
        <v>0</v>
      </c>
      <c r="AP534" s="22">
        <v>0</v>
      </c>
      <c r="AQ534" s="22">
        <v>0</v>
      </c>
      <c r="AR534" s="35">
        <v>0</v>
      </c>
      <c r="AS534" s="35">
        <v>0</v>
      </c>
      <c r="AT534" s="35">
        <v>5</v>
      </c>
      <c r="AU534" s="31" t="str">
        <f t="shared" si="12"/>
        <v>库存为5</v>
      </c>
      <c r="AV534" s="36" t="str">
        <f>IFERROR(时间!$B$4+AU534,"上周无销量")</f>
        <v>上周无销量</v>
      </c>
    </row>
    <row r="535" spans="1:48">
      <c r="A535" s="20" t="s">
        <v>1234</v>
      </c>
      <c r="B535" t="s">
        <v>1235</v>
      </c>
      <c r="C535" t="s">
        <v>1215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0</v>
      </c>
      <c r="AK535">
        <v>0</v>
      </c>
      <c r="AL535">
        <v>0</v>
      </c>
      <c r="AM535">
        <v>0</v>
      </c>
      <c r="AN535" s="22" t="s">
        <v>53</v>
      </c>
      <c r="AO535" s="22" t="s">
        <v>53</v>
      </c>
      <c r="AP535" s="22" t="s">
        <v>53</v>
      </c>
      <c r="AQ535" s="22" t="s">
        <v>53</v>
      </c>
      <c r="AR535" s="35">
        <v>0</v>
      </c>
      <c r="AS535" s="35">
        <v>0</v>
      </c>
      <c r="AT535" s="35">
        <v>0</v>
      </c>
      <c r="AU535" s="31" t="str">
        <f t="shared" si="12"/>
        <v>库存为0</v>
      </c>
      <c r="AV535" s="36" t="str">
        <f>IFERROR(时间!$B$4+AU535,"上周无销量")</f>
        <v>上周无销量</v>
      </c>
    </row>
    <row r="536" spans="1:48">
      <c r="A536" s="20" t="s">
        <v>1236</v>
      </c>
      <c r="B536" t="s">
        <v>1237</v>
      </c>
      <c r="C536" t="s">
        <v>1215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0</v>
      </c>
      <c r="AK536">
        <v>0</v>
      </c>
      <c r="AL536">
        <v>0</v>
      </c>
      <c r="AM536">
        <v>0</v>
      </c>
      <c r="AN536" s="22" t="s">
        <v>53</v>
      </c>
      <c r="AO536" s="22" t="s">
        <v>53</v>
      </c>
      <c r="AP536" s="22" t="s">
        <v>53</v>
      </c>
      <c r="AQ536" s="22" t="s">
        <v>53</v>
      </c>
      <c r="AR536" s="35">
        <v>0</v>
      </c>
      <c r="AS536" s="35">
        <v>0</v>
      </c>
      <c r="AT536" s="35">
        <v>0</v>
      </c>
      <c r="AU536" s="31" t="str">
        <f t="shared" si="12"/>
        <v>库存为0</v>
      </c>
      <c r="AV536" s="36" t="str">
        <f>IFERROR(时间!$B$4+AU536,"上周无销量")</f>
        <v>上周无销量</v>
      </c>
    </row>
    <row r="537" spans="1:48">
      <c r="A537" s="20" t="s">
        <v>1238</v>
      </c>
      <c r="B537" t="s">
        <v>1239</v>
      </c>
      <c r="C537" t="s">
        <v>1215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3</v>
      </c>
      <c r="J537" s="33">
        <v>0</v>
      </c>
      <c r="K537" s="33">
        <v>0</v>
      </c>
      <c r="L537" s="33">
        <v>0</v>
      </c>
      <c r="M537">
        <v>3</v>
      </c>
      <c r="N537">
        <v>0</v>
      </c>
      <c r="O537">
        <v>3</v>
      </c>
      <c r="P537" t="s">
        <v>53</v>
      </c>
      <c r="Q537" t="s">
        <v>53</v>
      </c>
      <c r="R537" t="s">
        <v>53</v>
      </c>
      <c r="S537" t="s">
        <v>53</v>
      </c>
      <c r="T537" t="s">
        <v>53</v>
      </c>
      <c r="U537" t="s">
        <v>53</v>
      </c>
      <c r="V537" t="s">
        <v>53</v>
      </c>
      <c r="W537" t="s">
        <v>53</v>
      </c>
      <c r="X537" s="22" t="s">
        <v>53</v>
      </c>
      <c r="Y537" s="22" t="s">
        <v>53</v>
      </c>
      <c r="Z537" s="22" t="s">
        <v>53</v>
      </c>
      <c r="AA537" s="22" t="s">
        <v>53</v>
      </c>
      <c r="AB537" t="s">
        <v>53</v>
      </c>
      <c r="AC537" t="s">
        <v>53</v>
      </c>
      <c r="AD537" t="s">
        <v>53</v>
      </c>
      <c r="AE537" t="s">
        <v>53</v>
      </c>
      <c r="AF537" s="22" t="s">
        <v>53</v>
      </c>
      <c r="AG537" s="22" t="s">
        <v>53</v>
      </c>
      <c r="AH537" s="22" t="s">
        <v>53</v>
      </c>
      <c r="AI537" s="22" t="s">
        <v>53</v>
      </c>
      <c r="AJ537">
        <v>0</v>
      </c>
      <c r="AK537">
        <v>3</v>
      </c>
      <c r="AL537">
        <v>3</v>
      </c>
      <c r="AM537">
        <v>3</v>
      </c>
      <c r="AN537" s="22" t="s">
        <v>53</v>
      </c>
      <c r="AO537" s="22">
        <v>0</v>
      </c>
      <c r="AP537" s="22">
        <v>0</v>
      </c>
      <c r="AQ537" s="22">
        <v>0</v>
      </c>
      <c r="AR537" s="35">
        <v>0</v>
      </c>
      <c r="AS537" s="35">
        <v>0</v>
      </c>
      <c r="AT537" s="35">
        <v>3</v>
      </c>
      <c r="AU537" s="31" t="str">
        <f t="shared" si="12"/>
        <v>库存为3</v>
      </c>
      <c r="AV537" s="36" t="str">
        <f>IFERROR(时间!$B$4+AU537,"上周无销量")</f>
        <v>上周无销量</v>
      </c>
    </row>
    <row r="538" spans="1:48">
      <c r="A538" s="20" t="s">
        <v>1240</v>
      </c>
      <c r="B538" t="s">
        <v>1241</v>
      </c>
      <c r="C538" t="s">
        <v>1215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1</v>
      </c>
      <c r="J538" s="33">
        <v>0</v>
      </c>
      <c r="K538" s="33">
        <v>0</v>
      </c>
      <c r="L538" s="33">
        <v>0</v>
      </c>
      <c r="M538">
        <v>1</v>
      </c>
      <c r="N538">
        <v>0</v>
      </c>
      <c r="O538">
        <v>0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4</v>
      </c>
      <c r="AK538">
        <v>2</v>
      </c>
      <c r="AL538">
        <v>2</v>
      </c>
      <c r="AM538">
        <v>1</v>
      </c>
      <c r="AN538" s="22">
        <v>0</v>
      </c>
      <c r="AO538" s="22">
        <v>0</v>
      </c>
      <c r="AP538" s="22">
        <v>0</v>
      </c>
      <c r="AQ538" s="22">
        <v>0</v>
      </c>
      <c r="AR538" s="35">
        <v>0</v>
      </c>
      <c r="AS538" s="35">
        <v>0</v>
      </c>
      <c r="AT538" s="35">
        <v>1</v>
      </c>
      <c r="AU538" s="31" t="str">
        <f t="shared" si="12"/>
        <v>库存为1</v>
      </c>
      <c r="AV538" s="36" t="str">
        <f>IFERROR(时间!$B$4+AU538,"上周无销量")</f>
        <v>上周无销量</v>
      </c>
    </row>
    <row r="539" spans="1:48">
      <c r="A539" s="20" t="s">
        <v>1242</v>
      </c>
      <c r="B539" t="s">
        <v>1243</v>
      </c>
      <c r="C539" t="s">
        <v>1215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1</v>
      </c>
      <c r="O539">
        <v>0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0</v>
      </c>
      <c r="AK539">
        <v>0</v>
      </c>
      <c r="AL539">
        <v>0</v>
      </c>
      <c r="AM539">
        <v>0</v>
      </c>
      <c r="AN539" s="22" t="s">
        <v>53</v>
      </c>
      <c r="AO539" s="22" t="s">
        <v>53</v>
      </c>
      <c r="AP539" s="22" t="s">
        <v>53</v>
      </c>
      <c r="AQ539" s="22" t="s">
        <v>53</v>
      </c>
      <c r="AR539" s="35">
        <v>0</v>
      </c>
      <c r="AS539" s="35">
        <v>0</v>
      </c>
      <c r="AT539" s="35">
        <v>0</v>
      </c>
      <c r="AU539" s="31" t="str">
        <f t="shared" si="12"/>
        <v>库存为0</v>
      </c>
      <c r="AV539" s="36" t="str">
        <f>IFERROR(时间!$B$4+AU539,"上周无销量")</f>
        <v>上周无销量</v>
      </c>
    </row>
    <row r="540" spans="1:48">
      <c r="A540" s="20" t="s">
        <v>1244</v>
      </c>
      <c r="B540" t="s">
        <v>1245</v>
      </c>
      <c r="C540" t="s">
        <v>1215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4</v>
      </c>
      <c r="J540" s="33">
        <v>0</v>
      </c>
      <c r="K540" s="33">
        <v>0</v>
      </c>
      <c r="L540" s="33">
        <v>0</v>
      </c>
      <c r="M540">
        <v>4</v>
      </c>
      <c r="N540">
        <v>0</v>
      </c>
      <c r="O540">
        <v>4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4</v>
      </c>
      <c r="AK540">
        <v>0</v>
      </c>
      <c r="AL540">
        <v>0</v>
      </c>
      <c r="AM540">
        <v>2</v>
      </c>
      <c r="AN540" s="22">
        <v>0</v>
      </c>
      <c r="AO540" s="22" t="s">
        <v>53</v>
      </c>
      <c r="AP540" s="22" t="s">
        <v>53</v>
      </c>
      <c r="AQ540" s="22">
        <v>0</v>
      </c>
      <c r="AR540" s="35">
        <v>0</v>
      </c>
      <c r="AS540" s="35">
        <v>0</v>
      </c>
      <c r="AT540" s="35">
        <v>4</v>
      </c>
      <c r="AU540" s="31" t="str">
        <f t="shared" si="12"/>
        <v>库存为4</v>
      </c>
      <c r="AV540" s="36" t="str">
        <f>IFERROR(时间!$B$4+AU540,"上周无销量")</f>
        <v>上周无销量</v>
      </c>
    </row>
    <row r="541" spans="1:48">
      <c r="A541" s="20" t="s">
        <v>1246</v>
      </c>
      <c r="B541" t="s">
        <v>1247</v>
      </c>
      <c r="C541" t="s">
        <v>1215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0</v>
      </c>
      <c r="AK541">
        <v>0</v>
      </c>
      <c r="AL541">
        <v>0</v>
      </c>
      <c r="AM541">
        <v>0</v>
      </c>
      <c r="AN541" s="22" t="s">
        <v>53</v>
      </c>
      <c r="AO541" s="22" t="s">
        <v>53</v>
      </c>
      <c r="AP541" s="22" t="s">
        <v>53</v>
      </c>
      <c r="AQ541" s="22" t="s">
        <v>53</v>
      </c>
      <c r="AR541" s="35">
        <v>0</v>
      </c>
      <c r="AS541" s="35">
        <v>0</v>
      </c>
      <c r="AT541" s="35">
        <v>0</v>
      </c>
      <c r="AU541" s="31" t="str">
        <f t="shared" si="12"/>
        <v>库存为0</v>
      </c>
      <c r="AV541" s="36" t="str">
        <f>IFERROR(时间!$B$4+AU541,"上周无销量")</f>
        <v>上周无销量</v>
      </c>
    </row>
    <row r="542" spans="1:48">
      <c r="A542" s="20" t="s">
        <v>1248</v>
      </c>
      <c r="B542" t="s">
        <v>1249</v>
      </c>
      <c r="C542" t="s">
        <v>1215</v>
      </c>
      <c r="D542" s="31">
        <v>0</v>
      </c>
      <c r="E542" s="31">
        <v>0</v>
      </c>
      <c r="F542" s="31">
        <v>1</v>
      </c>
      <c r="G542" s="31">
        <v>0</v>
      </c>
      <c r="H542" s="32">
        <v>13.99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0</v>
      </c>
      <c r="AK542">
        <v>0</v>
      </c>
      <c r="AL542">
        <v>0</v>
      </c>
      <c r="AM542">
        <v>3</v>
      </c>
      <c r="AN542" s="22" t="s">
        <v>53</v>
      </c>
      <c r="AO542" s="22" t="s">
        <v>53</v>
      </c>
      <c r="AP542" s="22" t="s">
        <v>53</v>
      </c>
      <c r="AQ542" s="22">
        <v>0</v>
      </c>
      <c r="AR542" s="35">
        <v>0</v>
      </c>
      <c r="AS542" s="35">
        <v>0</v>
      </c>
      <c r="AT542" s="35">
        <v>0</v>
      </c>
      <c r="AU542" s="31" t="str">
        <f t="shared" si="12"/>
        <v>库存为0</v>
      </c>
      <c r="AV542" s="36" t="str">
        <f>IFERROR(时间!$B$4+AU542,"上周无销量")</f>
        <v>上周无销量</v>
      </c>
    </row>
    <row r="543" spans="1:48">
      <c r="A543" s="20" t="s">
        <v>1250</v>
      </c>
      <c r="B543" t="s">
        <v>1251</v>
      </c>
      <c r="C543" t="s">
        <v>1252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0</v>
      </c>
      <c r="AK543">
        <v>0</v>
      </c>
      <c r="AL543">
        <v>0</v>
      </c>
      <c r="AM543">
        <v>0</v>
      </c>
      <c r="AN543" s="22" t="s">
        <v>53</v>
      </c>
      <c r="AO543" s="22" t="s">
        <v>53</v>
      </c>
      <c r="AP543" s="22" t="s">
        <v>53</v>
      </c>
      <c r="AQ543" s="22" t="s">
        <v>53</v>
      </c>
      <c r="AR543" s="35">
        <v>0</v>
      </c>
      <c r="AS543" s="35">
        <v>0</v>
      </c>
      <c r="AT543" s="35">
        <v>0</v>
      </c>
      <c r="AU543" s="31" t="str">
        <f t="shared" si="12"/>
        <v>库存为0</v>
      </c>
      <c r="AV543" s="36" t="str">
        <f>IFERROR(时间!$B$4+AU543,"上周无销量")</f>
        <v>上周无销量</v>
      </c>
    </row>
    <row r="544" spans="1:48">
      <c r="A544" s="20" t="s">
        <v>1253</v>
      </c>
      <c r="B544" t="s">
        <v>1254</v>
      </c>
      <c r="C544" t="s">
        <v>1252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0</v>
      </c>
      <c r="AK544">
        <v>0</v>
      </c>
      <c r="AL544">
        <v>0</v>
      </c>
      <c r="AM544">
        <v>0</v>
      </c>
      <c r="AN544" s="22" t="s">
        <v>53</v>
      </c>
      <c r="AO544" s="22" t="s">
        <v>53</v>
      </c>
      <c r="AP544" s="22" t="s">
        <v>53</v>
      </c>
      <c r="AQ544" s="22" t="s">
        <v>53</v>
      </c>
      <c r="AR544" s="35">
        <v>0</v>
      </c>
      <c r="AS544" s="35">
        <v>0</v>
      </c>
      <c r="AT544" s="35">
        <v>0</v>
      </c>
      <c r="AU544" s="31" t="str">
        <f t="shared" si="12"/>
        <v>库存为0</v>
      </c>
      <c r="AV544" s="36" t="str">
        <f>IFERROR(时间!$B$4+AU544,"上周无销量")</f>
        <v>上周无销量</v>
      </c>
    </row>
    <row r="545" spans="1:48">
      <c r="A545" s="20" t="s">
        <v>1255</v>
      </c>
      <c r="B545" t="s">
        <v>1256</v>
      </c>
      <c r="C545" t="s">
        <v>1252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0</v>
      </c>
      <c r="O545">
        <v>0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0</v>
      </c>
      <c r="AK545">
        <v>0</v>
      </c>
      <c r="AL545">
        <v>0</v>
      </c>
      <c r="AM545">
        <v>0</v>
      </c>
      <c r="AN545" s="22" t="s">
        <v>53</v>
      </c>
      <c r="AO545" s="22" t="s">
        <v>53</v>
      </c>
      <c r="AP545" s="22" t="s">
        <v>53</v>
      </c>
      <c r="AQ545" s="22" t="s">
        <v>53</v>
      </c>
      <c r="AR545" s="35">
        <v>0</v>
      </c>
      <c r="AS545" s="35">
        <v>0</v>
      </c>
      <c r="AT545" s="35">
        <v>0</v>
      </c>
      <c r="AU545" s="31" t="str">
        <f t="shared" si="12"/>
        <v>库存为0</v>
      </c>
      <c r="AV545" s="36" t="str">
        <f>IFERROR(时间!$B$4+AU545,"上周无销量")</f>
        <v>上周无销量</v>
      </c>
    </row>
    <row r="546" spans="1:48">
      <c r="A546" s="20" t="s">
        <v>1257</v>
      </c>
      <c r="B546" t="s">
        <v>1258</v>
      </c>
      <c r="C546" t="s">
        <v>1252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0</v>
      </c>
      <c r="AK546">
        <v>0</v>
      </c>
      <c r="AL546">
        <v>0</v>
      </c>
      <c r="AM546">
        <v>0</v>
      </c>
      <c r="AN546" s="22" t="s">
        <v>53</v>
      </c>
      <c r="AO546" s="22" t="s">
        <v>53</v>
      </c>
      <c r="AP546" s="22" t="s">
        <v>53</v>
      </c>
      <c r="AQ546" s="22" t="s">
        <v>53</v>
      </c>
      <c r="AR546" s="35">
        <v>0</v>
      </c>
      <c r="AS546" s="35">
        <v>0</v>
      </c>
      <c r="AT546" s="35">
        <v>0</v>
      </c>
      <c r="AU546" s="31" t="str">
        <f t="shared" si="12"/>
        <v>库存为0</v>
      </c>
      <c r="AV546" s="36" t="str">
        <f>IFERROR(时间!$B$4+AU546,"上周无销量")</f>
        <v>上周无销量</v>
      </c>
    </row>
    <row r="547" spans="1:48">
      <c r="A547" s="20" t="s">
        <v>1259</v>
      </c>
      <c r="B547" t="s">
        <v>1251</v>
      </c>
      <c r="C547" t="s">
        <v>1260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0</v>
      </c>
      <c r="AK547">
        <v>0</v>
      </c>
      <c r="AL547">
        <v>0</v>
      </c>
      <c r="AM547">
        <v>0</v>
      </c>
      <c r="AN547" s="22" t="s">
        <v>53</v>
      </c>
      <c r="AO547" s="22" t="s">
        <v>53</v>
      </c>
      <c r="AP547" s="22" t="s">
        <v>53</v>
      </c>
      <c r="AQ547" s="22" t="s">
        <v>53</v>
      </c>
      <c r="AR547" s="35">
        <v>0</v>
      </c>
      <c r="AS547" s="35">
        <v>0</v>
      </c>
      <c r="AT547" s="35">
        <v>0</v>
      </c>
      <c r="AU547" s="31" t="str">
        <f t="shared" si="12"/>
        <v>库存为0</v>
      </c>
      <c r="AV547" s="36" t="str">
        <f>IFERROR(时间!$B$4+AU547,"上周无销量")</f>
        <v>上周无销量</v>
      </c>
    </row>
    <row r="548" spans="1:48">
      <c r="A548" s="20" t="s">
        <v>1261</v>
      </c>
      <c r="B548" t="s">
        <v>1254</v>
      </c>
      <c r="C548" t="s">
        <v>1260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0</v>
      </c>
      <c r="AK548">
        <v>0</v>
      </c>
      <c r="AL548">
        <v>0</v>
      </c>
      <c r="AM548">
        <v>0</v>
      </c>
      <c r="AN548" s="22" t="s">
        <v>53</v>
      </c>
      <c r="AO548" s="22" t="s">
        <v>53</v>
      </c>
      <c r="AP548" s="22" t="s">
        <v>53</v>
      </c>
      <c r="AQ548" s="22" t="s">
        <v>53</v>
      </c>
      <c r="AR548" s="35">
        <v>0</v>
      </c>
      <c r="AS548" s="35">
        <v>0</v>
      </c>
      <c r="AT548" s="35">
        <v>0</v>
      </c>
      <c r="AU548" s="31" t="str">
        <f t="shared" si="12"/>
        <v>库存为0</v>
      </c>
      <c r="AV548" s="36" t="str">
        <f>IFERROR(时间!$B$4+AU548,"上周无销量")</f>
        <v>上周无销量</v>
      </c>
    </row>
    <row r="549" spans="1:48">
      <c r="A549" s="20" t="s">
        <v>1262</v>
      </c>
      <c r="B549" t="s">
        <v>1256</v>
      </c>
      <c r="C549" t="s">
        <v>1260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0</v>
      </c>
      <c r="J549" s="33">
        <v>0</v>
      </c>
      <c r="K549" s="33">
        <v>0</v>
      </c>
      <c r="L549" s="33">
        <v>0</v>
      </c>
      <c r="M549">
        <v>0</v>
      </c>
      <c r="N549">
        <v>0</v>
      </c>
      <c r="O549">
        <v>0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0</v>
      </c>
      <c r="AK549">
        <v>0</v>
      </c>
      <c r="AL549">
        <v>0</v>
      </c>
      <c r="AM549">
        <v>0</v>
      </c>
      <c r="AN549" s="22" t="s">
        <v>53</v>
      </c>
      <c r="AO549" s="22" t="s">
        <v>53</v>
      </c>
      <c r="AP549" s="22" t="s">
        <v>53</v>
      </c>
      <c r="AQ549" s="22" t="s">
        <v>53</v>
      </c>
      <c r="AR549" s="35">
        <v>0</v>
      </c>
      <c r="AS549" s="35">
        <v>0</v>
      </c>
      <c r="AT549" s="35">
        <v>0</v>
      </c>
      <c r="AU549" s="31" t="str">
        <f t="shared" si="12"/>
        <v>库存为0</v>
      </c>
      <c r="AV549" s="36" t="str">
        <f>IFERROR(时间!$B$4+AU549,"上周无销量")</f>
        <v>上周无销量</v>
      </c>
    </row>
    <row r="550" spans="1:48">
      <c r="A550" s="20" t="s">
        <v>1263</v>
      </c>
      <c r="B550" t="s">
        <v>1258</v>
      </c>
      <c r="C550" t="s">
        <v>1260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0</v>
      </c>
      <c r="J550" s="33">
        <v>0</v>
      </c>
      <c r="K550" s="33">
        <v>0</v>
      </c>
      <c r="L550" s="33">
        <v>0</v>
      </c>
      <c r="M550">
        <v>0</v>
      </c>
      <c r="N550">
        <v>0</v>
      </c>
      <c r="O550">
        <v>0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0</v>
      </c>
      <c r="AK550">
        <v>0</v>
      </c>
      <c r="AL550">
        <v>0</v>
      </c>
      <c r="AM550">
        <v>0</v>
      </c>
      <c r="AN550" s="22" t="s">
        <v>53</v>
      </c>
      <c r="AO550" s="22" t="s">
        <v>53</v>
      </c>
      <c r="AP550" s="22" t="s">
        <v>53</v>
      </c>
      <c r="AQ550" s="22" t="s">
        <v>53</v>
      </c>
      <c r="AR550" s="35">
        <v>0</v>
      </c>
      <c r="AS550" s="35">
        <v>0</v>
      </c>
      <c r="AT550" s="35">
        <v>0</v>
      </c>
      <c r="AU550" s="31" t="str">
        <f t="shared" si="12"/>
        <v>库存为0</v>
      </c>
      <c r="AV550" s="36" t="str">
        <f>IFERROR(时间!$B$4+AU550,"上周无销量")</f>
        <v>上周无销量</v>
      </c>
    </row>
    <row r="551" spans="1:48">
      <c r="A551" s="20" t="s">
        <v>1264</v>
      </c>
      <c r="B551" t="s">
        <v>1265</v>
      </c>
      <c r="C551" t="s">
        <v>1266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0</v>
      </c>
      <c r="AK551">
        <v>0</v>
      </c>
      <c r="AL551">
        <v>0</v>
      </c>
      <c r="AM551">
        <v>0</v>
      </c>
      <c r="AN551" s="22" t="s">
        <v>53</v>
      </c>
      <c r="AO551" s="22" t="s">
        <v>53</v>
      </c>
      <c r="AP551" s="22" t="s">
        <v>53</v>
      </c>
      <c r="AQ551" s="22" t="s">
        <v>53</v>
      </c>
      <c r="AR551" s="35">
        <v>0</v>
      </c>
      <c r="AS551" s="35">
        <v>0</v>
      </c>
      <c r="AT551" s="35">
        <v>0</v>
      </c>
      <c r="AU551" s="31" t="str">
        <f t="shared" si="12"/>
        <v>库存为0</v>
      </c>
      <c r="AV551" s="36" t="str">
        <f>IFERROR(时间!$B$4+AU551,"上周无销量")</f>
        <v>上周无销量</v>
      </c>
    </row>
    <row r="552" spans="1:48">
      <c r="A552" s="20" t="s">
        <v>1267</v>
      </c>
      <c r="B552" t="s">
        <v>1268</v>
      </c>
      <c r="C552" t="s">
        <v>1269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0</v>
      </c>
      <c r="AK552">
        <v>0</v>
      </c>
      <c r="AL552">
        <v>0</v>
      </c>
      <c r="AM552">
        <v>0</v>
      </c>
      <c r="AN552" s="22" t="s">
        <v>53</v>
      </c>
      <c r="AO552" s="22" t="s">
        <v>53</v>
      </c>
      <c r="AP552" s="22" t="s">
        <v>53</v>
      </c>
      <c r="AQ552" s="22" t="s">
        <v>53</v>
      </c>
      <c r="AR552" s="35">
        <v>0</v>
      </c>
      <c r="AS552" s="35">
        <v>0</v>
      </c>
      <c r="AT552" s="35">
        <v>0</v>
      </c>
      <c r="AU552" s="31" t="str">
        <f t="shared" si="12"/>
        <v>库存为0</v>
      </c>
      <c r="AV552" s="36" t="str">
        <f>IFERROR(时间!$B$4+AU552,"上周无销量")</f>
        <v>上周无销量</v>
      </c>
    </row>
    <row r="553" spans="1:48">
      <c r="A553" s="20" t="s">
        <v>1270</v>
      </c>
      <c r="B553" t="s">
        <v>1271</v>
      </c>
      <c r="C553" t="s">
        <v>1272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0</v>
      </c>
      <c r="AK553">
        <v>0</v>
      </c>
      <c r="AL553">
        <v>0</v>
      </c>
      <c r="AM553">
        <v>0</v>
      </c>
      <c r="AN553" s="22" t="s">
        <v>53</v>
      </c>
      <c r="AO553" s="22" t="s">
        <v>53</v>
      </c>
      <c r="AP553" s="22" t="s">
        <v>53</v>
      </c>
      <c r="AQ553" s="22" t="s">
        <v>53</v>
      </c>
      <c r="AR553" s="35">
        <v>0</v>
      </c>
      <c r="AS553" s="35">
        <v>0</v>
      </c>
      <c r="AT553" s="35">
        <v>0</v>
      </c>
      <c r="AU553" s="31" t="str">
        <f t="shared" si="12"/>
        <v>库存为0</v>
      </c>
      <c r="AV553" s="36" t="str">
        <f>IFERROR(时间!$B$4+AU553,"上周无销量")</f>
        <v>上周无销量</v>
      </c>
    </row>
    <row r="554" spans="1:48">
      <c r="A554" s="20" t="s">
        <v>1273</v>
      </c>
      <c r="B554" t="s">
        <v>1274</v>
      </c>
      <c r="C554" t="s">
        <v>1275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3</v>
      </c>
      <c r="J554" s="33">
        <v>0</v>
      </c>
      <c r="K554" s="33">
        <v>0</v>
      </c>
      <c r="L554" s="33">
        <v>0</v>
      </c>
      <c r="M554">
        <v>3</v>
      </c>
      <c r="N554">
        <v>0</v>
      </c>
      <c r="O554">
        <v>3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0</v>
      </c>
      <c r="AK554">
        <v>1</v>
      </c>
      <c r="AL554">
        <v>1</v>
      </c>
      <c r="AM554">
        <v>0</v>
      </c>
      <c r="AN554" s="22" t="s">
        <v>53</v>
      </c>
      <c r="AO554" s="22">
        <v>0</v>
      </c>
      <c r="AP554" s="22">
        <v>0</v>
      </c>
      <c r="AQ554" s="22" t="s">
        <v>53</v>
      </c>
      <c r="AR554" s="35">
        <v>0</v>
      </c>
      <c r="AS554" s="35">
        <v>0</v>
      </c>
      <c r="AT554" s="35">
        <v>3</v>
      </c>
      <c r="AU554" s="31" t="str">
        <f t="shared" si="12"/>
        <v>库存为3</v>
      </c>
      <c r="AV554" s="36" t="str">
        <f>IFERROR(时间!$B$4+AU554,"上周无销量")</f>
        <v>上周无销量</v>
      </c>
    </row>
    <row r="555" spans="1:48">
      <c r="A555" s="20" t="s">
        <v>1276</v>
      </c>
      <c r="B555" t="s">
        <v>1277</v>
      </c>
      <c r="C555" t="s">
        <v>1275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3</v>
      </c>
      <c r="J555" s="33">
        <v>0</v>
      </c>
      <c r="K555" s="33">
        <v>0</v>
      </c>
      <c r="L555" s="33">
        <v>0</v>
      </c>
      <c r="M555">
        <v>3</v>
      </c>
      <c r="N555">
        <v>0</v>
      </c>
      <c r="O555">
        <v>3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1</v>
      </c>
      <c r="AK555">
        <v>2</v>
      </c>
      <c r="AL555">
        <v>0</v>
      </c>
      <c r="AM555">
        <v>0</v>
      </c>
      <c r="AN555" s="22">
        <v>0</v>
      </c>
      <c r="AO555" s="22">
        <v>0</v>
      </c>
      <c r="AP555" s="22" t="s">
        <v>53</v>
      </c>
      <c r="AQ555" s="22" t="s">
        <v>53</v>
      </c>
      <c r="AR555" s="35">
        <v>0</v>
      </c>
      <c r="AS555" s="35">
        <v>0</v>
      </c>
      <c r="AT555" s="35">
        <v>3</v>
      </c>
      <c r="AU555" s="31" t="str">
        <f t="shared" si="12"/>
        <v>库存为3</v>
      </c>
      <c r="AV555" s="36" t="str">
        <f>IFERROR(时间!$B$4+AU555,"上周无销量")</f>
        <v>上周无销量</v>
      </c>
    </row>
    <row r="556" spans="1:48">
      <c r="A556" s="20" t="s">
        <v>1278</v>
      </c>
      <c r="B556" t="s">
        <v>1279</v>
      </c>
      <c r="C556" t="s">
        <v>1275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3</v>
      </c>
      <c r="J556" s="33">
        <v>0</v>
      </c>
      <c r="K556" s="33">
        <v>0</v>
      </c>
      <c r="L556" s="33">
        <v>0</v>
      </c>
      <c r="M556">
        <v>3</v>
      </c>
      <c r="N556">
        <v>0</v>
      </c>
      <c r="O556">
        <v>3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0</v>
      </c>
      <c r="AK556">
        <v>2</v>
      </c>
      <c r="AL556">
        <v>3</v>
      </c>
      <c r="AM556">
        <v>2</v>
      </c>
      <c r="AN556" s="22" t="s">
        <v>53</v>
      </c>
      <c r="AO556" s="22">
        <v>0</v>
      </c>
      <c r="AP556" s="22">
        <v>0</v>
      </c>
      <c r="AQ556" s="22">
        <v>0</v>
      </c>
      <c r="AR556" s="35">
        <v>0</v>
      </c>
      <c r="AS556" s="35">
        <v>0</v>
      </c>
      <c r="AT556" s="35">
        <v>3</v>
      </c>
      <c r="AU556" s="31" t="str">
        <f t="shared" si="12"/>
        <v>库存为3</v>
      </c>
      <c r="AV556" s="36" t="str">
        <f>IFERROR(时间!$B$4+AU556,"上周无销量")</f>
        <v>上周无销量</v>
      </c>
    </row>
    <row r="557" spans="1:48">
      <c r="A557" s="20" t="s">
        <v>1280</v>
      </c>
      <c r="B557" t="s">
        <v>1281</v>
      </c>
      <c r="C557" t="s">
        <v>1275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3</v>
      </c>
      <c r="J557" s="33">
        <v>0</v>
      </c>
      <c r="K557" s="33">
        <v>0</v>
      </c>
      <c r="L557" s="33">
        <v>0</v>
      </c>
      <c r="M557">
        <v>3</v>
      </c>
      <c r="N557">
        <v>0</v>
      </c>
      <c r="O557">
        <v>3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2</v>
      </c>
      <c r="AK557">
        <v>3</v>
      </c>
      <c r="AL557">
        <v>1</v>
      </c>
      <c r="AM557">
        <v>0</v>
      </c>
      <c r="AN557" s="22">
        <v>0</v>
      </c>
      <c r="AO557" s="22">
        <v>0</v>
      </c>
      <c r="AP557" s="22">
        <v>0</v>
      </c>
      <c r="AQ557" s="22" t="s">
        <v>53</v>
      </c>
      <c r="AR557" s="35">
        <v>0</v>
      </c>
      <c r="AS557" s="35">
        <v>0</v>
      </c>
      <c r="AT557" s="35">
        <v>3</v>
      </c>
      <c r="AU557" s="31" t="str">
        <f t="shared" si="12"/>
        <v>库存为3</v>
      </c>
      <c r="AV557" s="36" t="str">
        <f>IFERROR(时间!$B$4+AU557,"上周无销量")</f>
        <v>上周无销量</v>
      </c>
    </row>
    <row r="558" spans="1:48">
      <c r="A558" s="20" t="s">
        <v>1282</v>
      </c>
      <c r="B558" t="s">
        <v>1283</v>
      </c>
      <c r="C558" t="s">
        <v>1275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3</v>
      </c>
      <c r="J558" s="33">
        <v>0</v>
      </c>
      <c r="K558" s="33">
        <v>0</v>
      </c>
      <c r="L558" s="33">
        <v>0</v>
      </c>
      <c r="M558">
        <v>3</v>
      </c>
      <c r="N558">
        <v>0</v>
      </c>
      <c r="O558">
        <v>3</v>
      </c>
      <c r="P558" t="s">
        <v>53</v>
      </c>
      <c r="Q558" t="s">
        <v>53</v>
      </c>
      <c r="R558" t="s">
        <v>53</v>
      </c>
      <c r="S558" t="s">
        <v>53</v>
      </c>
      <c r="T558" t="s">
        <v>53</v>
      </c>
      <c r="U558" t="s">
        <v>53</v>
      </c>
      <c r="V558" t="s">
        <v>53</v>
      </c>
      <c r="W558" t="s">
        <v>53</v>
      </c>
      <c r="X558" s="22" t="s">
        <v>53</v>
      </c>
      <c r="Y558" s="22" t="s">
        <v>53</v>
      </c>
      <c r="Z558" s="22" t="s">
        <v>53</v>
      </c>
      <c r="AA558" s="22" t="s">
        <v>53</v>
      </c>
      <c r="AB558" t="s">
        <v>53</v>
      </c>
      <c r="AC558" t="s">
        <v>53</v>
      </c>
      <c r="AD558" t="s">
        <v>53</v>
      </c>
      <c r="AE558" t="s">
        <v>53</v>
      </c>
      <c r="AF558" s="22" t="s">
        <v>53</v>
      </c>
      <c r="AG558" s="22" t="s">
        <v>53</v>
      </c>
      <c r="AH558" s="22" t="s">
        <v>53</v>
      </c>
      <c r="AI558" s="22" t="s">
        <v>53</v>
      </c>
      <c r="AJ558">
        <v>0</v>
      </c>
      <c r="AK558">
        <v>3</v>
      </c>
      <c r="AL558">
        <v>1</v>
      </c>
      <c r="AM558">
        <v>4</v>
      </c>
      <c r="AN558" s="22" t="s">
        <v>53</v>
      </c>
      <c r="AO558" s="22">
        <v>0</v>
      </c>
      <c r="AP558" s="22">
        <v>0</v>
      </c>
      <c r="AQ558" s="22">
        <v>0</v>
      </c>
      <c r="AR558" s="35">
        <v>0</v>
      </c>
      <c r="AS558" s="35">
        <v>0</v>
      </c>
      <c r="AT558" s="35">
        <v>3</v>
      </c>
      <c r="AU558" s="31" t="str">
        <f t="shared" si="12"/>
        <v>库存为3</v>
      </c>
      <c r="AV558" s="36" t="str">
        <f>IFERROR(时间!$B$4+AU558,"上周无销量")</f>
        <v>上周无销量</v>
      </c>
    </row>
    <row r="559" spans="1:48">
      <c r="A559" s="20" t="s">
        <v>1284</v>
      </c>
      <c r="B559" t="s">
        <v>1285</v>
      </c>
      <c r="C559" t="s">
        <v>1275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3</v>
      </c>
      <c r="J559" s="33">
        <v>0</v>
      </c>
      <c r="K559" s="33">
        <v>0</v>
      </c>
      <c r="L559" s="33">
        <v>0</v>
      </c>
      <c r="M559">
        <v>3</v>
      </c>
      <c r="N559">
        <v>0</v>
      </c>
      <c r="O559">
        <v>3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0</v>
      </c>
      <c r="AK559">
        <v>2</v>
      </c>
      <c r="AL559">
        <v>2</v>
      </c>
      <c r="AM559">
        <v>2</v>
      </c>
      <c r="AN559" s="22" t="s">
        <v>53</v>
      </c>
      <c r="AO559" s="22">
        <v>0</v>
      </c>
      <c r="AP559" s="22">
        <v>0</v>
      </c>
      <c r="AQ559" s="22">
        <v>0</v>
      </c>
      <c r="AR559" s="35">
        <v>0</v>
      </c>
      <c r="AS559" s="35">
        <v>0</v>
      </c>
      <c r="AT559" s="35">
        <v>3</v>
      </c>
      <c r="AU559" s="31" t="str">
        <f t="shared" si="12"/>
        <v>库存为3</v>
      </c>
      <c r="AV559" s="36" t="str">
        <f>IFERROR(时间!$B$4+AU559,"上周无销量")</f>
        <v>上周无销量</v>
      </c>
    </row>
    <row r="560" spans="1:48">
      <c r="A560" s="20" t="s">
        <v>1286</v>
      </c>
      <c r="B560" t="s">
        <v>1287</v>
      </c>
      <c r="C560" t="s">
        <v>1275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3</v>
      </c>
      <c r="J560" s="33">
        <v>0</v>
      </c>
      <c r="K560" s="33">
        <v>0</v>
      </c>
      <c r="L560" s="33">
        <v>0</v>
      </c>
      <c r="M560">
        <v>3</v>
      </c>
      <c r="N560">
        <v>0</v>
      </c>
      <c r="O560">
        <v>3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0</v>
      </c>
      <c r="AK560">
        <v>1</v>
      </c>
      <c r="AL560">
        <v>1</v>
      </c>
      <c r="AM560">
        <v>1</v>
      </c>
      <c r="AN560" s="22" t="s">
        <v>53</v>
      </c>
      <c r="AO560" s="22">
        <v>0</v>
      </c>
      <c r="AP560" s="22">
        <v>0</v>
      </c>
      <c r="AQ560" s="22">
        <v>0</v>
      </c>
      <c r="AR560" s="35">
        <v>0</v>
      </c>
      <c r="AS560" s="35">
        <v>0</v>
      </c>
      <c r="AT560" s="35">
        <v>3</v>
      </c>
      <c r="AU560" s="31" t="str">
        <f t="shared" si="12"/>
        <v>库存为3</v>
      </c>
      <c r="AV560" s="36" t="str">
        <f>IFERROR(时间!$B$4+AU560,"上周无销量")</f>
        <v>上周无销量</v>
      </c>
    </row>
    <row r="561" spans="1:48">
      <c r="A561" s="20" t="s">
        <v>1288</v>
      </c>
      <c r="B561" t="s">
        <v>1289</v>
      </c>
      <c r="C561" t="s">
        <v>1275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3</v>
      </c>
      <c r="J561" s="33">
        <v>0</v>
      </c>
      <c r="K561" s="33">
        <v>0</v>
      </c>
      <c r="L561" s="33">
        <v>0</v>
      </c>
      <c r="M561">
        <v>3</v>
      </c>
      <c r="N561">
        <v>0</v>
      </c>
      <c r="O561">
        <v>3</v>
      </c>
      <c r="P561" t="s">
        <v>53</v>
      </c>
      <c r="Q561" t="s">
        <v>53</v>
      </c>
      <c r="R561" t="s">
        <v>53</v>
      </c>
      <c r="S561" t="s">
        <v>53</v>
      </c>
      <c r="T561" t="s">
        <v>53</v>
      </c>
      <c r="U561" t="s">
        <v>53</v>
      </c>
      <c r="V561" t="s">
        <v>53</v>
      </c>
      <c r="W561" t="s">
        <v>53</v>
      </c>
      <c r="X561" s="22" t="s">
        <v>53</v>
      </c>
      <c r="Y561" s="22" t="s">
        <v>53</v>
      </c>
      <c r="Z561" s="22" t="s">
        <v>53</v>
      </c>
      <c r="AA561" s="22" t="s">
        <v>53</v>
      </c>
      <c r="AB561" t="s">
        <v>53</v>
      </c>
      <c r="AC561" t="s">
        <v>53</v>
      </c>
      <c r="AD561" t="s">
        <v>53</v>
      </c>
      <c r="AE561" t="s">
        <v>53</v>
      </c>
      <c r="AF561" s="22" t="s">
        <v>53</v>
      </c>
      <c r="AG561" s="22" t="s">
        <v>53</v>
      </c>
      <c r="AH561" s="22" t="s">
        <v>53</v>
      </c>
      <c r="AI561" s="22" t="s">
        <v>53</v>
      </c>
      <c r="AJ561">
        <v>1</v>
      </c>
      <c r="AK561">
        <v>4</v>
      </c>
      <c r="AL561">
        <v>1</v>
      </c>
      <c r="AM561">
        <v>1</v>
      </c>
      <c r="AN561" s="22">
        <v>0</v>
      </c>
      <c r="AO561" s="22">
        <v>0</v>
      </c>
      <c r="AP561" s="22">
        <v>0</v>
      </c>
      <c r="AQ561" s="22">
        <v>0</v>
      </c>
      <c r="AR561" s="35">
        <v>0</v>
      </c>
      <c r="AS561" s="35">
        <v>0</v>
      </c>
      <c r="AT561" s="35">
        <v>3</v>
      </c>
      <c r="AU561" s="31" t="str">
        <f t="shared" si="12"/>
        <v>库存为3</v>
      </c>
      <c r="AV561" s="36" t="str">
        <f>IFERROR(时间!$B$4+AU561,"上周无销量")</f>
        <v>上周无销量</v>
      </c>
    </row>
    <row r="562" spans="1:48">
      <c r="A562" s="20" t="s">
        <v>1290</v>
      </c>
      <c r="B562" t="s">
        <v>1291</v>
      </c>
      <c r="C562" t="s">
        <v>1275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3</v>
      </c>
      <c r="J562" s="33">
        <v>0</v>
      </c>
      <c r="K562" s="33">
        <v>0</v>
      </c>
      <c r="L562" s="33">
        <v>0</v>
      </c>
      <c r="M562">
        <v>3</v>
      </c>
      <c r="N562">
        <v>0</v>
      </c>
      <c r="O562">
        <v>3</v>
      </c>
      <c r="P562" t="s">
        <v>53</v>
      </c>
      <c r="Q562" t="s">
        <v>53</v>
      </c>
      <c r="R562" t="s">
        <v>53</v>
      </c>
      <c r="S562" t="s">
        <v>53</v>
      </c>
      <c r="T562" t="s">
        <v>53</v>
      </c>
      <c r="U562" t="s">
        <v>53</v>
      </c>
      <c r="V562" t="s">
        <v>53</v>
      </c>
      <c r="W562" t="s">
        <v>53</v>
      </c>
      <c r="X562" s="22" t="s">
        <v>53</v>
      </c>
      <c r="Y562" s="22" t="s">
        <v>53</v>
      </c>
      <c r="Z562" s="22" t="s">
        <v>53</v>
      </c>
      <c r="AA562" s="22" t="s">
        <v>53</v>
      </c>
      <c r="AB562" t="s">
        <v>53</v>
      </c>
      <c r="AC562" t="s">
        <v>53</v>
      </c>
      <c r="AD562" t="s">
        <v>53</v>
      </c>
      <c r="AE562" t="s">
        <v>53</v>
      </c>
      <c r="AF562" s="22" t="s">
        <v>53</v>
      </c>
      <c r="AG562" s="22" t="s">
        <v>53</v>
      </c>
      <c r="AH562" s="22" t="s">
        <v>53</v>
      </c>
      <c r="AI562" s="22" t="s">
        <v>53</v>
      </c>
      <c r="AJ562">
        <v>0</v>
      </c>
      <c r="AK562">
        <v>3</v>
      </c>
      <c r="AL562">
        <v>2</v>
      </c>
      <c r="AM562">
        <v>2</v>
      </c>
      <c r="AN562" s="22" t="s">
        <v>53</v>
      </c>
      <c r="AO562" s="22">
        <v>0</v>
      </c>
      <c r="AP562" s="22">
        <v>0</v>
      </c>
      <c r="AQ562" s="22">
        <v>0</v>
      </c>
      <c r="AR562" s="35">
        <v>0</v>
      </c>
      <c r="AS562" s="35">
        <v>0</v>
      </c>
      <c r="AT562" s="35">
        <v>3</v>
      </c>
      <c r="AU562" s="31" t="str">
        <f t="shared" si="12"/>
        <v>库存为3</v>
      </c>
      <c r="AV562" s="36" t="str">
        <f>IFERROR(时间!$B$4+AU562,"上周无销量")</f>
        <v>上周无销量</v>
      </c>
    </row>
    <row r="563" spans="1:48">
      <c r="A563" s="20" t="s">
        <v>1292</v>
      </c>
      <c r="B563" t="s">
        <v>1293</v>
      </c>
      <c r="C563" t="s">
        <v>1275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3</v>
      </c>
      <c r="J563" s="33">
        <v>0</v>
      </c>
      <c r="K563" s="33">
        <v>0</v>
      </c>
      <c r="L563" s="33">
        <v>0</v>
      </c>
      <c r="M563">
        <v>3</v>
      </c>
      <c r="N563">
        <v>0</v>
      </c>
      <c r="O563">
        <v>3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3</v>
      </c>
      <c r="AK563">
        <v>3</v>
      </c>
      <c r="AL563">
        <v>1</v>
      </c>
      <c r="AM563">
        <v>0</v>
      </c>
      <c r="AN563" s="22">
        <v>0</v>
      </c>
      <c r="AO563" s="22">
        <v>0</v>
      </c>
      <c r="AP563" s="22">
        <v>0</v>
      </c>
      <c r="AQ563" s="22" t="s">
        <v>53</v>
      </c>
      <c r="AR563" s="35">
        <v>0</v>
      </c>
      <c r="AS563" s="35">
        <v>0</v>
      </c>
      <c r="AT563" s="35">
        <v>3</v>
      </c>
      <c r="AU563" s="31" t="str">
        <f t="shared" si="12"/>
        <v>库存为3</v>
      </c>
      <c r="AV563" s="36" t="str">
        <f>IFERROR(时间!$B$4+AU563,"上周无销量")</f>
        <v>上周无销量</v>
      </c>
    </row>
    <row r="564" spans="1:48">
      <c r="A564" s="20" t="s">
        <v>1294</v>
      </c>
      <c r="B564" t="s">
        <v>1295</v>
      </c>
      <c r="C564" t="s">
        <v>1275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3</v>
      </c>
      <c r="J564" s="33">
        <v>0</v>
      </c>
      <c r="K564" s="33">
        <v>0</v>
      </c>
      <c r="L564" s="33">
        <v>0</v>
      </c>
      <c r="M564">
        <v>3</v>
      </c>
      <c r="N564">
        <v>0</v>
      </c>
      <c r="O564">
        <v>3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4</v>
      </c>
      <c r="AK564">
        <v>5</v>
      </c>
      <c r="AL564">
        <v>2</v>
      </c>
      <c r="AM564">
        <v>0</v>
      </c>
      <c r="AN564" s="22">
        <v>0</v>
      </c>
      <c r="AO564" s="22">
        <v>0</v>
      </c>
      <c r="AP564" s="22">
        <v>0</v>
      </c>
      <c r="AQ564" s="22" t="s">
        <v>53</v>
      </c>
      <c r="AR564" s="35">
        <v>0</v>
      </c>
      <c r="AS564" s="35">
        <v>0</v>
      </c>
      <c r="AT564" s="35">
        <v>3</v>
      </c>
      <c r="AU564" s="31" t="str">
        <f t="shared" si="12"/>
        <v>库存为3</v>
      </c>
      <c r="AV564" s="36" t="str">
        <f>IFERROR(时间!$B$4+AU564,"上周无销量")</f>
        <v>上周无销量</v>
      </c>
    </row>
    <row r="565" spans="1:48">
      <c r="A565" s="20" t="s">
        <v>1296</v>
      </c>
      <c r="B565" t="s">
        <v>1297</v>
      </c>
      <c r="C565" t="s">
        <v>1275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3</v>
      </c>
      <c r="J565" s="33">
        <v>0</v>
      </c>
      <c r="K565" s="33">
        <v>0</v>
      </c>
      <c r="L565" s="33">
        <v>0</v>
      </c>
      <c r="M565">
        <v>3</v>
      </c>
      <c r="N565">
        <v>0</v>
      </c>
      <c r="O565">
        <v>3</v>
      </c>
      <c r="P565" t="s">
        <v>53</v>
      </c>
      <c r="Q565" t="s">
        <v>53</v>
      </c>
      <c r="R565" t="s">
        <v>53</v>
      </c>
      <c r="S565" t="s">
        <v>53</v>
      </c>
      <c r="T565" t="s">
        <v>53</v>
      </c>
      <c r="U565" t="s">
        <v>53</v>
      </c>
      <c r="V565" t="s">
        <v>53</v>
      </c>
      <c r="W565" t="s">
        <v>53</v>
      </c>
      <c r="X565" s="22" t="s">
        <v>53</v>
      </c>
      <c r="Y565" s="22" t="s">
        <v>53</v>
      </c>
      <c r="Z565" s="22" t="s">
        <v>53</v>
      </c>
      <c r="AA565" s="22" t="s">
        <v>53</v>
      </c>
      <c r="AB565" t="s">
        <v>53</v>
      </c>
      <c r="AC565" t="s">
        <v>53</v>
      </c>
      <c r="AD565" t="s">
        <v>53</v>
      </c>
      <c r="AE565" t="s">
        <v>53</v>
      </c>
      <c r="AF565" s="22" t="s">
        <v>53</v>
      </c>
      <c r="AG565" s="22" t="s">
        <v>53</v>
      </c>
      <c r="AH565" s="22" t="s">
        <v>53</v>
      </c>
      <c r="AI565" s="22" t="s">
        <v>53</v>
      </c>
      <c r="AJ565">
        <v>0</v>
      </c>
      <c r="AK565">
        <v>2</v>
      </c>
      <c r="AL565">
        <v>1</v>
      </c>
      <c r="AM565">
        <v>2</v>
      </c>
      <c r="AN565" s="22" t="s">
        <v>53</v>
      </c>
      <c r="AO565" s="22">
        <v>0</v>
      </c>
      <c r="AP565" s="22">
        <v>0</v>
      </c>
      <c r="AQ565" s="22">
        <v>0</v>
      </c>
      <c r="AR565" s="35">
        <v>0</v>
      </c>
      <c r="AS565" s="35">
        <v>0</v>
      </c>
      <c r="AT565" s="35">
        <v>3</v>
      </c>
      <c r="AU565" s="31" t="str">
        <f t="shared" si="12"/>
        <v>库存为3</v>
      </c>
      <c r="AV565" s="36" t="str">
        <f>IFERROR(时间!$B$4+AU565,"上周无销量")</f>
        <v>上周无销量</v>
      </c>
    </row>
    <row r="566" spans="1:48">
      <c r="A566" s="20" t="s">
        <v>1298</v>
      </c>
      <c r="B566" t="s">
        <v>1299</v>
      </c>
      <c r="C566" t="s">
        <v>1275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3</v>
      </c>
      <c r="J566" s="33">
        <v>0</v>
      </c>
      <c r="K566" s="33">
        <v>0</v>
      </c>
      <c r="L566" s="33">
        <v>0</v>
      </c>
      <c r="M566">
        <v>3</v>
      </c>
      <c r="N566">
        <v>0</v>
      </c>
      <c r="O566">
        <v>3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0</v>
      </c>
      <c r="AK566">
        <v>1</v>
      </c>
      <c r="AL566">
        <v>0</v>
      </c>
      <c r="AM566">
        <v>1</v>
      </c>
      <c r="AN566" s="22" t="s">
        <v>53</v>
      </c>
      <c r="AO566" s="22">
        <v>0</v>
      </c>
      <c r="AP566" s="22" t="s">
        <v>53</v>
      </c>
      <c r="AQ566" s="22">
        <v>0</v>
      </c>
      <c r="AR566" s="35">
        <v>0</v>
      </c>
      <c r="AS566" s="35">
        <v>0</v>
      </c>
      <c r="AT566" s="35">
        <v>3</v>
      </c>
      <c r="AU566" s="31" t="str">
        <f t="shared" si="12"/>
        <v>库存为3</v>
      </c>
      <c r="AV566" s="36" t="str">
        <f>IFERROR(时间!$B$4+AU566,"上周无销量")</f>
        <v>上周无销量</v>
      </c>
    </row>
    <row r="567" spans="1:48">
      <c r="A567" s="20" t="s">
        <v>1300</v>
      </c>
      <c r="B567" t="s">
        <v>1301</v>
      </c>
      <c r="C567" t="s">
        <v>1275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3</v>
      </c>
      <c r="J567" s="33">
        <v>0</v>
      </c>
      <c r="K567" s="33">
        <v>0</v>
      </c>
      <c r="L567" s="33">
        <v>0</v>
      </c>
      <c r="M567">
        <v>3</v>
      </c>
      <c r="N567">
        <v>0</v>
      </c>
      <c r="O567">
        <v>3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0</v>
      </c>
      <c r="AK567">
        <v>3</v>
      </c>
      <c r="AL567">
        <v>1</v>
      </c>
      <c r="AM567">
        <v>3</v>
      </c>
      <c r="AN567" s="22" t="s">
        <v>53</v>
      </c>
      <c r="AO567" s="22">
        <v>0</v>
      </c>
      <c r="AP567" s="22">
        <v>0</v>
      </c>
      <c r="AQ567" s="22">
        <v>0</v>
      </c>
      <c r="AR567" s="35">
        <v>0</v>
      </c>
      <c r="AS567" s="35">
        <v>0</v>
      </c>
      <c r="AT567" s="35">
        <v>3</v>
      </c>
      <c r="AU567" s="31" t="str">
        <f t="shared" si="12"/>
        <v>库存为3</v>
      </c>
      <c r="AV567" s="36" t="str">
        <f>IFERROR(时间!$B$4+AU567,"上周无销量")</f>
        <v>上周无销量</v>
      </c>
    </row>
    <row r="568" spans="1:48">
      <c r="A568" s="20" t="s">
        <v>1302</v>
      </c>
      <c r="B568" t="s">
        <v>1303</v>
      </c>
      <c r="C568" t="s">
        <v>1275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3</v>
      </c>
      <c r="J568" s="33">
        <v>0</v>
      </c>
      <c r="K568" s="33">
        <v>0</v>
      </c>
      <c r="L568" s="33">
        <v>0</v>
      </c>
      <c r="M568">
        <v>3</v>
      </c>
      <c r="N568">
        <v>0</v>
      </c>
      <c r="O568">
        <v>3</v>
      </c>
      <c r="P568" t="s">
        <v>53</v>
      </c>
      <c r="Q568" t="s">
        <v>53</v>
      </c>
      <c r="R568" t="s">
        <v>53</v>
      </c>
      <c r="S568" t="s">
        <v>53</v>
      </c>
      <c r="T568" t="s">
        <v>53</v>
      </c>
      <c r="U568" t="s">
        <v>53</v>
      </c>
      <c r="V568" t="s">
        <v>53</v>
      </c>
      <c r="W568" t="s">
        <v>53</v>
      </c>
      <c r="X568" s="22" t="s">
        <v>53</v>
      </c>
      <c r="Y568" s="22" t="s">
        <v>53</v>
      </c>
      <c r="Z568" s="22" t="s">
        <v>53</v>
      </c>
      <c r="AA568" s="22" t="s">
        <v>53</v>
      </c>
      <c r="AB568" t="s">
        <v>53</v>
      </c>
      <c r="AC568" t="s">
        <v>53</v>
      </c>
      <c r="AD568" t="s">
        <v>53</v>
      </c>
      <c r="AE568" t="s">
        <v>53</v>
      </c>
      <c r="AF568" s="22" t="s">
        <v>53</v>
      </c>
      <c r="AG568" s="22" t="s">
        <v>53</v>
      </c>
      <c r="AH568" s="22" t="s">
        <v>53</v>
      </c>
      <c r="AI568" s="22" t="s">
        <v>53</v>
      </c>
      <c r="AJ568">
        <v>1</v>
      </c>
      <c r="AK568">
        <v>4</v>
      </c>
      <c r="AL568">
        <v>1</v>
      </c>
      <c r="AM568">
        <v>0</v>
      </c>
      <c r="AN568" s="22">
        <v>0</v>
      </c>
      <c r="AO568" s="22">
        <v>0</v>
      </c>
      <c r="AP568" s="22">
        <v>0</v>
      </c>
      <c r="AQ568" s="22" t="s">
        <v>53</v>
      </c>
      <c r="AR568" s="35">
        <v>0</v>
      </c>
      <c r="AS568" s="35">
        <v>0</v>
      </c>
      <c r="AT568" s="35">
        <v>3</v>
      </c>
      <c r="AU568" s="31" t="str">
        <f t="shared" si="12"/>
        <v>库存为3</v>
      </c>
      <c r="AV568" s="36" t="str">
        <f>IFERROR(时间!$B$4+AU568,"上周无销量")</f>
        <v>上周无销量</v>
      </c>
    </row>
    <row r="569" spans="1:48">
      <c r="A569" s="20" t="s">
        <v>1304</v>
      </c>
      <c r="B569" t="s">
        <v>1305</v>
      </c>
      <c r="C569" t="s">
        <v>1275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3</v>
      </c>
      <c r="J569" s="33">
        <v>0</v>
      </c>
      <c r="K569" s="33">
        <v>0</v>
      </c>
      <c r="L569" s="33">
        <v>0</v>
      </c>
      <c r="M569">
        <v>3</v>
      </c>
      <c r="N569">
        <v>0</v>
      </c>
      <c r="O569">
        <v>3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4</v>
      </c>
      <c r="AK569">
        <v>5</v>
      </c>
      <c r="AL569">
        <v>2</v>
      </c>
      <c r="AM569">
        <v>1</v>
      </c>
      <c r="AN569" s="22">
        <v>0</v>
      </c>
      <c r="AO569" s="22">
        <v>0</v>
      </c>
      <c r="AP569" s="22">
        <v>0</v>
      </c>
      <c r="AQ569" s="22">
        <v>0</v>
      </c>
      <c r="AR569" s="35">
        <v>0</v>
      </c>
      <c r="AS569" s="35">
        <v>0</v>
      </c>
      <c r="AT569" s="35">
        <v>3</v>
      </c>
      <c r="AU569" s="31" t="str">
        <f t="shared" si="12"/>
        <v>库存为3</v>
      </c>
      <c r="AV569" s="36" t="str">
        <f>IFERROR(时间!$B$4+AU569,"上周无销量")</f>
        <v>上周无销量</v>
      </c>
    </row>
    <row r="570" spans="1:48">
      <c r="A570" s="20" t="s">
        <v>1306</v>
      </c>
      <c r="B570" t="s">
        <v>1307</v>
      </c>
      <c r="C570" t="s">
        <v>1308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4</v>
      </c>
      <c r="J570" s="33">
        <v>0</v>
      </c>
      <c r="K570" s="33">
        <v>0</v>
      </c>
      <c r="L570" s="33">
        <v>0</v>
      </c>
      <c r="M570">
        <v>4</v>
      </c>
      <c r="N570">
        <v>0</v>
      </c>
      <c r="O570">
        <v>4</v>
      </c>
      <c r="P570" t="s">
        <v>53</v>
      </c>
      <c r="Q570" t="s">
        <v>53</v>
      </c>
      <c r="R570" t="s">
        <v>53</v>
      </c>
      <c r="S570" t="s">
        <v>53</v>
      </c>
      <c r="T570" t="s">
        <v>53</v>
      </c>
      <c r="U570" t="s">
        <v>53</v>
      </c>
      <c r="V570" t="s">
        <v>53</v>
      </c>
      <c r="W570" t="s">
        <v>53</v>
      </c>
      <c r="X570" s="22" t="s">
        <v>53</v>
      </c>
      <c r="Y570" s="22" t="s">
        <v>53</v>
      </c>
      <c r="Z570" s="22" t="s">
        <v>53</v>
      </c>
      <c r="AA570" s="22" t="s">
        <v>53</v>
      </c>
      <c r="AB570" t="s">
        <v>53</v>
      </c>
      <c r="AC570" t="s">
        <v>53</v>
      </c>
      <c r="AD570" t="s">
        <v>53</v>
      </c>
      <c r="AE570" t="s">
        <v>53</v>
      </c>
      <c r="AF570" s="22" t="s">
        <v>53</v>
      </c>
      <c r="AG570" s="22" t="s">
        <v>53</v>
      </c>
      <c r="AH570" s="22" t="s">
        <v>53</v>
      </c>
      <c r="AI570" s="22" t="s">
        <v>53</v>
      </c>
      <c r="AJ570">
        <v>0</v>
      </c>
      <c r="AK570">
        <v>1</v>
      </c>
      <c r="AL570">
        <v>2</v>
      </c>
      <c r="AM570">
        <v>2</v>
      </c>
      <c r="AN570" s="22" t="s">
        <v>53</v>
      </c>
      <c r="AO570" s="22">
        <v>0</v>
      </c>
      <c r="AP570" s="22">
        <v>0</v>
      </c>
      <c r="AQ570" s="22">
        <v>0</v>
      </c>
      <c r="AR570" s="35">
        <v>0</v>
      </c>
      <c r="AS570" s="35">
        <v>0</v>
      </c>
      <c r="AT570" s="35">
        <v>4</v>
      </c>
      <c r="AU570" s="31" t="str">
        <f t="shared" si="12"/>
        <v>库存为4</v>
      </c>
      <c r="AV570" s="36" t="str">
        <f>IFERROR(时间!$B$4+AU570,"上周无销量")</f>
        <v>上周无销量</v>
      </c>
    </row>
    <row r="571" spans="1:48">
      <c r="A571" s="20" t="s">
        <v>1309</v>
      </c>
      <c r="B571" t="s">
        <v>1310</v>
      </c>
      <c r="C571" t="s">
        <v>1308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4</v>
      </c>
      <c r="J571" s="33">
        <v>0</v>
      </c>
      <c r="K571" s="33">
        <v>0</v>
      </c>
      <c r="L571" s="33">
        <v>0</v>
      </c>
      <c r="M571">
        <v>4</v>
      </c>
      <c r="N571">
        <v>0</v>
      </c>
      <c r="O571">
        <v>4</v>
      </c>
      <c r="P571" t="s">
        <v>53</v>
      </c>
      <c r="Q571" t="s">
        <v>53</v>
      </c>
      <c r="R571" t="s">
        <v>53</v>
      </c>
      <c r="S571" t="s">
        <v>53</v>
      </c>
      <c r="T571" t="s">
        <v>53</v>
      </c>
      <c r="U571" t="s">
        <v>53</v>
      </c>
      <c r="V571" t="s">
        <v>53</v>
      </c>
      <c r="W571" t="s">
        <v>53</v>
      </c>
      <c r="X571" s="22" t="s">
        <v>53</v>
      </c>
      <c r="Y571" s="22" t="s">
        <v>53</v>
      </c>
      <c r="Z571" s="22" t="s">
        <v>53</v>
      </c>
      <c r="AA571" s="22" t="s">
        <v>53</v>
      </c>
      <c r="AB571" t="s">
        <v>53</v>
      </c>
      <c r="AC571" t="s">
        <v>53</v>
      </c>
      <c r="AD571" t="s">
        <v>53</v>
      </c>
      <c r="AE571" t="s">
        <v>53</v>
      </c>
      <c r="AF571" s="22" t="s">
        <v>53</v>
      </c>
      <c r="AG571" s="22" t="s">
        <v>53</v>
      </c>
      <c r="AH571" s="22" t="s">
        <v>53</v>
      </c>
      <c r="AI571" s="22" t="s">
        <v>53</v>
      </c>
      <c r="AJ571">
        <v>2</v>
      </c>
      <c r="AK571">
        <v>0</v>
      </c>
      <c r="AL571">
        <v>3</v>
      </c>
      <c r="AM571">
        <v>4</v>
      </c>
      <c r="AN571" s="22">
        <v>0</v>
      </c>
      <c r="AO571" s="22" t="s">
        <v>53</v>
      </c>
      <c r="AP571" s="22">
        <v>0</v>
      </c>
      <c r="AQ571" s="22">
        <v>0</v>
      </c>
      <c r="AR571" s="35">
        <v>0</v>
      </c>
      <c r="AS571" s="35">
        <v>0</v>
      </c>
      <c r="AT571" s="35">
        <v>4</v>
      </c>
      <c r="AU571" s="31" t="str">
        <f t="shared" si="12"/>
        <v>库存为4</v>
      </c>
      <c r="AV571" s="36" t="str">
        <f>IFERROR(时间!$B$4+AU571,"上周无销量")</f>
        <v>上周无销量</v>
      </c>
    </row>
    <row r="572" spans="1:48">
      <c r="A572" s="20" t="s">
        <v>1311</v>
      </c>
      <c r="B572" t="s">
        <v>1312</v>
      </c>
      <c r="C572" t="s">
        <v>1308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4</v>
      </c>
      <c r="J572" s="33">
        <v>0</v>
      </c>
      <c r="K572" s="33">
        <v>0</v>
      </c>
      <c r="L572" s="33">
        <v>0</v>
      </c>
      <c r="M572">
        <v>4</v>
      </c>
      <c r="N572">
        <v>0</v>
      </c>
      <c r="O572">
        <v>4</v>
      </c>
      <c r="P572" t="s">
        <v>53</v>
      </c>
      <c r="Q572" t="s">
        <v>53</v>
      </c>
      <c r="R572" t="s">
        <v>53</v>
      </c>
      <c r="S572" t="s">
        <v>53</v>
      </c>
      <c r="T572" t="s">
        <v>53</v>
      </c>
      <c r="U572" t="s">
        <v>53</v>
      </c>
      <c r="V572" t="s">
        <v>53</v>
      </c>
      <c r="W572" t="s">
        <v>53</v>
      </c>
      <c r="X572" s="22" t="s">
        <v>53</v>
      </c>
      <c r="Y572" s="22" t="s">
        <v>53</v>
      </c>
      <c r="Z572" s="22" t="s">
        <v>53</v>
      </c>
      <c r="AA572" s="22" t="s">
        <v>53</v>
      </c>
      <c r="AB572" t="s">
        <v>53</v>
      </c>
      <c r="AC572" t="s">
        <v>53</v>
      </c>
      <c r="AD572" t="s">
        <v>53</v>
      </c>
      <c r="AE572" t="s">
        <v>53</v>
      </c>
      <c r="AF572" s="22" t="s">
        <v>53</v>
      </c>
      <c r="AG572" s="22" t="s">
        <v>53</v>
      </c>
      <c r="AH572" s="22" t="s">
        <v>53</v>
      </c>
      <c r="AI572" s="22" t="s">
        <v>53</v>
      </c>
      <c r="AJ572">
        <v>1</v>
      </c>
      <c r="AK572">
        <v>0</v>
      </c>
      <c r="AL572">
        <v>3</v>
      </c>
      <c r="AM572">
        <v>5</v>
      </c>
      <c r="AN572" s="22">
        <v>0</v>
      </c>
      <c r="AO572" s="22" t="s">
        <v>53</v>
      </c>
      <c r="AP572" s="22">
        <v>0</v>
      </c>
      <c r="AQ572" s="22">
        <v>0</v>
      </c>
      <c r="AR572" s="35">
        <v>0</v>
      </c>
      <c r="AS572" s="35">
        <v>0</v>
      </c>
      <c r="AT572" s="35">
        <v>4</v>
      </c>
      <c r="AU572" s="31" t="str">
        <f t="shared" si="12"/>
        <v>库存为4</v>
      </c>
      <c r="AV572" s="36" t="str">
        <f>IFERROR(时间!$B$4+AU572,"上周无销量")</f>
        <v>上周无销量</v>
      </c>
    </row>
    <row r="573" spans="1:48">
      <c r="A573" s="20" t="s">
        <v>1313</v>
      </c>
      <c r="B573" t="s">
        <v>1314</v>
      </c>
      <c r="C573" t="s">
        <v>1308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4</v>
      </c>
      <c r="J573" s="33">
        <v>0</v>
      </c>
      <c r="K573" s="33">
        <v>0</v>
      </c>
      <c r="L573" s="33">
        <v>0</v>
      </c>
      <c r="M573">
        <v>4</v>
      </c>
      <c r="N573">
        <v>0</v>
      </c>
      <c r="O573">
        <v>4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2</v>
      </c>
      <c r="AK573">
        <v>1</v>
      </c>
      <c r="AL573">
        <v>2</v>
      </c>
      <c r="AM573">
        <v>3</v>
      </c>
      <c r="AN573" s="22">
        <v>0</v>
      </c>
      <c r="AO573" s="22">
        <v>0</v>
      </c>
      <c r="AP573" s="22">
        <v>0</v>
      </c>
      <c r="AQ573" s="22">
        <v>0</v>
      </c>
      <c r="AR573" s="35">
        <v>0</v>
      </c>
      <c r="AS573" s="35">
        <v>0</v>
      </c>
      <c r="AT573" s="35">
        <v>4</v>
      </c>
      <c r="AU573" s="31" t="str">
        <f t="shared" si="12"/>
        <v>库存为4</v>
      </c>
      <c r="AV573" s="36" t="str">
        <f>IFERROR(时间!$B$4+AU573,"上周无销量")</f>
        <v>上周无销量</v>
      </c>
    </row>
    <row r="574" spans="1:48">
      <c r="A574" s="20" t="s">
        <v>1315</v>
      </c>
      <c r="B574" t="s">
        <v>1316</v>
      </c>
      <c r="C574" t="s">
        <v>1308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4</v>
      </c>
      <c r="J574" s="33">
        <v>0</v>
      </c>
      <c r="K574" s="33">
        <v>0</v>
      </c>
      <c r="L574" s="33">
        <v>0</v>
      </c>
      <c r="M574">
        <v>4</v>
      </c>
      <c r="N574">
        <v>0</v>
      </c>
      <c r="O574">
        <v>4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2</v>
      </c>
      <c r="AK574">
        <v>0</v>
      </c>
      <c r="AL574">
        <v>2</v>
      </c>
      <c r="AM574">
        <v>4</v>
      </c>
      <c r="AN574" s="22">
        <v>0</v>
      </c>
      <c r="AO574" s="22" t="s">
        <v>53</v>
      </c>
      <c r="AP574" s="22">
        <v>0</v>
      </c>
      <c r="AQ574" s="22">
        <v>0</v>
      </c>
      <c r="AR574" s="35">
        <v>0</v>
      </c>
      <c r="AS574" s="35">
        <v>0</v>
      </c>
      <c r="AT574" s="35">
        <v>4</v>
      </c>
      <c r="AU574" s="31" t="str">
        <f t="shared" si="12"/>
        <v>库存为4</v>
      </c>
      <c r="AV574" s="36" t="str">
        <f>IFERROR(时间!$B$4+AU574,"上周无销量")</f>
        <v>上周无销量</v>
      </c>
    </row>
    <row r="575" spans="1:48">
      <c r="A575" s="20" t="s">
        <v>1317</v>
      </c>
      <c r="B575" t="s">
        <v>1318</v>
      </c>
      <c r="C575" t="s">
        <v>1308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4</v>
      </c>
      <c r="J575" s="33">
        <v>0</v>
      </c>
      <c r="K575" s="33">
        <v>0</v>
      </c>
      <c r="L575" s="33">
        <v>0</v>
      </c>
      <c r="M575">
        <v>4</v>
      </c>
      <c r="N575">
        <v>0</v>
      </c>
      <c r="O575">
        <v>4</v>
      </c>
      <c r="P575" t="s">
        <v>53</v>
      </c>
      <c r="Q575" t="s">
        <v>53</v>
      </c>
      <c r="R575" t="s">
        <v>53</v>
      </c>
      <c r="S575" t="s">
        <v>53</v>
      </c>
      <c r="T575" t="s">
        <v>53</v>
      </c>
      <c r="U575" t="s">
        <v>53</v>
      </c>
      <c r="V575" t="s">
        <v>53</v>
      </c>
      <c r="W575" t="s">
        <v>53</v>
      </c>
      <c r="X575" s="22" t="s">
        <v>53</v>
      </c>
      <c r="Y575" s="22" t="s">
        <v>53</v>
      </c>
      <c r="Z575" s="22" t="s">
        <v>53</v>
      </c>
      <c r="AA575" s="22" t="s">
        <v>53</v>
      </c>
      <c r="AB575" t="s">
        <v>53</v>
      </c>
      <c r="AC575" t="s">
        <v>53</v>
      </c>
      <c r="AD575" t="s">
        <v>53</v>
      </c>
      <c r="AE575" t="s">
        <v>53</v>
      </c>
      <c r="AF575" s="22" t="s">
        <v>53</v>
      </c>
      <c r="AG575" s="22" t="s">
        <v>53</v>
      </c>
      <c r="AH575" s="22" t="s">
        <v>53</v>
      </c>
      <c r="AI575" s="22" t="s">
        <v>53</v>
      </c>
      <c r="AJ575">
        <v>0</v>
      </c>
      <c r="AK575">
        <v>2</v>
      </c>
      <c r="AL575">
        <v>3</v>
      </c>
      <c r="AM575">
        <v>1</v>
      </c>
      <c r="AN575" s="22" t="s">
        <v>53</v>
      </c>
      <c r="AO575" s="22">
        <v>0</v>
      </c>
      <c r="AP575" s="22">
        <v>0</v>
      </c>
      <c r="AQ575" s="22">
        <v>0</v>
      </c>
      <c r="AR575" s="35">
        <v>0</v>
      </c>
      <c r="AS575" s="35">
        <v>0</v>
      </c>
      <c r="AT575" s="35">
        <v>4</v>
      </c>
      <c r="AU575" s="31" t="str">
        <f t="shared" si="12"/>
        <v>库存为4</v>
      </c>
      <c r="AV575" s="36" t="str">
        <f>IFERROR(时间!$B$4+AU575,"上周无销量")</f>
        <v>上周无销量</v>
      </c>
    </row>
    <row r="576" spans="1:48">
      <c r="A576" s="20" t="s">
        <v>1319</v>
      </c>
      <c r="B576" t="s">
        <v>1320</v>
      </c>
      <c r="C576" t="s">
        <v>1308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4</v>
      </c>
      <c r="J576" s="33">
        <v>0</v>
      </c>
      <c r="K576" s="33">
        <v>0</v>
      </c>
      <c r="L576" s="33">
        <v>0</v>
      </c>
      <c r="M576">
        <v>4</v>
      </c>
      <c r="N576">
        <v>0</v>
      </c>
      <c r="O576">
        <v>4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1</v>
      </c>
      <c r="AK576">
        <v>4</v>
      </c>
      <c r="AL576">
        <v>4</v>
      </c>
      <c r="AM576">
        <v>4</v>
      </c>
      <c r="AN576" s="22">
        <v>0</v>
      </c>
      <c r="AO576" s="22">
        <v>0</v>
      </c>
      <c r="AP576" s="22">
        <v>0</v>
      </c>
      <c r="AQ576" s="22">
        <v>0</v>
      </c>
      <c r="AR576" s="35">
        <v>0</v>
      </c>
      <c r="AS576" s="35">
        <v>0</v>
      </c>
      <c r="AT576" s="35">
        <v>4</v>
      </c>
      <c r="AU576" s="31" t="str">
        <f t="shared" si="12"/>
        <v>库存为4</v>
      </c>
      <c r="AV576" s="36" t="str">
        <f>IFERROR(时间!$B$4+AU576,"上周无销量")</f>
        <v>上周无销量</v>
      </c>
    </row>
    <row r="577" spans="1:48">
      <c r="A577" s="20" t="s">
        <v>1321</v>
      </c>
      <c r="B577" t="s">
        <v>1322</v>
      </c>
      <c r="C577" t="s">
        <v>1308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4</v>
      </c>
      <c r="J577" s="33">
        <v>0</v>
      </c>
      <c r="K577" s="33">
        <v>0</v>
      </c>
      <c r="L577" s="33">
        <v>0</v>
      </c>
      <c r="M577">
        <v>4</v>
      </c>
      <c r="N577">
        <v>0</v>
      </c>
      <c r="O577">
        <v>4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0</v>
      </c>
      <c r="AK577">
        <v>1</v>
      </c>
      <c r="AL577">
        <v>1</v>
      </c>
      <c r="AM577">
        <v>1</v>
      </c>
      <c r="AN577" s="22" t="s">
        <v>53</v>
      </c>
      <c r="AO577" s="22">
        <v>0</v>
      </c>
      <c r="AP577" s="22">
        <v>0</v>
      </c>
      <c r="AQ577" s="22">
        <v>0</v>
      </c>
      <c r="AR577" s="35">
        <v>0</v>
      </c>
      <c r="AS577" s="35">
        <v>0</v>
      </c>
      <c r="AT577" s="35">
        <v>4</v>
      </c>
      <c r="AU577" s="31" t="str">
        <f t="shared" si="12"/>
        <v>库存为4</v>
      </c>
      <c r="AV577" s="36" t="str">
        <f>IFERROR(时间!$B$4+AU577,"上周无销量")</f>
        <v>上周无销量</v>
      </c>
    </row>
    <row r="578" spans="1:48">
      <c r="A578" s="20" t="s">
        <v>1323</v>
      </c>
      <c r="B578" t="s">
        <v>1324</v>
      </c>
      <c r="C578" t="s">
        <v>1308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4</v>
      </c>
      <c r="J578" s="33">
        <v>0</v>
      </c>
      <c r="K578" s="33">
        <v>0</v>
      </c>
      <c r="L578" s="33">
        <v>0</v>
      </c>
      <c r="M578">
        <v>4</v>
      </c>
      <c r="N578">
        <v>0</v>
      </c>
      <c r="O578">
        <v>4</v>
      </c>
      <c r="P578" t="s">
        <v>53</v>
      </c>
      <c r="Q578" t="s">
        <v>53</v>
      </c>
      <c r="R578" t="s">
        <v>53</v>
      </c>
      <c r="S578" t="s">
        <v>53</v>
      </c>
      <c r="T578" t="s">
        <v>53</v>
      </c>
      <c r="U578" t="s">
        <v>53</v>
      </c>
      <c r="V578" t="s">
        <v>53</v>
      </c>
      <c r="W578" t="s">
        <v>53</v>
      </c>
      <c r="X578" s="22" t="s">
        <v>53</v>
      </c>
      <c r="Y578" s="22" t="s">
        <v>53</v>
      </c>
      <c r="Z578" s="22" t="s">
        <v>53</v>
      </c>
      <c r="AA578" s="22" t="s">
        <v>53</v>
      </c>
      <c r="AB578" t="s">
        <v>53</v>
      </c>
      <c r="AC578" t="s">
        <v>53</v>
      </c>
      <c r="AD578" t="s">
        <v>53</v>
      </c>
      <c r="AE578" t="s">
        <v>53</v>
      </c>
      <c r="AF578" s="22" t="s">
        <v>53</v>
      </c>
      <c r="AG578" s="22" t="s">
        <v>53</v>
      </c>
      <c r="AH578" s="22" t="s">
        <v>53</v>
      </c>
      <c r="AI578" s="22" t="s">
        <v>53</v>
      </c>
      <c r="AJ578">
        <v>0</v>
      </c>
      <c r="AK578">
        <v>2</v>
      </c>
      <c r="AL578">
        <v>3</v>
      </c>
      <c r="AM578">
        <v>2</v>
      </c>
      <c r="AN578" s="22" t="s">
        <v>53</v>
      </c>
      <c r="AO578" s="22">
        <v>0</v>
      </c>
      <c r="AP578" s="22">
        <v>0</v>
      </c>
      <c r="AQ578" s="22">
        <v>0</v>
      </c>
      <c r="AR578" s="35">
        <v>0</v>
      </c>
      <c r="AS578" s="35">
        <v>0</v>
      </c>
      <c r="AT578" s="35">
        <v>4</v>
      </c>
      <c r="AU578" s="31" t="str">
        <f t="shared" si="12"/>
        <v>库存为4</v>
      </c>
      <c r="AV578" s="36" t="str">
        <f>IFERROR(时间!$B$4+AU578,"上周无销量")</f>
        <v>上周无销量</v>
      </c>
    </row>
    <row r="579" spans="1:48">
      <c r="A579" s="20" t="s">
        <v>1325</v>
      </c>
      <c r="B579" t="s">
        <v>1326</v>
      </c>
      <c r="C579" t="s">
        <v>1308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4</v>
      </c>
      <c r="J579" s="33">
        <v>0</v>
      </c>
      <c r="K579" s="33">
        <v>0</v>
      </c>
      <c r="L579" s="33">
        <v>0</v>
      </c>
      <c r="M579">
        <v>4</v>
      </c>
      <c r="N579">
        <v>0</v>
      </c>
      <c r="O579">
        <v>4</v>
      </c>
      <c r="P579" t="s">
        <v>53</v>
      </c>
      <c r="Q579" t="s">
        <v>53</v>
      </c>
      <c r="R579" t="s">
        <v>53</v>
      </c>
      <c r="S579" t="s">
        <v>53</v>
      </c>
      <c r="T579" t="s">
        <v>53</v>
      </c>
      <c r="U579" t="s">
        <v>53</v>
      </c>
      <c r="V579" t="s">
        <v>53</v>
      </c>
      <c r="W579" t="s">
        <v>53</v>
      </c>
      <c r="X579" s="22" t="s">
        <v>53</v>
      </c>
      <c r="Y579" s="22" t="s">
        <v>53</v>
      </c>
      <c r="Z579" s="22" t="s">
        <v>53</v>
      </c>
      <c r="AA579" s="22" t="s">
        <v>53</v>
      </c>
      <c r="AB579" t="s">
        <v>53</v>
      </c>
      <c r="AC579" t="s">
        <v>53</v>
      </c>
      <c r="AD579" t="s">
        <v>53</v>
      </c>
      <c r="AE579" t="s">
        <v>53</v>
      </c>
      <c r="AF579" s="22" t="s">
        <v>53</v>
      </c>
      <c r="AG579" s="22" t="s">
        <v>53</v>
      </c>
      <c r="AH579" s="22" t="s">
        <v>53</v>
      </c>
      <c r="AI579" s="22" t="s">
        <v>53</v>
      </c>
      <c r="AJ579">
        <v>0</v>
      </c>
      <c r="AK579">
        <v>1</v>
      </c>
      <c r="AL579">
        <v>1</v>
      </c>
      <c r="AM579">
        <v>2</v>
      </c>
      <c r="AN579" s="22" t="s">
        <v>53</v>
      </c>
      <c r="AO579" s="22">
        <v>0</v>
      </c>
      <c r="AP579" s="22">
        <v>0</v>
      </c>
      <c r="AQ579" s="22">
        <v>0</v>
      </c>
      <c r="AR579" s="35">
        <v>0</v>
      </c>
      <c r="AS579" s="35">
        <v>0</v>
      </c>
      <c r="AT579" s="35">
        <v>4</v>
      </c>
      <c r="AU579" s="31" t="str">
        <f t="shared" si="12"/>
        <v>库存为4</v>
      </c>
      <c r="AV579" s="36" t="str">
        <f>IFERROR(时间!$B$4+AU579,"上周无销量")</f>
        <v>上周无销量</v>
      </c>
    </row>
    <row r="580" spans="1:48">
      <c r="A580" s="20" t="s">
        <v>1327</v>
      </c>
      <c r="B580" t="s">
        <v>1328</v>
      </c>
      <c r="C580" t="s">
        <v>1308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4</v>
      </c>
      <c r="J580" s="33">
        <v>0</v>
      </c>
      <c r="K580" s="33">
        <v>0</v>
      </c>
      <c r="L580" s="33">
        <v>0</v>
      </c>
      <c r="M580">
        <v>4</v>
      </c>
      <c r="N580">
        <v>0</v>
      </c>
      <c r="O580">
        <v>4</v>
      </c>
      <c r="P580" t="s">
        <v>53</v>
      </c>
      <c r="Q580" t="s">
        <v>53</v>
      </c>
      <c r="R580" t="s">
        <v>53</v>
      </c>
      <c r="S580" t="s">
        <v>53</v>
      </c>
      <c r="T580" t="s">
        <v>53</v>
      </c>
      <c r="U580" t="s">
        <v>53</v>
      </c>
      <c r="V580" t="s">
        <v>53</v>
      </c>
      <c r="W580" t="s">
        <v>53</v>
      </c>
      <c r="X580" s="22" t="s">
        <v>53</v>
      </c>
      <c r="Y580" s="22" t="s">
        <v>53</v>
      </c>
      <c r="Z580" s="22" t="s">
        <v>53</v>
      </c>
      <c r="AA580" s="22" t="s">
        <v>53</v>
      </c>
      <c r="AB580" t="s">
        <v>53</v>
      </c>
      <c r="AC580" t="s">
        <v>53</v>
      </c>
      <c r="AD580" t="s">
        <v>53</v>
      </c>
      <c r="AE580" t="s">
        <v>53</v>
      </c>
      <c r="AF580" s="22" t="s">
        <v>53</v>
      </c>
      <c r="AG580" s="22" t="s">
        <v>53</v>
      </c>
      <c r="AH580" s="22" t="s">
        <v>53</v>
      </c>
      <c r="AI580" s="22" t="s">
        <v>53</v>
      </c>
      <c r="AJ580">
        <v>1</v>
      </c>
      <c r="AK580">
        <v>0</v>
      </c>
      <c r="AL580">
        <v>2</v>
      </c>
      <c r="AM580">
        <v>4</v>
      </c>
      <c r="AN580" s="22">
        <v>0</v>
      </c>
      <c r="AO580" s="22" t="s">
        <v>53</v>
      </c>
      <c r="AP580" s="22">
        <v>0</v>
      </c>
      <c r="AQ580" s="22">
        <v>0</v>
      </c>
      <c r="AR580" s="35">
        <v>0</v>
      </c>
      <c r="AS580" s="35">
        <v>0</v>
      </c>
      <c r="AT580" s="35">
        <v>4</v>
      </c>
      <c r="AU580" s="31" t="str">
        <f t="shared" si="12"/>
        <v>库存为4</v>
      </c>
      <c r="AV580" s="36" t="str">
        <f>IFERROR(时间!$B$4+AU580,"上周无销量")</f>
        <v>上周无销量</v>
      </c>
    </row>
    <row r="581" spans="1:48">
      <c r="A581" s="20" t="s">
        <v>1329</v>
      </c>
      <c r="B581" t="s">
        <v>1330</v>
      </c>
      <c r="C581" t="s">
        <v>1308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4</v>
      </c>
      <c r="J581" s="33">
        <v>0</v>
      </c>
      <c r="K581" s="33">
        <v>0</v>
      </c>
      <c r="L581" s="33">
        <v>0</v>
      </c>
      <c r="M581">
        <v>4</v>
      </c>
      <c r="N581">
        <v>0</v>
      </c>
      <c r="O581">
        <v>4</v>
      </c>
      <c r="P581" t="s">
        <v>53</v>
      </c>
      <c r="Q581" t="s">
        <v>53</v>
      </c>
      <c r="R581" t="s">
        <v>53</v>
      </c>
      <c r="S581" t="s">
        <v>53</v>
      </c>
      <c r="T581" t="s">
        <v>53</v>
      </c>
      <c r="U581" t="s">
        <v>53</v>
      </c>
      <c r="V581" t="s">
        <v>53</v>
      </c>
      <c r="W581" t="s">
        <v>53</v>
      </c>
      <c r="X581" s="22" t="s">
        <v>53</v>
      </c>
      <c r="Y581" s="22" t="s">
        <v>53</v>
      </c>
      <c r="Z581" s="22" t="s">
        <v>53</v>
      </c>
      <c r="AA581" s="22" t="s">
        <v>53</v>
      </c>
      <c r="AB581" t="s">
        <v>53</v>
      </c>
      <c r="AC581" t="s">
        <v>53</v>
      </c>
      <c r="AD581" t="s">
        <v>53</v>
      </c>
      <c r="AE581" t="s">
        <v>53</v>
      </c>
      <c r="AF581" s="22" t="s">
        <v>53</v>
      </c>
      <c r="AG581" s="22" t="s">
        <v>53</v>
      </c>
      <c r="AH581" s="22" t="s">
        <v>53</v>
      </c>
      <c r="AI581" s="22" t="s">
        <v>53</v>
      </c>
      <c r="AJ581">
        <v>1</v>
      </c>
      <c r="AK581">
        <v>1</v>
      </c>
      <c r="AL581">
        <v>3</v>
      </c>
      <c r="AM581">
        <v>3</v>
      </c>
      <c r="AN581" s="22">
        <v>0</v>
      </c>
      <c r="AO581" s="22">
        <v>0</v>
      </c>
      <c r="AP581" s="22">
        <v>0</v>
      </c>
      <c r="AQ581" s="22">
        <v>0</v>
      </c>
      <c r="AR581" s="35">
        <v>0</v>
      </c>
      <c r="AS581" s="35">
        <v>0</v>
      </c>
      <c r="AT581" s="35">
        <v>4</v>
      </c>
      <c r="AU581" s="31" t="str">
        <f t="shared" ref="AU581:AU644" si="13">IF(AR581="","库存为"&amp;M581,IF(AS581=0,"库存为"&amp;M581,INT(M581/AR581)))</f>
        <v>库存为4</v>
      </c>
      <c r="AV581" s="36" t="str">
        <f>IFERROR(时间!$B$4+AU581,"上周无销量")</f>
        <v>上周无销量</v>
      </c>
    </row>
    <row r="582" spans="1:48">
      <c r="A582" s="20" t="s">
        <v>1331</v>
      </c>
      <c r="B582" t="s">
        <v>1332</v>
      </c>
      <c r="C582" t="s">
        <v>1308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4</v>
      </c>
      <c r="J582" s="33">
        <v>0</v>
      </c>
      <c r="K582" s="33">
        <v>0</v>
      </c>
      <c r="L582" s="33">
        <v>0</v>
      </c>
      <c r="M582">
        <v>4</v>
      </c>
      <c r="N582">
        <v>0</v>
      </c>
      <c r="O582">
        <v>4</v>
      </c>
      <c r="P582" t="s">
        <v>53</v>
      </c>
      <c r="Q582" t="s">
        <v>53</v>
      </c>
      <c r="R582" t="s">
        <v>53</v>
      </c>
      <c r="S582" t="s">
        <v>53</v>
      </c>
      <c r="T582" t="s">
        <v>53</v>
      </c>
      <c r="U582" t="s">
        <v>53</v>
      </c>
      <c r="V582" t="s">
        <v>53</v>
      </c>
      <c r="W582" t="s">
        <v>53</v>
      </c>
      <c r="X582" s="22" t="s">
        <v>53</v>
      </c>
      <c r="Y582" s="22" t="s">
        <v>53</v>
      </c>
      <c r="Z582" s="22" t="s">
        <v>53</v>
      </c>
      <c r="AA582" s="22" t="s">
        <v>53</v>
      </c>
      <c r="AB582" t="s">
        <v>53</v>
      </c>
      <c r="AC582" t="s">
        <v>53</v>
      </c>
      <c r="AD582" t="s">
        <v>53</v>
      </c>
      <c r="AE582" t="s">
        <v>53</v>
      </c>
      <c r="AF582" s="22" t="s">
        <v>53</v>
      </c>
      <c r="AG582" s="22" t="s">
        <v>53</v>
      </c>
      <c r="AH582" s="22" t="s">
        <v>53</v>
      </c>
      <c r="AI582" s="22" t="s">
        <v>53</v>
      </c>
      <c r="AJ582">
        <v>3</v>
      </c>
      <c r="AK582">
        <v>0</v>
      </c>
      <c r="AL582">
        <v>2</v>
      </c>
      <c r="AM582">
        <v>4</v>
      </c>
      <c r="AN582" s="22">
        <v>0</v>
      </c>
      <c r="AO582" s="22" t="s">
        <v>53</v>
      </c>
      <c r="AP582" s="22">
        <v>0</v>
      </c>
      <c r="AQ582" s="22">
        <v>0</v>
      </c>
      <c r="AR582" s="35">
        <v>0</v>
      </c>
      <c r="AS582" s="35">
        <v>0</v>
      </c>
      <c r="AT582" s="35">
        <v>4</v>
      </c>
      <c r="AU582" s="31" t="str">
        <f t="shared" si="13"/>
        <v>库存为4</v>
      </c>
      <c r="AV582" s="36" t="str">
        <f>IFERROR(时间!$B$4+AU582,"上周无销量")</f>
        <v>上周无销量</v>
      </c>
    </row>
    <row r="583" spans="1:48">
      <c r="A583" s="20" t="s">
        <v>1333</v>
      </c>
      <c r="B583" t="s">
        <v>1334</v>
      </c>
      <c r="C583" t="s">
        <v>1308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4</v>
      </c>
      <c r="J583" s="33">
        <v>0</v>
      </c>
      <c r="K583" s="33">
        <v>0</v>
      </c>
      <c r="L583" s="33">
        <v>0</v>
      </c>
      <c r="M583">
        <v>4</v>
      </c>
      <c r="N583">
        <v>0</v>
      </c>
      <c r="O583">
        <v>4</v>
      </c>
      <c r="P583" t="s">
        <v>53</v>
      </c>
      <c r="Q583" t="s">
        <v>53</v>
      </c>
      <c r="R583" t="s">
        <v>53</v>
      </c>
      <c r="S583" t="s">
        <v>53</v>
      </c>
      <c r="T583" t="s">
        <v>53</v>
      </c>
      <c r="U583" t="s">
        <v>53</v>
      </c>
      <c r="V583" t="s">
        <v>53</v>
      </c>
      <c r="W583" t="s">
        <v>53</v>
      </c>
      <c r="X583" s="22" t="s">
        <v>53</v>
      </c>
      <c r="Y583" s="22" t="s">
        <v>53</v>
      </c>
      <c r="Z583" s="22" t="s">
        <v>53</v>
      </c>
      <c r="AA583" s="22" t="s">
        <v>53</v>
      </c>
      <c r="AB583" t="s">
        <v>53</v>
      </c>
      <c r="AC583" t="s">
        <v>53</v>
      </c>
      <c r="AD583" t="s">
        <v>53</v>
      </c>
      <c r="AE583" t="s">
        <v>53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3</v>
      </c>
      <c r="AK583">
        <v>1</v>
      </c>
      <c r="AL583">
        <v>2</v>
      </c>
      <c r="AM583">
        <v>2</v>
      </c>
      <c r="AN583" s="22">
        <v>0</v>
      </c>
      <c r="AO583" s="22">
        <v>0</v>
      </c>
      <c r="AP583" s="22">
        <v>0</v>
      </c>
      <c r="AQ583" s="22">
        <v>0</v>
      </c>
      <c r="AR583" s="35">
        <v>0</v>
      </c>
      <c r="AS583" s="35">
        <v>0</v>
      </c>
      <c r="AT583" s="35">
        <v>4</v>
      </c>
      <c r="AU583" s="31" t="str">
        <f t="shared" si="13"/>
        <v>库存为4</v>
      </c>
      <c r="AV583" s="36" t="str">
        <f>IFERROR(时间!$B$4+AU583,"上周无销量")</f>
        <v>上周无销量</v>
      </c>
    </row>
    <row r="584" spans="1:48">
      <c r="A584" s="20" t="s">
        <v>1335</v>
      </c>
      <c r="B584" t="s">
        <v>1336</v>
      </c>
      <c r="C584" t="s">
        <v>1308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4</v>
      </c>
      <c r="J584" s="33">
        <v>0</v>
      </c>
      <c r="K584" s="33">
        <v>0</v>
      </c>
      <c r="L584" s="33">
        <v>0</v>
      </c>
      <c r="M584">
        <v>4</v>
      </c>
      <c r="N584">
        <v>0</v>
      </c>
      <c r="O584">
        <v>4</v>
      </c>
      <c r="P584" t="s">
        <v>53</v>
      </c>
      <c r="Q584" t="s">
        <v>53</v>
      </c>
      <c r="R584" t="s">
        <v>53</v>
      </c>
      <c r="S584" t="s">
        <v>53</v>
      </c>
      <c r="T584" t="s">
        <v>53</v>
      </c>
      <c r="U584" t="s">
        <v>53</v>
      </c>
      <c r="V584" t="s">
        <v>53</v>
      </c>
      <c r="W584" t="s">
        <v>53</v>
      </c>
      <c r="X584" s="22" t="s">
        <v>53</v>
      </c>
      <c r="Y584" s="22" t="s">
        <v>53</v>
      </c>
      <c r="Z584" s="22" t="s">
        <v>53</v>
      </c>
      <c r="AA584" s="22" t="s">
        <v>53</v>
      </c>
      <c r="AB584" t="s">
        <v>53</v>
      </c>
      <c r="AC584" t="s">
        <v>53</v>
      </c>
      <c r="AD584" t="s">
        <v>53</v>
      </c>
      <c r="AE584" t="s">
        <v>53</v>
      </c>
      <c r="AF584" s="22" t="s">
        <v>53</v>
      </c>
      <c r="AG584" s="22" t="s">
        <v>53</v>
      </c>
      <c r="AH584" s="22" t="s">
        <v>53</v>
      </c>
      <c r="AI584" s="22" t="s">
        <v>53</v>
      </c>
      <c r="AJ584">
        <v>1</v>
      </c>
      <c r="AK584">
        <v>2</v>
      </c>
      <c r="AL584">
        <v>3</v>
      </c>
      <c r="AM584">
        <v>4</v>
      </c>
      <c r="AN584" s="22">
        <v>0</v>
      </c>
      <c r="AO584" s="22">
        <v>0</v>
      </c>
      <c r="AP584" s="22">
        <v>0</v>
      </c>
      <c r="AQ584" s="22">
        <v>0</v>
      </c>
      <c r="AR584" s="35">
        <v>0</v>
      </c>
      <c r="AS584" s="35">
        <v>0</v>
      </c>
      <c r="AT584" s="35">
        <v>4</v>
      </c>
      <c r="AU584" s="31" t="str">
        <f t="shared" si="13"/>
        <v>库存为4</v>
      </c>
      <c r="AV584" s="36" t="str">
        <f>IFERROR(时间!$B$4+AU584,"上周无销量")</f>
        <v>上周无销量</v>
      </c>
    </row>
    <row r="585" spans="1:48">
      <c r="A585" s="20" t="s">
        <v>1337</v>
      </c>
      <c r="B585" t="s">
        <v>1338</v>
      </c>
      <c r="C585" t="s">
        <v>1308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4</v>
      </c>
      <c r="J585" s="33">
        <v>0</v>
      </c>
      <c r="K585" s="33">
        <v>0</v>
      </c>
      <c r="L585" s="33">
        <v>0</v>
      </c>
      <c r="M585">
        <v>4</v>
      </c>
      <c r="N585">
        <v>0</v>
      </c>
      <c r="O585">
        <v>4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0</v>
      </c>
      <c r="AK585">
        <v>2</v>
      </c>
      <c r="AL585">
        <v>4</v>
      </c>
      <c r="AM585">
        <v>1</v>
      </c>
      <c r="AN585" s="22" t="s">
        <v>53</v>
      </c>
      <c r="AO585" s="22">
        <v>0</v>
      </c>
      <c r="AP585" s="22">
        <v>0</v>
      </c>
      <c r="AQ585" s="22">
        <v>0</v>
      </c>
      <c r="AR585" s="35">
        <v>0</v>
      </c>
      <c r="AS585" s="35">
        <v>0</v>
      </c>
      <c r="AT585" s="35">
        <v>4</v>
      </c>
      <c r="AU585" s="31" t="str">
        <f t="shared" si="13"/>
        <v>库存为4</v>
      </c>
      <c r="AV585" s="36" t="str">
        <f>IFERROR(时间!$B$4+AU585,"上周无销量")</f>
        <v>上周无销量</v>
      </c>
    </row>
    <row r="586" spans="1:48">
      <c r="A586" s="20" t="s">
        <v>1339</v>
      </c>
      <c r="B586" t="s">
        <v>1340</v>
      </c>
      <c r="C586" t="s">
        <v>1308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4</v>
      </c>
      <c r="J586" s="33">
        <v>0</v>
      </c>
      <c r="K586" s="33">
        <v>0</v>
      </c>
      <c r="L586" s="33">
        <v>0</v>
      </c>
      <c r="M586">
        <v>4</v>
      </c>
      <c r="N586">
        <v>0</v>
      </c>
      <c r="O586">
        <v>4</v>
      </c>
      <c r="P586" t="s">
        <v>53</v>
      </c>
      <c r="Q586" t="s">
        <v>53</v>
      </c>
      <c r="R586" t="s">
        <v>53</v>
      </c>
      <c r="S586" t="s">
        <v>53</v>
      </c>
      <c r="T586" t="s">
        <v>53</v>
      </c>
      <c r="U586" t="s">
        <v>53</v>
      </c>
      <c r="V586" t="s">
        <v>53</v>
      </c>
      <c r="W586" t="s">
        <v>53</v>
      </c>
      <c r="X586" s="22" t="s">
        <v>53</v>
      </c>
      <c r="Y586" s="22" t="s">
        <v>53</v>
      </c>
      <c r="Z586" s="22" t="s">
        <v>53</v>
      </c>
      <c r="AA586" s="22" t="s">
        <v>53</v>
      </c>
      <c r="AB586" t="s">
        <v>53</v>
      </c>
      <c r="AC586" t="s">
        <v>53</v>
      </c>
      <c r="AD586" t="s">
        <v>53</v>
      </c>
      <c r="AE586" t="s">
        <v>53</v>
      </c>
      <c r="AF586" s="22" t="s">
        <v>53</v>
      </c>
      <c r="AG586" s="22" t="s">
        <v>53</v>
      </c>
      <c r="AH586" s="22" t="s">
        <v>53</v>
      </c>
      <c r="AI586" s="22" t="s">
        <v>53</v>
      </c>
      <c r="AJ586">
        <v>2</v>
      </c>
      <c r="AK586">
        <v>1</v>
      </c>
      <c r="AL586">
        <v>2</v>
      </c>
      <c r="AM586">
        <v>2</v>
      </c>
      <c r="AN586" s="22">
        <v>0</v>
      </c>
      <c r="AO586" s="22">
        <v>0</v>
      </c>
      <c r="AP586" s="22">
        <v>0</v>
      </c>
      <c r="AQ586" s="22">
        <v>0</v>
      </c>
      <c r="AR586" s="35">
        <v>0</v>
      </c>
      <c r="AS586" s="35">
        <v>0</v>
      </c>
      <c r="AT586" s="35">
        <v>4</v>
      </c>
      <c r="AU586" s="31" t="str">
        <f t="shared" si="13"/>
        <v>库存为4</v>
      </c>
      <c r="AV586" s="36" t="str">
        <f>IFERROR(时间!$B$4+AU586,"上周无销量")</f>
        <v>上周无销量</v>
      </c>
    </row>
    <row r="587" spans="1:48">
      <c r="A587" s="20" t="s">
        <v>1341</v>
      </c>
      <c r="B587" t="s">
        <v>1342</v>
      </c>
      <c r="C587" t="s">
        <v>1308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4</v>
      </c>
      <c r="J587" s="33">
        <v>0</v>
      </c>
      <c r="K587" s="33">
        <v>0</v>
      </c>
      <c r="L587" s="33">
        <v>0</v>
      </c>
      <c r="M587">
        <v>4</v>
      </c>
      <c r="N587">
        <v>0</v>
      </c>
      <c r="O587">
        <v>4</v>
      </c>
      <c r="P587" t="s">
        <v>53</v>
      </c>
      <c r="Q587" t="s">
        <v>53</v>
      </c>
      <c r="R587" t="s">
        <v>53</v>
      </c>
      <c r="S587" t="s">
        <v>53</v>
      </c>
      <c r="T587" t="s">
        <v>53</v>
      </c>
      <c r="U587" t="s">
        <v>53</v>
      </c>
      <c r="V587" t="s">
        <v>53</v>
      </c>
      <c r="W587" t="s">
        <v>53</v>
      </c>
      <c r="X587" s="22" t="s">
        <v>53</v>
      </c>
      <c r="Y587" s="22" t="s">
        <v>53</v>
      </c>
      <c r="Z587" s="22" t="s">
        <v>53</v>
      </c>
      <c r="AA587" s="22" t="s">
        <v>53</v>
      </c>
      <c r="AB587" t="s">
        <v>53</v>
      </c>
      <c r="AC587" t="s">
        <v>53</v>
      </c>
      <c r="AD587" t="s">
        <v>53</v>
      </c>
      <c r="AE587" t="s">
        <v>53</v>
      </c>
      <c r="AF587" s="22" t="s">
        <v>53</v>
      </c>
      <c r="AG587" s="22" t="s">
        <v>53</v>
      </c>
      <c r="AH587" s="22" t="s">
        <v>53</v>
      </c>
      <c r="AI587" s="22" t="s">
        <v>53</v>
      </c>
      <c r="AJ587">
        <v>1</v>
      </c>
      <c r="AK587">
        <v>2</v>
      </c>
      <c r="AL587">
        <v>3</v>
      </c>
      <c r="AM587">
        <v>1</v>
      </c>
      <c r="AN587" s="22">
        <v>0</v>
      </c>
      <c r="AO587" s="22">
        <v>0</v>
      </c>
      <c r="AP587" s="22">
        <v>0</v>
      </c>
      <c r="AQ587" s="22">
        <v>0</v>
      </c>
      <c r="AR587" s="35">
        <v>0</v>
      </c>
      <c r="AS587" s="35">
        <v>0</v>
      </c>
      <c r="AT587" s="35">
        <v>4</v>
      </c>
      <c r="AU587" s="31" t="str">
        <f t="shared" si="13"/>
        <v>库存为4</v>
      </c>
      <c r="AV587" s="36" t="str">
        <f>IFERROR(时间!$B$4+AU587,"上周无销量")</f>
        <v>上周无销量</v>
      </c>
    </row>
    <row r="588" spans="1:48">
      <c r="A588" s="20" t="s">
        <v>1343</v>
      </c>
      <c r="B588" t="s">
        <v>1344</v>
      </c>
      <c r="C588" t="s">
        <v>1308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3</v>
      </c>
      <c r="J588" s="33">
        <v>0</v>
      </c>
      <c r="K588" s="33">
        <v>0</v>
      </c>
      <c r="L588" s="33">
        <v>0</v>
      </c>
      <c r="M588">
        <v>3</v>
      </c>
      <c r="N588">
        <v>0</v>
      </c>
      <c r="O588">
        <v>3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5</v>
      </c>
      <c r="AK588">
        <v>1</v>
      </c>
      <c r="AL588">
        <v>3</v>
      </c>
      <c r="AM588">
        <v>1</v>
      </c>
      <c r="AN588" s="22">
        <v>0</v>
      </c>
      <c r="AO588" s="22">
        <v>0</v>
      </c>
      <c r="AP588" s="22">
        <v>0</v>
      </c>
      <c r="AQ588" s="22">
        <v>0</v>
      </c>
      <c r="AR588" s="35">
        <v>0</v>
      </c>
      <c r="AS588" s="35">
        <v>0</v>
      </c>
      <c r="AT588" s="35">
        <v>3</v>
      </c>
      <c r="AU588" s="31" t="str">
        <f t="shared" si="13"/>
        <v>库存为3</v>
      </c>
      <c r="AV588" s="36" t="str">
        <f>IFERROR(时间!$B$4+AU588,"上周无销量")</f>
        <v>上周无销量</v>
      </c>
    </row>
    <row r="589" spans="1:48">
      <c r="A589" s="20" t="s">
        <v>1345</v>
      </c>
      <c r="B589" t="s">
        <v>1346</v>
      </c>
      <c r="C589" t="s">
        <v>1308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4</v>
      </c>
      <c r="J589" s="33">
        <v>0</v>
      </c>
      <c r="K589" s="33">
        <v>0</v>
      </c>
      <c r="L589" s="33">
        <v>0</v>
      </c>
      <c r="M589">
        <v>4</v>
      </c>
      <c r="N589">
        <v>0</v>
      </c>
      <c r="O589">
        <v>4</v>
      </c>
      <c r="P589" t="s">
        <v>53</v>
      </c>
      <c r="Q589" t="s">
        <v>53</v>
      </c>
      <c r="R589" t="s">
        <v>53</v>
      </c>
      <c r="S589" t="s">
        <v>53</v>
      </c>
      <c r="T589" t="s">
        <v>53</v>
      </c>
      <c r="U589" t="s">
        <v>53</v>
      </c>
      <c r="V589" t="s">
        <v>53</v>
      </c>
      <c r="W589" t="s">
        <v>53</v>
      </c>
      <c r="X589" s="22" t="s">
        <v>53</v>
      </c>
      <c r="Y589" s="22" t="s">
        <v>53</v>
      </c>
      <c r="Z589" s="22" t="s">
        <v>53</v>
      </c>
      <c r="AA589" s="22" t="s">
        <v>53</v>
      </c>
      <c r="AB589" t="s">
        <v>53</v>
      </c>
      <c r="AC589" t="s">
        <v>53</v>
      </c>
      <c r="AD589" t="s">
        <v>53</v>
      </c>
      <c r="AE589" t="s">
        <v>53</v>
      </c>
      <c r="AF589" s="22" t="s">
        <v>53</v>
      </c>
      <c r="AG589" s="22" t="s">
        <v>53</v>
      </c>
      <c r="AH589" s="22" t="s">
        <v>53</v>
      </c>
      <c r="AI589" s="22" t="s">
        <v>53</v>
      </c>
      <c r="AJ589">
        <v>4</v>
      </c>
      <c r="AK589">
        <v>1</v>
      </c>
      <c r="AL589">
        <v>1</v>
      </c>
      <c r="AM589">
        <v>1</v>
      </c>
      <c r="AN589" s="22">
        <v>0</v>
      </c>
      <c r="AO589" s="22">
        <v>0</v>
      </c>
      <c r="AP589" s="22">
        <v>0</v>
      </c>
      <c r="AQ589" s="22">
        <v>0</v>
      </c>
      <c r="AR589" s="35">
        <v>0</v>
      </c>
      <c r="AS589" s="35">
        <v>0</v>
      </c>
      <c r="AT589" s="35">
        <v>4</v>
      </c>
      <c r="AU589" s="31" t="str">
        <f t="shared" si="13"/>
        <v>库存为4</v>
      </c>
      <c r="AV589" s="36" t="str">
        <f>IFERROR(时间!$B$4+AU589,"上周无销量")</f>
        <v>上周无销量</v>
      </c>
    </row>
    <row r="590" spans="1:48">
      <c r="A590" s="20" t="s">
        <v>1347</v>
      </c>
      <c r="B590" t="s">
        <v>1348</v>
      </c>
      <c r="C590" t="s">
        <v>1308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4</v>
      </c>
      <c r="J590" s="33">
        <v>0</v>
      </c>
      <c r="K590" s="33">
        <v>0</v>
      </c>
      <c r="L590" s="33">
        <v>0</v>
      </c>
      <c r="M590">
        <v>4</v>
      </c>
      <c r="N590">
        <v>0</v>
      </c>
      <c r="O590">
        <v>4</v>
      </c>
      <c r="P590" t="s">
        <v>53</v>
      </c>
      <c r="Q590" t="s">
        <v>53</v>
      </c>
      <c r="R590" t="s">
        <v>53</v>
      </c>
      <c r="S590" t="s">
        <v>53</v>
      </c>
      <c r="T590" t="s">
        <v>53</v>
      </c>
      <c r="U590" t="s">
        <v>53</v>
      </c>
      <c r="V590" t="s">
        <v>53</v>
      </c>
      <c r="W590" t="s">
        <v>53</v>
      </c>
      <c r="X590" s="22" t="s">
        <v>53</v>
      </c>
      <c r="Y590" s="22" t="s">
        <v>53</v>
      </c>
      <c r="Z590" s="22" t="s">
        <v>53</v>
      </c>
      <c r="AA590" s="22" t="s">
        <v>53</v>
      </c>
      <c r="AB590" t="s">
        <v>53</v>
      </c>
      <c r="AC590" t="s">
        <v>53</v>
      </c>
      <c r="AD590" t="s">
        <v>53</v>
      </c>
      <c r="AE590" t="s">
        <v>53</v>
      </c>
      <c r="AF590" s="22" t="s">
        <v>53</v>
      </c>
      <c r="AG590" s="22" t="s">
        <v>53</v>
      </c>
      <c r="AH590" s="22" t="s">
        <v>53</v>
      </c>
      <c r="AI590" s="22" t="s">
        <v>53</v>
      </c>
      <c r="AJ590">
        <v>0</v>
      </c>
      <c r="AK590">
        <v>2</v>
      </c>
      <c r="AL590">
        <v>4</v>
      </c>
      <c r="AM590">
        <v>4</v>
      </c>
      <c r="AN590" s="22" t="s">
        <v>53</v>
      </c>
      <c r="AO590" s="22">
        <v>0</v>
      </c>
      <c r="AP590" s="22">
        <v>0</v>
      </c>
      <c r="AQ590" s="22">
        <v>0</v>
      </c>
      <c r="AR590" s="35">
        <v>0</v>
      </c>
      <c r="AS590" s="35">
        <v>0</v>
      </c>
      <c r="AT590" s="35">
        <v>4</v>
      </c>
      <c r="AU590" s="31" t="str">
        <f t="shared" si="13"/>
        <v>库存为4</v>
      </c>
      <c r="AV590" s="36" t="str">
        <f>IFERROR(时间!$B$4+AU590,"上周无销量")</f>
        <v>上周无销量</v>
      </c>
    </row>
    <row r="591" spans="1:48">
      <c r="A591" s="20" t="s">
        <v>1349</v>
      </c>
      <c r="B591" t="s">
        <v>1350</v>
      </c>
      <c r="C591" t="s">
        <v>1308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4</v>
      </c>
      <c r="J591" s="33">
        <v>0</v>
      </c>
      <c r="K591" s="33">
        <v>0</v>
      </c>
      <c r="L591" s="33">
        <v>0</v>
      </c>
      <c r="M591">
        <v>4</v>
      </c>
      <c r="N591">
        <v>0</v>
      </c>
      <c r="O591">
        <v>4</v>
      </c>
      <c r="P591" t="s">
        <v>53</v>
      </c>
      <c r="Q591" t="s">
        <v>53</v>
      </c>
      <c r="R591" t="s">
        <v>53</v>
      </c>
      <c r="S591" t="s">
        <v>53</v>
      </c>
      <c r="T591" t="s">
        <v>53</v>
      </c>
      <c r="U591" t="s">
        <v>53</v>
      </c>
      <c r="V591" t="s">
        <v>53</v>
      </c>
      <c r="W591" t="s">
        <v>53</v>
      </c>
      <c r="X591" s="22" t="s">
        <v>53</v>
      </c>
      <c r="Y591" s="22" t="s">
        <v>53</v>
      </c>
      <c r="Z591" s="22" t="s">
        <v>53</v>
      </c>
      <c r="AA591" s="22" t="s">
        <v>53</v>
      </c>
      <c r="AB591" t="s">
        <v>53</v>
      </c>
      <c r="AC591" t="s">
        <v>53</v>
      </c>
      <c r="AD591" t="s">
        <v>53</v>
      </c>
      <c r="AE591" t="s">
        <v>53</v>
      </c>
      <c r="AF591" s="22" t="s">
        <v>53</v>
      </c>
      <c r="AG591" s="22" t="s">
        <v>53</v>
      </c>
      <c r="AH591" s="22" t="s">
        <v>53</v>
      </c>
      <c r="AI591" s="22" t="s">
        <v>53</v>
      </c>
      <c r="AJ591">
        <v>3</v>
      </c>
      <c r="AK591">
        <v>1</v>
      </c>
      <c r="AL591">
        <v>1</v>
      </c>
      <c r="AM591">
        <v>1</v>
      </c>
      <c r="AN591" s="22">
        <v>0</v>
      </c>
      <c r="AO591" s="22">
        <v>0</v>
      </c>
      <c r="AP591" s="22">
        <v>0</v>
      </c>
      <c r="AQ591" s="22">
        <v>0</v>
      </c>
      <c r="AR591" s="35">
        <v>0</v>
      </c>
      <c r="AS591" s="35">
        <v>0</v>
      </c>
      <c r="AT591" s="35">
        <v>4</v>
      </c>
      <c r="AU591" s="31" t="str">
        <f t="shared" si="13"/>
        <v>库存为4</v>
      </c>
      <c r="AV591" s="36" t="str">
        <f>IFERROR(时间!$B$4+AU591,"上周无销量")</f>
        <v>上周无销量</v>
      </c>
    </row>
    <row r="592" spans="1:48">
      <c r="A592" s="20" t="s">
        <v>1351</v>
      </c>
      <c r="B592" t="s">
        <v>1352</v>
      </c>
      <c r="C592" t="s">
        <v>1308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4</v>
      </c>
      <c r="J592" s="33">
        <v>0</v>
      </c>
      <c r="K592" s="33">
        <v>0</v>
      </c>
      <c r="L592" s="33">
        <v>0</v>
      </c>
      <c r="M592">
        <v>4</v>
      </c>
      <c r="N592">
        <v>0</v>
      </c>
      <c r="O592">
        <v>4</v>
      </c>
      <c r="P592" t="s">
        <v>53</v>
      </c>
      <c r="Q592" t="s">
        <v>53</v>
      </c>
      <c r="R592" t="s">
        <v>53</v>
      </c>
      <c r="S592" t="s">
        <v>53</v>
      </c>
      <c r="T592" t="s">
        <v>53</v>
      </c>
      <c r="U592" t="s">
        <v>53</v>
      </c>
      <c r="V592" t="s">
        <v>53</v>
      </c>
      <c r="W592" t="s">
        <v>53</v>
      </c>
      <c r="X592" s="22" t="s">
        <v>53</v>
      </c>
      <c r="Y592" s="22" t="s">
        <v>53</v>
      </c>
      <c r="Z592" s="22" t="s">
        <v>53</v>
      </c>
      <c r="AA592" s="22" t="s">
        <v>53</v>
      </c>
      <c r="AB592" t="s">
        <v>53</v>
      </c>
      <c r="AC592" t="s">
        <v>53</v>
      </c>
      <c r="AD592" t="s">
        <v>53</v>
      </c>
      <c r="AE592" t="s">
        <v>53</v>
      </c>
      <c r="AF592" s="22" t="s">
        <v>53</v>
      </c>
      <c r="AG592" s="22" t="s">
        <v>53</v>
      </c>
      <c r="AH592" s="22" t="s">
        <v>53</v>
      </c>
      <c r="AI592" s="22" t="s">
        <v>53</v>
      </c>
      <c r="AJ592">
        <v>1</v>
      </c>
      <c r="AK592">
        <v>0</v>
      </c>
      <c r="AL592">
        <v>4</v>
      </c>
      <c r="AM592">
        <v>3</v>
      </c>
      <c r="AN592" s="22">
        <v>0</v>
      </c>
      <c r="AO592" s="22" t="s">
        <v>53</v>
      </c>
      <c r="AP592" s="22">
        <v>0</v>
      </c>
      <c r="AQ592" s="22">
        <v>0</v>
      </c>
      <c r="AR592" s="35">
        <v>0</v>
      </c>
      <c r="AS592" s="35">
        <v>0</v>
      </c>
      <c r="AT592" s="35">
        <v>4</v>
      </c>
      <c r="AU592" s="31" t="str">
        <f t="shared" si="13"/>
        <v>库存为4</v>
      </c>
      <c r="AV592" s="36" t="str">
        <f>IFERROR(时间!$B$4+AU592,"上周无销量")</f>
        <v>上周无销量</v>
      </c>
    </row>
    <row r="593" spans="1:48">
      <c r="A593" s="20" t="s">
        <v>1353</v>
      </c>
      <c r="B593" t="s">
        <v>1354</v>
      </c>
      <c r="C593" t="s">
        <v>1308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4</v>
      </c>
      <c r="J593" s="33">
        <v>0</v>
      </c>
      <c r="K593" s="33">
        <v>0</v>
      </c>
      <c r="L593" s="33">
        <v>0</v>
      </c>
      <c r="M593">
        <v>4</v>
      </c>
      <c r="N593">
        <v>0</v>
      </c>
      <c r="O593">
        <v>4</v>
      </c>
      <c r="P593" t="s">
        <v>53</v>
      </c>
      <c r="Q593" t="s">
        <v>53</v>
      </c>
      <c r="R593" t="s">
        <v>53</v>
      </c>
      <c r="S593" t="s">
        <v>53</v>
      </c>
      <c r="T593" t="s">
        <v>53</v>
      </c>
      <c r="U593" t="s">
        <v>53</v>
      </c>
      <c r="V593" t="s">
        <v>53</v>
      </c>
      <c r="W593" t="s">
        <v>53</v>
      </c>
      <c r="X593" s="22" t="s">
        <v>53</v>
      </c>
      <c r="Y593" s="22" t="s">
        <v>53</v>
      </c>
      <c r="Z593" s="22" t="s">
        <v>53</v>
      </c>
      <c r="AA593" s="22" t="s">
        <v>53</v>
      </c>
      <c r="AB593" t="s">
        <v>53</v>
      </c>
      <c r="AC593" t="s">
        <v>53</v>
      </c>
      <c r="AD593" t="s">
        <v>53</v>
      </c>
      <c r="AE593" t="s">
        <v>53</v>
      </c>
      <c r="AF593" s="22" t="s">
        <v>53</v>
      </c>
      <c r="AG593" s="22" t="s">
        <v>53</v>
      </c>
      <c r="AH593" s="22" t="s">
        <v>53</v>
      </c>
      <c r="AI593" s="22" t="s">
        <v>53</v>
      </c>
      <c r="AJ593">
        <v>0</v>
      </c>
      <c r="AK593">
        <v>2</v>
      </c>
      <c r="AL593">
        <v>2</v>
      </c>
      <c r="AM593">
        <v>2</v>
      </c>
      <c r="AN593" s="22" t="s">
        <v>53</v>
      </c>
      <c r="AO593" s="22">
        <v>0</v>
      </c>
      <c r="AP593" s="22">
        <v>0</v>
      </c>
      <c r="AQ593" s="22">
        <v>0</v>
      </c>
      <c r="AR593" s="35">
        <v>0</v>
      </c>
      <c r="AS593" s="35">
        <v>0</v>
      </c>
      <c r="AT593" s="35">
        <v>4</v>
      </c>
      <c r="AU593" s="31" t="str">
        <f t="shared" si="13"/>
        <v>库存为4</v>
      </c>
      <c r="AV593" s="36" t="str">
        <f>IFERROR(时间!$B$4+AU593,"上周无销量")</f>
        <v>上周无销量</v>
      </c>
    </row>
    <row r="594" spans="1:48">
      <c r="A594" s="20" t="s">
        <v>1355</v>
      </c>
      <c r="B594" t="s">
        <v>1356</v>
      </c>
      <c r="C594" t="s">
        <v>1308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4</v>
      </c>
      <c r="J594" s="33">
        <v>0</v>
      </c>
      <c r="K594" s="33">
        <v>0</v>
      </c>
      <c r="L594" s="33">
        <v>0</v>
      </c>
      <c r="M594">
        <v>4</v>
      </c>
      <c r="N594">
        <v>0</v>
      </c>
      <c r="O594">
        <v>4</v>
      </c>
      <c r="P594" t="s">
        <v>53</v>
      </c>
      <c r="Q594" t="s">
        <v>53</v>
      </c>
      <c r="R594" t="s">
        <v>53</v>
      </c>
      <c r="S594" t="s">
        <v>53</v>
      </c>
      <c r="T594" t="s">
        <v>53</v>
      </c>
      <c r="U594" t="s">
        <v>53</v>
      </c>
      <c r="V594" t="s">
        <v>53</v>
      </c>
      <c r="W594" t="s">
        <v>53</v>
      </c>
      <c r="X594" s="22" t="s">
        <v>53</v>
      </c>
      <c r="Y594" s="22" t="s">
        <v>53</v>
      </c>
      <c r="Z594" s="22" t="s">
        <v>53</v>
      </c>
      <c r="AA594" s="22" t="s">
        <v>53</v>
      </c>
      <c r="AB594" t="s">
        <v>53</v>
      </c>
      <c r="AC594" t="s">
        <v>53</v>
      </c>
      <c r="AD594" t="s">
        <v>53</v>
      </c>
      <c r="AE594" t="s">
        <v>53</v>
      </c>
      <c r="AF594" s="22" t="s">
        <v>53</v>
      </c>
      <c r="AG594" s="22" t="s">
        <v>53</v>
      </c>
      <c r="AH594" s="22" t="s">
        <v>53</v>
      </c>
      <c r="AI594" s="22" t="s">
        <v>53</v>
      </c>
      <c r="AJ594">
        <v>0</v>
      </c>
      <c r="AK594">
        <v>2</v>
      </c>
      <c r="AL594">
        <v>2</v>
      </c>
      <c r="AM594">
        <v>1</v>
      </c>
      <c r="AN594" s="22" t="s">
        <v>53</v>
      </c>
      <c r="AO594" s="22">
        <v>0</v>
      </c>
      <c r="AP594" s="22">
        <v>0</v>
      </c>
      <c r="AQ594" s="22">
        <v>0</v>
      </c>
      <c r="AR594" s="35">
        <v>0</v>
      </c>
      <c r="AS594" s="35">
        <v>0</v>
      </c>
      <c r="AT594" s="35">
        <v>4</v>
      </c>
      <c r="AU594" s="31" t="str">
        <f t="shared" si="13"/>
        <v>库存为4</v>
      </c>
      <c r="AV594" s="36" t="str">
        <f>IFERROR(时间!$B$4+AU594,"上周无销量")</f>
        <v>上周无销量</v>
      </c>
    </row>
    <row r="595" spans="1:48">
      <c r="A595" s="20" t="s">
        <v>1357</v>
      </c>
      <c r="B595" t="s">
        <v>1358</v>
      </c>
      <c r="C595" t="s">
        <v>1308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4</v>
      </c>
      <c r="J595" s="33">
        <v>0</v>
      </c>
      <c r="K595" s="33">
        <v>0</v>
      </c>
      <c r="L595" s="33">
        <v>0</v>
      </c>
      <c r="M595">
        <v>4</v>
      </c>
      <c r="N595">
        <v>0</v>
      </c>
      <c r="O595">
        <v>4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0</v>
      </c>
      <c r="AK595">
        <v>1</v>
      </c>
      <c r="AL595">
        <v>0</v>
      </c>
      <c r="AM595">
        <v>1</v>
      </c>
      <c r="AN595" s="22" t="s">
        <v>53</v>
      </c>
      <c r="AO595" s="22">
        <v>0</v>
      </c>
      <c r="AP595" s="22" t="s">
        <v>53</v>
      </c>
      <c r="AQ595" s="22">
        <v>0</v>
      </c>
      <c r="AR595" s="35">
        <v>0</v>
      </c>
      <c r="AS595" s="35">
        <v>0</v>
      </c>
      <c r="AT595" s="35">
        <v>4</v>
      </c>
      <c r="AU595" s="31" t="str">
        <f t="shared" si="13"/>
        <v>库存为4</v>
      </c>
      <c r="AV595" s="36" t="str">
        <f>IFERROR(时间!$B$4+AU595,"上周无销量")</f>
        <v>上周无销量</v>
      </c>
    </row>
    <row r="596" spans="1:48">
      <c r="A596" s="20" t="s">
        <v>1359</v>
      </c>
      <c r="B596" t="s">
        <v>1360</v>
      </c>
      <c r="C596" t="s">
        <v>1308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4</v>
      </c>
      <c r="J596" s="33">
        <v>0</v>
      </c>
      <c r="K596" s="33">
        <v>0</v>
      </c>
      <c r="L596" s="33">
        <v>0</v>
      </c>
      <c r="M596">
        <v>4</v>
      </c>
      <c r="N596">
        <v>0</v>
      </c>
      <c r="O596">
        <v>4</v>
      </c>
      <c r="P596" t="s">
        <v>53</v>
      </c>
      <c r="Q596" t="s">
        <v>53</v>
      </c>
      <c r="R596" t="s">
        <v>53</v>
      </c>
      <c r="S596" t="s">
        <v>53</v>
      </c>
      <c r="T596" t="s">
        <v>53</v>
      </c>
      <c r="U596" t="s">
        <v>53</v>
      </c>
      <c r="V596" t="s">
        <v>53</v>
      </c>
      <c r="W596" t="s">
        <v>53</v>
      </c>
      <c r="X596" s="22" t="s">
        <v>53</v>
      </c>
      <c r="Y596" s="22" t="s">
        <v>53</v>
      </c>
      <c r="Z596" s="22" t="s">
        <v>53</v>
      </c>
      <c r="AA596" s="22" t="s">
        <v>53</v>
      </c>
      <c r="AB596" t="s">
        <v>53</v>
      </c>
      <c r="AC596" t="s">
        <v>53</v>
      </c>
      <c r="AD596" t="s">
        <v>53</v>
      </c>
      <c r="AE596" t="s">
        <v>53</v>
      </c>
      <c r="AF596" s="22" t="s">
        <v>53</v>
      </c>
      <c r="AG596" s="22" t="s">
        <v>53</v>
      </c>
      <c r="AH596" s="22" t="s">
        <v>53</v>
      </c>
      <c r="AI596" s="22" t="s">
        <v>53</v>
      </c>
      <c r="AJ596">
        <v>2</v>
      </c>
      <c r="AK596">
        <v>0</v>
      </c>
      <c r="AL596">
        <v>1</v>
      </c>
      <c r="AM596">
        <v>4</v>
      </c>
      <c r="AN596" s="22">
        <v>0</v>
      </c>
      <c r="AO596" s="22" t="s">
        <v>53</v>
      </c>
      <c r="AP596" s="22">
        <v>0</v>
      </c>
      <c r="AQ596" s="22">
        <v>0</v>
      </c>
      <c r="AR596" s="35">
        <v>0</v>
      </c>
      <c r="AS596" s="35">
        <v>0</v>
      </c>
      <c r="AT596" s="35">
        <v>4</v>
      </c>
      <c r="AU596" s="31" t="str">
        <f t="shared" si="13"/>
        <v>库存为4</v>
      </c>
      <c r="AV596" s="36" t="str">
        <f>IFERROR(时间!$B$4+AU596,"上周无销量")</f>
        <v>上周无销量</v>
      </c>
    </row>
    <row r="597" spans="1:48">
      <c r="A597" s="20" t="s">
        <v>1361</v>
      </c>
      <c r="B597" t="s">
        <v>1362</v>
      </c>
      <c r="C597" t="s">
        <v>1308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4</v>
      </c>
      <c r="J597" s="33">
        <v>0</v>
      </c>
      <c r="K597" s="33">
        <v>0</v>
      </c>
      <c r="L597" s="33">
        <v>0</v>
      </c>
      <c r="M597">
        <v>4</v>
      </c>
      <c r="N597">
        <v>0</v>
      </c>
      <c r="O597">
        <v>4</v>
      </c>
      <c r="P597" t="s">
        <v>53</v>
      </c>
      <c r="Q597" t="s">
        <v>53</v>
      </c>
      <c r="R597" t="s">
        <v>53</v>
      </c>
      <c r="S597" t="s">
        <v>53</v>
      </c>
      <c r="T597" t="s">
        <v>53</v>
      </c>
      <c r="U597" t="s">
        <v>53</v>
      </c>
      <c r="V597" t="s">
        <v>53</v>
      </c>
      <c r="W597" t="s">
        <v>53</v>
      </c>
      <c r="X597" s="22" t="s">
        <v>53</v>
      </c>
      <c r="Y597" s="22" t="s">
        <v>53</v>
      </c>
      <c r="Z597" s="22" t="s">
        <v>53</v>
      </c>
      <c r="AA597" s="22" t="s">
        <v>53</v>
      </c>
      <c r="AB597" t="s">
        <v>53</v>
      </c>
      <c r="AC597" t="s">
        <v>53</v>
      </c>
      <c r="AD597" t="s">
        <v>53</v>
      </c>
      <c r="AE597" t="s">
        <v>53</v>
      </c>
      <c r="AF597" s="22" t="s">
        <v>53</v>
      </c>
      <c r="AG597" s="22" t="s">
        <v>53</v>
      </c>
      <c r="AH597" s="22" t="s">
        <v>53</v>
      </c>
      <c r="AI597" s="22" t="s">
        <v>53</v>
      </c>
      <c r="AJ597">
        <v>4</v>
      </c>
      <c r="AK597">
        <v>0</v>
      </c>
      <c r="AL597">
        <v>2</v>
      </c>
      <c r="AM597">
        <v>0</v>
      </c>
      <c r="AN597" s="22">
        <v>0</v>
      </c>
      <c r="AO597" s="22" t="s">
        <v>53</v>
      </c>
      <c r="AP597" s="22">
        <v>0</v>
      </c>
      <c r="AQ597" s="22" t="s">
        <v>53</v>
      </c>
      <c r="AR597" s="35">
        <v>0</v>
      </c>
      <c r="AS597" s="35">
        <v>0</v>
      </c>
      <c r="AT597" s="35">
        <v>4</v>
      </c>
      <c r="AU597" s="31" t="str">
        <f t="shared" si="13"/>
        <v>库存为4</v>
      </c>
      <c r="AV597" s="36" t="str">
        <f>IFERROR(时间!$B$4+AU597,"上周无销量")</f>
        <v>上周无销量</v>
      </c>
    </row>
    <row r="598" spans="1:48">
      <c r="A598" s="20" t="s">
        <v>1363</v>
      </c>
      <c r="B598" t="s">
        <v>1364</v>
      </c>
      <c r="C598" t="s">
        <v>1308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4</v>
      </c>
      <c r="J598" s="33">
        <v>0</v>
      </c>
      <c r="K598" s="33">
        <v>0</v>
      </c>
      <c r="L598" s="33">
        <v>0</v>
      </c>
      <c r="M598">
        <v>4</v>
      </c>
      <c r="N598">
        <v>0</v>
      </c>
      <c r="O598">
        <v>4</v>
      </c>
      <c r="P598" t="s">
        <v>53</v>
      </c>
      <c r="Q598" t="s">
        <v>53</v>
      </c>
      <c r="R598" t="s">
        <v>53</v>
      </c>
      <c r="S598" t="s">
        <v>53</v>
      </c>
      <c r="T598" t="s">
        <v>53</v>
      </c>
      <c r="U598" t="s">
        <v>53</v>
      </c>
      <c r="V598" t="s">
        <v>53</v>
      </c>
      <c r="W598" t="s">
        <v>53</v>
      </c>
      <c r="X598" s="22" t="s">
        <v>53</v>
      </c>
      <c r="Y598" s="22" t="s">
        <v>53</v>
      </c>
      <c r="Z598" s="22" t="s">
        <v>53</v>
      </c>
      <c r="AA598" s="22" t="s">
        <v>53</v>
      </c>
      <c r="AB598" t="s">
        <v>53</v>
      </c>
      <c r="AC598" t="s">
        <v>53</v>
      </c>
      <c r="AD598" t="s">
        <v>53</v>
      </c>
      <c r="AE598" t="s">
        <v>53</v>
      </c>
      <c r="AF598" s="22" t="s">
        <v>53</v>
      </c>
      <c r="AG598" s="22" t="s">
        <v>53</v>
      </c>
      <c r="AH598" s="22" t="s">
        <v>53</v>
      </c>
      <c r="AI598" s="22" t="s">
        <v>53</v>
      </c>
      <c r="AJ598">
        <v>0</v>
      </c>
      <c r="AK598">
        <v>0</v>
      </c>
      <c r="AL598">
        <v>2</v>
      </c>
      <c r="AM598">
        <v>2</v>
      </c>
      <c r="AN598" s="22" t="s">
        <v>53</v>
      </c>
      <c r="AO598" s="22" t="s">
        <v>53</v>
      </c>
      <c r="AP598" s="22">
        <v>0</v>
      </c>
      <c r="AQ598" s="22">
        <v>0</v>
      </c>
      <c r="AR598" s="35">
        <v>0</v>
      </c>
      <c r="AS598" s="35">
        <v>0</v>
      </c>
      <c r="AT598" s="35">
        <v>4</v>
      </c>
      <c r="AU598" s="31" t="str">
        <f t="shared" si="13"/>
        <v>库存为4</v>
      </c>
      <c r="AV598" s="36" t="str">
        <f>IFERROR(时间!$B$4+AU598,"上周无销量")</f>
        <v>上周无销量</v>
      </c>
    </row>
    <row r="599" spans="1:48">
      <c r="A599" s="20" t="s">
        <v>1365</v>
      </c>
      <c r="B599" t="s">
        <v>1366</v>
      </c>
      <c r="C599" t="s">
        <v>1308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4</v>
      </c>
      <c r="J599" s="33">
        <v>0</v>
      </c>
      <c r="K599" s="33">
        <v>0</v>
      </c>
      <c r="L599" s="33">
        <v>0</v>
      </c>
      <c r="M599">
        <v>4</v>
      </c>
      <c r="N599">
        <v>0</v>
      </c>
      <c r="O599">
        <v>4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3</v>
      </c>
      <c r="AK599">
        <v>1</v>
      </c>
      <c r="AL599">
        <v>3</v>
      </c>
      <c r="AM599">
        <v>2</v>
      </c>
      <c r="AN599" s="22">
        <v>0</v>
      </c>
      <c r="AO599" s="22">
        <v>0</v>
      </c>
      <c r="AP599" s="22">
        <v>0</v>
      </c>
      <c r="AQ599" s="22">
        <v>0</v>
      </c>
      <c r="AR599" s="35">
        <v>0</v>
      </c>
      <c r="AS599" s="35">
        <v>0</v>
      </c>
      <c r="AT599" s="35">
        <v>4</v>
      </c>
      <c r="AU599" s="31" t="str">
        <f t="shared" si="13"/>
        <v>库存为4</v>
      </c>
      <c r="AV599" s="36" t="str">
        <f>IFERROR(时间!$B$4+AU599,"上周无销量")</f>
        <v>上周无销量</v>
      </c>
    </row>
    <row r="600" spans="1:48">
      <c r="A600" s="20" t="s">
        <v>1367</v>
      </c>
      <c r="B600" t="s">
        <v>1368</v>
      </c>
      <c r="C600" t="s">
        <v>1308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4</v>
      </c>
      <c r="J600" s="33">
        <v>0</v>
      </c>
      <c r="K600" s="33">
        <v>0</v>
      </c>
      <c r="L600" s="33">
        <v>0</v>
      </c>
      <c r="M600">
        <v>4</v>
      </c>
      <c r="N600">
        <v>0</v>
      </c>
      <c r="O600">
        <v>4</v>
      </c>
      <c r="P600" t="s">
        <v>53</v>
      </c>
      <c r="Q600" t="s">
        <v>53</v>
      </c>
      <c r="R600" t="s">
        <v>53</v>
      </c>
      <c r="S600" t="s">
        <v>53</v>
      </c>
      <c r="T600" t="s">
        <v>53</v>
      </c>
      <c r="U600" t="s">
        <v>53</v>
      </c>
      <c r="V600" t="s">
        <v>53</v>
      </c>
      <c r="W600" t="s">
        <v>53</v>
      </c>
      <c r="X600" s="22" t="s">
        <v>53</v>
      </c>
      <c r="Y600" s="22" t="s">
        <v>53</v>
      </c>
      <c r="Z600" s="22" t="s">
        <v>53</v>
      </c>
      <c r="AA600" s="22" t="s">
        <v>53</v>
      </c>
      <c r="AB600" t="s">
        <v>53</v>
      </c>
      <c r="AC600" t="s">
        <v>53</v>
      </c>
      <c r="AD600" t="s">
        <v>53</v>
      </c>
      <c r="AE600" t="s">
        <v>53</v>
      </c>
      <c r="AF600" s="22" t="s">
        <v>53</v>
      </c>
      <c r="AG600" s="22" t="s">
        <v>53</v>
      </c>
      <c r="AH600" s="22" t="s">
        <v>53</v>
      </c>
      <c r="AI600" s="22" t="s">
        <v>53</v>
      </c>
      <c r="AJ600">
        <v>2</v>
      </c>
      <c r="AK600">
        <v>0</v>
      </c>
      <c r="AL600">
        <v>2</v>
      </c>
      <c r="AM600">
        <v>3</v>
      </c>
      <c r="AN600" s="22">
        <v>0</v>
      </c>
      <c r="AO600" s="22" t="s">
        <v>53</v>
      </c>
      <c r="AP600" s="22">
        <v>0</v>
      </c>
      <c r="AQ600" s="22">
        <v>0</v>
      </c>
      <c r="AR600" s="35">
        <v>0</v>
      </c>
      <c r="AS600" s="35">
        <v>0</v>
      </c>
      <c r="AT600" s="35">
        <v>4</v>
      </c>
      <c r="AU600" s="31" t="str">
        <f t="shared" si="13"/>
        <v>库存为4</v>
      </c>
      <c r="AV600" s="36" t="str">
        <f>IFERROR(时间!$B$4+AU600,"上周无销量")</f>
        <v>上周无销量</v>
      </c>
    </row>
    <row r="601" spans="1:48">
      <c r="A601" s="20" t="s">
        <v>1369</v>
      </c>
      <c r="B601" t="s">
        <v>1370</v>
      </c>
      <c r="C601" t="s">
        <v>1308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4</v>
      </c>
      <c r="J601" s="33">
        <v>0</v>
      </c>
      <c r="K601" s="33">
        <v>0</v>
      </c>
      <c r="L601" s="33">
        <v>0</v>
      </c>
      <c r="M601">
        <v>4</v>
      </c>
      <c r="N601">
        <v>0</v>
      </c>
      <c r="O601">
        <v>4</v>
      </c>
      <c r="P601" t="s">
        <v>53</v>
      </c>
      <c r="Q601" t="s">
        <v>53</v>
      </c>
      <c r="R601" t="s">
        <v>53</v>
      </c>
      <c r="S601" t="s">
        <v>53</v>
      </c>
      <c r="T601" t="s">
        <v>53</v>
      </c>
      <c r="U601" t="s">
        <v>53</v>
      </c>
      <c r="V601" t="s">
        <v>53</v>
      </c>
      <c r="W601" t="s">
        <v>53</v>
      </c>
      <c r="X601" s="22" t="s">
        <v>53</v>
      </c>
      <c r="Y601" s="22" t="s">
        <v>53</v>
      </c>
      <c r="Z601" s="22" t="s">
        <v>53</v>
      </c>
      <c r="AA601" s="22" t="s">
        <v>53</v>
      </c>
      <c r="AB601" t="s">
        <v>53</v>
      </c>
      <c r="AC601" t="s">
        <v>53</v>
      </c>
      <c r="AD601" t="s">
        <v>53</v>
      </c>
      <c r="AE601" t="s">
        <v>53</v>
      </c>
      <c r="AF601" s="22" t="s">
        <v>53</v>
      </c>
      <c r="AG601" s="22" t="s">
        <v>53</v>
      </c>
      <c r="AH601" s="22" t="s">
        <v>53</v>
      </c>
      <c r="AI601" s="22" t="s">
        <v>53</v>
      </c>
      <c r="AJ601">
        <v>1</v>
      </c>
      <c r="AK601">
        <v>1</v>
      </c>
      <c r="AL601">
        <v>3</v>
      </c>
      <c r="AM601">
        <v>5</v>
      </c>
      <c r="AN601" s="22">
        <v>0</v>
      </c>
      <c r="AO601" s="22">
        <v>0</v>
      </c>
      <c r="AP601" s="22">
        <v>0</v>
      </c>
      <c r="AQ601" s="22">
        <v>0</v>
      </c>
      <c r="AR601" s="35">
        <v>0</v>
      </c>
      <c r="AS601" s="35">
        <v>0</v>
      </c>
      <c r="AT601" s="35">
        <v>4</v>
      </c>
      <c r="AU601" s="31" t="str">
        <f t="shared" si="13"/>
        <v>库存为4</v>
      </c>
      <c r="AV601" s="36" t="str">
        <f>IFERROR(时间!$B$4+AU601,"上周无销量")</f>
        <v>上周无销量</v>
      </c>
    </row>
    <row r="602" spans="1:48">
      <c r="A602" s="20" t="s">
        <v>1371</v>
      </c>
      <c r="B602" t="s">
        <v>1372</v>
      </c>
      <c r="C602" t="s">
        <v>1308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4</v>
      </c>
      <c r="J602" s="33">
        <v>0</v>
      </c>
      <c r="K602" s="33">
        <v>0</v>
      </c>
      <c r="L602" s="33">
        <v>0</v>
      </c>
      <c r="M602">
        <v>4</v>
      </c>
      <c r="N602">
        <v>0</v>
      </c>
      <c r="O602">
        <v>4</v>
      </c>
      <c r="P602" t="s">
        <v>53</v>
      </c>
      <c r="Q602" t="s">
        <v>53</v>
      </c>
      <c r="R602" t="s">
        <v>53</v>
      </c>
      <c r="S602" t="s">
        <v>53</v>
      </c>
      <c r="T602" t="s">
        <v>53</v>
      </c>
      <c r="U602" t="s">
        <v>53</v>
      </c>
      <c r="V602" t="s">
        <v>53</v>
      </c>
      <c r="W602" t="s">
        <v>53</v>
      </c>
      <c r="X602" s="22" t="s">
        <v>53</v>
      </c>
      <c r="Y602" s="22" t="s">
        <v>53</v>
      </c>
      <c r="Z602" s="22" t="s">
        <v>53</v>
      </c>
      <c r="AA602" s="22" t="s">
        <v>53</v>
      </c>
      <c r="AB602" t="s">
        <v>53</v>
      </c>
      <c r="AC602" t="s">
        <v>53</v>
      </c>
      <c r="AD602" t="s">
        <v>53</v>
      </c>
      <c r="AE602" t="s">
        <v>53</v>
      </c>
      <c r="AF602" s="22" t="s">
        <v>53</v>
      </c>
      <c r="AG602" s="22" t="s">
        <v>53</v>
      </c>
      <c r="AH602" s="22" t="s">
        <v>53</v>
      </c>
      <c r="AI602" s="22" t="s">
        <v>53</v>
      </c>
      <c r="AJ602">
        <v>1</v>
      </c>
      <c r="AK602">
        <v>2</v>
      </c>
      <c r="AL602">
        <v>2</v>
      </c>
      <c r="AM602">
        <v>2</v>
      </c>
      <c r="AN602" s="22">
        <v>0</v>
      </c>
      <c r="AO602" s="22">
        <v>0</v>
      </c>
      <c r="AP602" s="22">
        <v>0</v>
      </c>
      <c r="AQ602" s="22">
        <v>0</v>
      </c>
      <c r="AR602" s="35">
        <v>0</v>
      </c>
      <c r="AS602" s="35">
        <v>0</v>
      </c>
      <c r="AT602" s="35">
        <v>4</v>
      </c>
      <c r="AU602" s="31" t="str">
        <f t="shared" si="13"/>
        <v>库存为4</v>
      </c>
      <c r="AV602" s="36" t="str">
        <f>IFERROR(时间!$B$4+AU602,"上周无销量")</f>
        <v>上周无销量</v>
      </c>
    </row>
    <row r="603" spans="1:48">
      <c r="A603" s="20" t="s">
        <v>1373</v>
      </c>
      <c r="B603" t="s">
        <v>1374</v>
      </c>
      <c r="C603" t="s">
        <v>1308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4</v>
      </c>
      <c r="J603" s="33">
        <v>0</v>
      </c>
      <c r="K603" s="33">
        <v>0</v>
      </c>
      <c r="L603" s="33">
        <v>0</v>
      </c>
      <c r="M603">
        <v>4</v>
      </c>
      <c r="N603">
        <v>0</v>
      </c>
      <c r="O603">
        <v>4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2</v>
      </c>
      <c r="AK603">
        <v>1</v>
      </c>
      <c r="AL603">
        <v>2</v>
      </c>
      <c r="AM603">
        <v>1</v>
      </c>
      <c r="AN603" s="22">
        <v>0</v>
      </c>
      <c r="AO603" s="22">
        <v>0</v>
      </c>
      <c r="AP603" s="22">
        <v>0</v>
      </c>
      <c r="AQ603" s="22">
        <v>0</v>
      </c>
      <c r="AR603" s="35">
        <v>0</v>
      </c>
      <c r="AS603" s="35">
        <v>0</v>
      </c>
      <c r="AT603" s="35">
        <v>4</v>
      </c>
      <c r="AU603" s="31" t="str">
        <f t="shared" si="13"/>
        <v>库存为4</v>
      </c>
      <c r="AV603" s="36" t="str">
        <f>IFERROR(时间!$B$4+AU603,"上周无销量")</f>
        <v>上周无销量</v>
      </c>
    </row>
    <row r="604" spans="1:48">
      <c r="A604" s="20" t="s">
        <v>1375</v>
      </c>
      <c r="B604" t="s">
        <v>1376</v>
      </c>
      <c r="C604" t="s">
        <v>1308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4</v>
      </c>
      <c r="J604" s="33">
        <v>0</v>
      </c>
      <c r="K604" s="33">
        <v>0</v>
      </c>
      <c r="L604" s="33">
        <v>0</v>
      </c>
      <c r="M604">
        <v>4</v>
      </c>
      <c r="N604">
        <v>0</v>
      </c>
      <c r="O604">
        <v>4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0</v>
      </c>
      <c r="AK604">
        <v>2</v>
      </c>
      <c r="AL604">
        <v>1</v>
      </c>
      <c r="AM604">
        <v>1</v>
      </c>
      <c r="AN604" s="22" t="s">
        <v>53</v>
      </c>
      <c r="AO604" s="22">
        <v>0</v>
      </c>
      <c r="AP604" s="22">
        <v>0</v>
      </c>
      <c r="AQ604" s="22">
        <v>0</v>
      </c>
      <c r="AR604" s="35">
        <v>0</v>
      </c>
      <c r="AS604" s="35">
        <v>0</v>
      </c>
      <c r="AT604" s="35">
        <v>4</v>
      </c>
      <c r="AU604" s="31" t="str">
        <f t="shared" si="13"/>
        <v>库存为4</v>
      </c>
      <c r="AV604" s="36" t="str">
        <f>IFERROR(时间!$B$4+AU604,"上周无销量")</f>
        <v>上周无销量</v>
      </c>
    </row>
    <row r="605" spans="1:48">
      <c r="A605" s="20" t="s">
        <v>1377</v>
      </c>
      <c r="B605" t="s">
        <v>1378</v>
      </c>
      <c r="C605" t="s">
        <v>1308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4</v>
      </c>
      <c r="J605" s="33">
        <v>0</v>
      </c>
      <c r="K605" s="33">
        <v>0</v>
      </c>
      <c r="L605" s="33">
        <v>0</v>
      </c>
      <c r="M605">
        <v>4</v>
      </c>
      <c r="N605">
        <v>0</v>
      </c>
      <c r="O605">
        <v>4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1</v>
      </c>
      <c r="AK605">
        <v>1</v>
      </c>
      <c r="AL605">
        <v>2</v>
      </c>
      <c r="AM605">
        <v>3</v>
      </c>
      <c r="AN605" s="22">
        <v>0</v>
      </c>
      <c r="AO605" s="22">
        <v>0</v>
      </c>
      <c r="AP605" s="22">
        <v>0</v>
      </c>
      <c r="AQ605" s="22">
        <v>0</v>
      </c>
      <c r="AR605" s="35">
        <v>0</v>
      </c>
      <c r="AS605" s="35">
        <v>0</v>
      </c>
      <c r="AT605" s="35">
        <v>4</v>
      </c>
      <c r="AU605" s="31" t="str">
        <f t="shared" si="13"/>
        <v>库存为4</v>
      </c>
      <c r="AV605" s="36" t="str">
        <f>IFERROR(时间!$B$4+AU605,"上周无销量")</f>
        <v>上周无销量</v>
      </c>
    </row>
    <row r="606" spans="1:48">
      <c r="A606" s="20" t="s">
        <v>1379</v>
      </c>
      <c r="B606" t="s">
        <v>1380</v>
      </c>
      <c r="C606" t="s">
        <v>1381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53</v>
      </c>
      <c r="Q606" t="s">
        <v>53</v>
      </c>
      <c r="R606" t="s">
        <v>53</v>
      </c>
      <c r="S606" t="s">
        <v>53</v>
      </c>
      <c r="T606" t="s">
        <v>53</v>
      </c>
      <c r="U606" t="s">
        <v>53</v>
      </c>
      <c r="V606" t="s">
        <v>53</v>
      </c>
      <c r="W606" t="s">
        <v>53</v>
      </c>
      <c r="X606" s="22" t="s">
        <v>53</v>
      </c>
      <c r="Y606" s="22" t="s">
        <v>53</v>
      </c>
      <c r="Z606" s="22" t="s">
        <v>53</v>
      </c>
      <c r="AA606" s="22" t="s">
        <v>53</v>
      </c>
      <c r="AB606" t="s">
        <v>53</v>
      </c>
      <c r="AC606" t="s">
        <v>53</v>
      </c>
      <c r="AD606" t="s">
        <v>53</v>
      </c>
      <c r="AE606" t="s">
        <v>53</v>
      </c>
      <c r="AF606" s="22" t="s">
        <v>53</v>
      </c>
      <c r="AG606" s="22" t="s">
        <v>53</v>
      </c>
      <c r="AH606" s="22" t="s">
        <v>53</v>
      </c>
      <c r="AI606" s="22" t="s">
        <v>53</v>
      </c>
      <c r="AJ606">
        <v>0</v>
      </c>
      <c r="AK606">
        <v>0</v>
      </c>
      <c r="AL606">
        <v>0</v>
      </c>
      <c r="AM606">
        <v>0</v>
      </c>
      <c r="AN606" s="22" t="s">
        <v>53</v>
      </c>
      <c r="AO606" s="22" t="s">
        <v>53</v>
      </c>
      <c r="AP606" s="22" t="s">
        <v>53</v>
      </c>
      <c r="AQ606" s="22" t="s">
        <v>53</v>
      </c>
      <c r="AR606" s="35">
        <v>0</v>
      </c>
      <c r="AS606" s="35">
        <v>0</v>
      </c>
      <c r="AT606" s="35">
        <v>0</v>
      </c>
      <c r="AU606" s="31" t="str">
        <f t="shared" si="13"/>
        <v>库存为0</v>
      </c>
      <c r="AV606" s="36" t="str">
        <f>IFERROR(时间!$B$4+AU606,"上周无销量")</f>
        <v>上周无销量</v>
      </c>
    </row>
    <row r="607" spans="1:48">
      <c r="A607" s="20" t="s">
        <v>1382</v>
      </c>
      <c r="B607" t="s">
        <v>1383</v>
      </c>
      <c r="C607" t="s">
        <v>1381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53</v>
      </c>
      <c r="Q607" t="s">
        <v>53</v>
      </c>
      <c r="R607" t="s">
        <v>53</v>
      </c>
      <c r="S607" t="s">
        <v>53</v>
      </c>
      <c r="T607" t="s">
        <v>53</v>
      </c>
      <c r="U607" t="s">
        <v>53</v>
      </c>
      <c r="V607" t="s">
        <v>53</v>
      </c>
      <c r="W607" t="s">
        <v>53</v>
      </c>
      <c r="X607" s="22" t="s">
        <v>53</v>
      </c>
      <c r="Y607" s="22" t="s">
        <v>53</v>
      </c>
      <c r="Z607" s="22" t="s">
        <v>53</v>
      </c>
      <c r="AA607" s="22" t="s">
        <v>53</v>
      </c>
      <c r="AB607" t="s">
        <v>53</v>
      </c>
      <c r="AC607" t="s">
        <v>53</v>
      </c>
      <c r="AD607" t="s">
        <v>53</v>
      </c>
      <c r="AE607" t="s">
        <v>53</v>
      </c>
      <c r="AF607" s="22" t="s">
        <v>53</v>
      </c>
      <c r="AG607" s="22" t="s">
        <v>53</v>
      </c>
      <c r="AH607" s="22" t="s">
        <v>53</v>
      </c>
      <c r="AI607" s="22" t="s">
        <v>53</v>
      </c>
      <c r="AJ607">
        <v>0</v>
      </c>
      <c r="AK607">
        <v>0</v>
      </c>
      <c r="AL607">
        <v>0</v>
      </c>
      <c r="AM607">
        <v>0</v>
      </c>
      <c r="AN607" s="22" t="s">
        <v>53</v>
      </c>
      <c r="AO607" s="22" t="s">
        <v>53</v>
      </c>
      <c r="AP607" s="22" t="s">
        <v>53</v>
      </c>
      <c r="AQ607" s="22" t="s">
        <v>53</v>
      </c>
      <c r="AR607" s="35">
        <v>0</v>
      </c>
      <c r="AS607" s="35">
        <v>0</v>
      </c>
      <c r="AT607" s="35">
        <v>0</v>
      </c>
      <c r="AU607" s="31" t="str">
        <f t="shared" si="13"/>
        <v>库存为0</v>
      </c>
      <c r="AV607" s="36" t="str">
        <f>IFERROR(时间!$B$4+AU607,"上周无销量")</f>
        <v>上周无销量</v>
      </c>
    </row>
    <row r="608" spans="1:48">
      <c r="A608" s="20" t="s">
        <v>1384</v>
      </c>
      <c r="B608" t="s">
        <v>1385</v>
      </c>
      <c r="C608" t="s">
        <v>1381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0</v>
      </c>
      <c r="AK608">
        <v>0</v>
      </c>
      <c r="AL608">
        <v>0</v>
      </c>
      <c r="AM608">
        <v>0</v>
      </c>
      <c r="AN608" s="22" t="s">
        <v>53</v>
      </c>
      <c r="AO608" s="22" t="s">
        <v>53</v>
      </c>
      <c r="AP608" s="22" t="s">
        <v>53</v>
      </c>
      <c r="AQ608" s="22" t="s">
        <v>53</v>
      </c>
      <c r="AR608" s="35">
        <v>0</v>
      </c>
      <c r="AS608" s="35">
        <v>0</v>
      </c>
      <c r="AT608" s="35">
        <v>0</v>
      </c>
      <c r="AU608" s="31" t="str">
        <f t="shared" si="13"/>
        <v>库存为0</v>
      </c>
      <c r="AV608" s="36" t="str">
        <f>IFERROR(时间!$B$4+AU608,"上周无销量")</f>
        <v>上周无销量</v>
      </c>
    </row>
    <row r="609" spans="1:48">
      <c r="A609" s="20" t="s">
        <v>1386</v>
      </c>
      <c r="B609" t="s">
        <v>1387</v>
      </c>
      <c r="C609" t="s">
        <v>1388</v>
      </c>
      <c r="D609" s="31">
        <v>0</v>
      </c>
      <c r="E609" s="31">
        <v>1</v>
      </c>
      <c r="F609" s="31">
        <v>1</v>
      </c>
      <c r="G609" s="31">
        <v>0</v>
      </c>
      <c r="H609" s="32">
        <v>15.99</v>
      </c>
      <c r="I609">
        <v>5</v>
      </c>
      <c r="J609" s="33">
        <v>0</v>
      </c>
      <c r="K609" s="33">
        <v>0</v>
      </c>
      <c r="L609" s="33">
        <v>0</v>
      </c>
      <c r="M609">
        <v>5</v>
      </c>
      <c r="N609">
        <v>0</v>
      </c>
      <c r="O609">
        <v>0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16</v>
      </c>
      <c r="AK609">
        <v>10</v>
      </c>
      <c r="AL609">
        <v>12</v>
      </c>
      <c r="AM609">
        <v>8</v>
      </c>
      <c r="AN609" s="22">
        <v>0</v>
      </c>
      <c r="AO609" s="22">
        <v>0.1</v>
      </c>
      <c r="AP609" s="22">
        <v>0.0833333333333333</v>
      </c>
      <c r="AQ609" s="22">
        <v>0</v>
      </c>
      <c r="AR609" s="35">
        <v>0</v>
      </c>
      <c r="AS609" s="35">
        <v>0</v>
      </c>
      <c r="AT609" s="35">
        <v>5</v>
      </c>
      <c r="AU609" s="31" t="str">
        <f t="shared" si="13"/>
        <v>库存为5</v>
      </c>
      <c r="AV609" s="36" t="str">
        <f>IFERROR(时间!$B$4+AU609,"上周无销量")</f>
        <v>上周无销量</v>
      </c>
    </row>
    <row r="610" spans="1:48">
      <c r="A610" s="20" t="s">
        <v>1389</v>
      </c>
      <c r="B610" t="s">
        <v>1390</v>
      </c>
      <c r="C610" t="s">
        <v>1388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1</v>
      </c>
      <c r="J610" s="33">
        <v>0</v>
      </c>
      <c r="K610" s="33">
        <v>0</v>
      </c>
      <c r="L610" s="33">
        <v>0</v>
      </c>
      <c r="M610">
        <v>1</v>
      </c>
      <c r="N610">
        <v>0</v>
      </c>
      <c r="O610">
        <v>1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1</v>
      </c>
      <c r="AK610">
        <v>0</v>
      </c>
      <c r="AL610">
        <v>0</v>
      </c>
      <c r="AM610">
        <v>3</v>
      </c>
      <c r="AN610" s="22">
        <v>0</v>
      </c>
      <c r="AO610" s="22" t="s">
        <v>53</v>
      </c>
      <c r="AP610" s="22" t="s">
        <v>53</v>
      </c>
      <c r="AQ610" s="22">
        <v>0</v>
      </c>
      <c r="AR610" s="35">
        <v>0</v>
      </c>
      <c r="AS610" s="35">
        <v>0</v>
      </c>
      <c r="AT610" s="35">
        <v>1</v>
      </c>
      <c r="AU610" s="31" t="str">
        <f t="shared" si="13"/>
        <v>库存为1</v>
      </c>
      <c r="AV610" s="36" t="str">
        <f>IFERROR(时间!$B$4+AU610,"上周无销量")</f>
        <v>上周无销量</v>
      </c>
    </row>
    <row r="611" spans="1:48">
      <c r="A611" s="20" t="s">
        <v>1391</v>
      </c>
      <c r="B611" t="s">
        <v>1392</v>
      </c>
      <c r="C611" t="s">
        <v>1393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53</v>
      </c>
      <c r="Q611" t="s">
        <v>53</v>
      </c>
      <c r="R611" t="s">
        <v>53</v>
      </c>
      <c r="S611" t="s">
        <v>53</v>
      </c>
      <c r="T611" t="s">
        <v>53</v>
      </c>
      <c r="U611" t="s">
        <v>53</v>
      </c>
      <c r="V611" t="s">
        <v>53</v>
      </c>
      <c r="W611" t="s">
        <v>53</v>
      </c>
      <c r="X611" s="22" t="s">
        <v>53</v>
      </c>
      <c r="Y611" s="22" t="s">
        <v>53</v>
      </c>
      <c r="Z611" s="22" t="s">
        <v>53</v>
      </c>
      <c r="AA611" s="22" t="s">
        <v>53</v>
      </c>
      <c r="AB611" t="s">
        <v>53</v>
      </c>
      <c r="AC611" t="s">
        <v>53</v>
      </c>
      <c r="AD611" t="s">
        <v>53</v>
      </c>
      <c r="AE611" t="s">
        <v>53</v>
      </c>
      <c r="AF611" s="22" t="s">
        <v>53</v>
      </c>
      <c r="AG611" s="22" t="s">
        <v>53</v>
      </c>
      <c r="AH611" s="22" t="s">
        <v>53</v>
      </c>
      <c r="AI611" s="22" t="s">
        <v>53</v>
      </c>
      <c r="AJ611">
        <v>0</v>
      </c>
      <c r="AK611">
        <v>0</v>
      </c>
      <c r="AL611">
        <v>0</v>
      </c>
      <c r="AM611">
        <v>0</v>
      </c>
      <c r="AN611" s="22" t="s">
        <v>53</v>
      </c>
      <c r="AO611" s="22" t="s">
        <v>53</v>
      </c>
      <c r="AP611" s="22" t="s">
        <v>53</v>
      </c>
      <c r="AQ611" s="22" t="s">
        <v>53</v>
      </c>
      <c r="AR611" s="35">
        <v>0</v>
      </c>
      <c r="AS611" s="35">
        <v>0</v>
      </c>
      <c r="AT611" s="35">
        <v>0</v>
      </c>
      <c r="AU611" s="31" t="str">
        <f t="shared" si="13"/>
        <v>库存为0</v>
      </c>
      <c r="AV611" s="36" t="str">
        <f>IFERROR(时间!$B$4+AU611,"上周无销量")</f>
        <v>上周无销量</v>
      </c>
    </row>
    <row r="612" spans="1:48">
      <c r="A612" s="20" t="s">
        <v>1394</v>
      </c>
      <c r="B612" t="s">
        <v>1395</v>
      </c>
      <c r="C612" t="s">
        <v>1393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53</v>
      </c>
      <c r="Q612" t="s">
        <v>53</v>
      </c>
      <c r="R612" t="s">
        <v>53</v>
      </c>
      <c r="S612" t="s">
        <v>53</v>
      </c>
      <c r="T612" t="s">
        <v>53</v>
      </c>
      <c r="U612" t="s">
        <v>53</v>
      </c>
      <c r="V612" t="s">
        <v>53</v>
      </c>
      <c r="W612" t="s">
        <v>53</v>
      </c>
      <c r="X612" s="22" t="s">
        <v>53</v>
      </c>
      <c r="Y612" s="22" t="s">
        <v>53</v>
      </c>
      <c r="Z612" s="22" t="s">
        <v>53</v>
      </c>
      <c r="AA612" s="22" t="s">
        <v>53</v>
      </c>
      <c r="AB612" t="s">
        <v>53</v>
      </c>
      <c r="AC612" t="s">
        <v>53</v>
      </c>
      <c r="AD612" t="s">
        <v>53</v>
      </c>
      <c r="AE612" t="s">
        <v>53</v>
      </c>
      <c r="AF612" s="22" t="s">
        <v>53</v>
      </c>
      <c r="AG612" s="22" t="s">
        <v>53</v>
      </c>
      <c r="AH612" s="22" t="s">
        <v>53</v>
      </c>
      <c r="AI612" s="22" t="s">
        <v>53</v>
      </c>
      <c r="AJ612">
        <v>0</v>
      </c>
      <c r="AK612">
        <v>0</v>
      </c>
      <c r="AL612">
        <v>0</v>
      </c>
      <c r="AM612">
        <v>0</v>
      </c>
      <c r="AN612" s="22" t="s">
        <v>53</v>
      </c>
      <c r="AO612" s="22" t="s">
        <v>53</v>
      </c>
      <c r="AP612" s="22" t="s">
        <v>53</v>
      </c>
      <c r="AQ612" s="22" t="s">
        <v>53</v>
      </c>
      <c r="AR612" s="35">
        <v>0</v>
      </c>
      <c r="AS612" s="35">
        <v>0</v>
      </c>
      <c r="AT612" s="35">
        <v>0</v>
      </c>
      <c r="AU612" s="31" t="str">
        <f t="shared" si="13"/>
        <v>库存为0</v>
      </c>
      <c r="AV612" s="36" t="str">
        <f>IFERROR(时间!$B$4+AU612,"上周无销量")</f>
        <v>上周无销量</v>
      </c>
    </row>
    <row r="613" spans="1:48">
      <c r="A613" s="20" t="s">
        <v>1396</v>
      </c>
      <c r="B613" t="s">
        <v>1397</v>
      </c>
      <c r="C613" t="s">
        <v>1393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1</v>
      </c>
      <c r="J613" s="33">
        <v>0</v>
      </c>
      <c r="K613" s="33">
        <v>0</v>
      </c>
      <c r="L613" s="33">
        <v>0</v>
      </c>
      <c r="M613">
        <v>1</v>
      </c>
      <c r="N613">
        <v>0</v>
      </c>
      <c r="O613">
        <v>0</v>
      </c>
      <c r="P613" t="s">
        <v>53</v>
      </c>
      <c r="Q613" t="s">
        <v>53</v>
      </c>
      <c r="R613" t="s">
        <v>53</v>
      </c>
      <c r="S613" t="s">
        <v>53</v>
      </c>
      <c r="T613" t="s">
        <v>53</v>
      </c>
      <c r="U613" t="s">
        <v>53</v>
      </c>
      <c r="V613" t="s">
        <v>53</v>
      </c>
      <c r="W613" t="s">
        <v>53</v>
      </c>
      <c r="X613" s="22" t="s">
        <v>53</v>
      </c>
      <c r="Y613" s="22" t="s">
        <v>53</v>
      </c>
      <c r="Z613" s="22" t="s">
        <v>53</v>
      </c>
      <c r="AA613" s="22" t="s">
        <v>53</v>
      </c>
      <c r="AB613" t="s">
        <v>53</v>
      </c>
      <c r="AC613" t="s">
        <v>53</v>
      </c>
      <c r="AD613" t="s">
        <v>53</v>
      </c>
      <c r="AE613" t="s">
        <v>53</v>
      </c>
      <c r="AF613" s="22" t="s">
        <v>53</v>
      </c>
      <c r="AG613" s="22" t="s">
        <v>53</v>
      </c>
      <c r="AH613" s="22" t="s">
        <v>53</v>
      </c>
      <c r="AI613" s="22" t="s">
        <v>53</v>
      </c>
      <c r="AJ613">
        <v>2</v>
      </c>
      <c r="AK613">
        <v>4</v>
      </c>
      <c r="AL613">
        <v>2</v>
      </c>
      <c r="AM613">
        <v>0</v>
      </c>
      <c r="AN613" s="22">
        <v>0</v>
      </c>
      <c r="AO613" s="22">
        <v>0</v>
      </c>
      <c r="AP613" s="22">
        <v>0</v>
      </c>
      <c r="AQ613" s="22" t="s">
        <v>53</v>
      </c>
      <c r="AR613" s="35">
        <v>0</v>
      </c>
      <c r="AS613" s="35">
        <v>0</v>
      </c>
      <c r="AT613" s="35">
        <v>1</v>
      </c>
      <c r="AU613" s="31" t="str">
        <f t="shared" si="13"/>
        <v>库存为1</v>
      </c>
      <c r="AV613" s="36" t="str">
        <f>IFERROR(时间!$B$4+AU613,"上周无销量")</f>
        <v>上周无销量</v>
      </c>
    </row>
    <row r="614" spans="1:48">
      <c r="A614" s="20" t="s">
        <v>1398</v>
      </c>
      <c r="B614" t="s">
        <v>1399</v>
      </c>
      <c r="C614" t="s">
        <v>1393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53</v>
      </c>
      <c r="Q614" t="s">
        <v>53</v>
      </c>
      <c r="R614" t="s">
        <v>53</v>
      </c>
      <c r="S614" t="s">
        <v>53</v>
      </c>
      <c r="T614" t="s">
        <v>53</v>
      </c>
      <c r="U614" t="s">
        <v>53</v>
      </c>
      <c r="V614" t="s">
        <v>53</v>
      </c>
      <c r="W614" t="s">
        <v>53</v>
      </c>
      <c r="X614" s="22" t="s">
        <v>53</v>
      </c>
      <c r="Y614" s="22" t="s">
        <v>53</v>
      </c>
      <c r="Z614" s="22" t="s">
        <v>53</v>
      </c>
      <c r="AA614" s="22" t="s">
        <v>53</v>
      </c>
      <c r="AB614" t="s">
        <v>53</v>
      </c>
      <c r="AC614" t="s">
        <v>53</v>
      </c>
      <c r="AD614" t="s">
        <v>53</v>
      </c>
      <c r="AE614" t="s">
        <v>53</v>
      </c>
      <c r="AF614" s="22" t="s">
        <v>53</v>
      </c>
      <c r="AG614" s="22" t="s">
        <v>53</v>
      </c>
      <c r="AH614" s="22" t="s">
        <v>53</v>
      </c>
      <c r="AI614" s="22" t="s">
        <v>53</v>
      </c>
      <c r="AJ614">
        <v>0</v>
      </c>
      <c r="AK614">
        <v>0</v>
      </c>
      <c r="AL614">
        <v>0</v>
      </c>
      <c r="AM614">
        <v>0</v>
      </c>
      <c r="AN614" s="22" t="s">
        <v>53</v>
      </c>
      <c r="AO614" s="22" t="s">
        <v>53</v>
      </c>
      <c r="AP614" s="22" t="s">
        <v>53</v>
      </c>
      <c r="AQ614" s="22" t="s">
        <v>53</v>
      </c>
      <c r="AR614" s="35">
        <v>0</v>
      </c>
      <c r="AS614" s="35">
        <v>0</v>
      </c>
      <c r="AT614" s="35">
        <v>0</v>
      </c>
      <c r="AU614" s="31" t="str">
        <f t="shared" si="13"/>
        <v>库存为0</v>
      </c>
      <c r="AV614" s="36" t="str">
        <f>IFERROR(时间!$B$4+AU614,"上周无销量")</f>
        <v>上周无销量</v>
      </c>
    </row>
    <row r="615" spans="1:48">
      <c r="A615" s="20" t="s">
        <v>1400</v>
      </c>
      <c r="B615" t="s">
        <v>1401</v>
      </c>
      <c r="C615" t="s">
        <v>1393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0</v>
      </c>
      <c r="AK615">
        <v>0</v>
      </c>
      <c r="AL615">
        <v>0</v>
      </c>
      <c r="AM615">
        <v>0</v>
      </c>
      <c r="AN615" s="22" t="s">
        <v>53</v>
      </c>
      <c r="AO615" s="22" t="s">
        <v>53</v>
      </c>
      <c r="AP615" s="22" t="s">
        <v>53</v>
      </c>
      <c r="AQ615" s="22" t="s">
        <v>53</v>
      </c>
      <c r="AR615" s="35">
        <v>0</v>
      </c>
      <c r="AS615" s="35">
        <v>0</v>
      </c>
      <c r="AT615" s="35">
        <v>0</v>
      </c>
      <c r="AU615" s="31" t="str">
        <f t="shared" si="13"/>
        <v>库存为0</v>
      </c>
      <c r="AV615" s="36" t="str">
        <f>IFERROR(时间!$B$4+AU615,"上周无销量")</f>
        <v>上周无销量</v>
      </c>
    </row>
    <row r="616" spans="1:48">
      <c r="A616" s="20" t="s">
        <v>1402</v>
      </c>
      <c r="B616" t="s">
        <v>1403</v>
      </c>
      <c r="C616" t="s">
        <v>1393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53</v>
      </c>
      <c r="Q616" t="s">
        <v>53</v>
      </c>
      <c r="R616" t="s">
        <v>53</v>
      </c>
      <c r="S616" t="s">
        <v>53</v>
      </c>
      <c r="T616" t="s">
        <v>53</v>
      </c>
      <c r="U616" t="s">
        <v>53</v>
      </c>
      <c r="V616" t="s">
        <v>53</v>
      </c>
      <c r="W616" t="s">
        <v>53</v>
      </c>
      <c r="X616" s="22" t="s">
        <v>53</v>
      </c>
      <c r="Y616" s="22" t="s">
        <v>53</v>
      </c>
      <c r="Z616" s="22" t="s">
        <v>53</v>
      </c>
      <c r="AA616" s="22" t="s">
        <v>53</v>
      </c>
      <c r="AB616" t="s">
        <v>53</v>
      </c>
      <c r="AC616" t="s">
        <v>53</v>
      </c>
      <c r="AD616" t="s">
        <v>53</v>
      </c>
      <c r="AE616" t="s">
        <v>53</v>
      </c>
      <c r="AF616" s="22" t="s">
        <v>53</v>
      </c>
      <c r="AG616" s="22" t="s">
        <v>53</v>
      </c>
      <c r="AH616" s="22" t="s">
        <v>53</v>
      </c>
      <c r="AI616" s="22" t="s">
        <v>53</v>
      </c>
      <c r="AJ616">
        <v>0</v>
      </c>
      <c r="AK616">
        <v>0</v>
      </c>
      <c r="AL616">
        <v>0</v>
      </c>
      <c r="AM616">
        <v>0</v>
      </c>
      <c r="AN616" s="22" t="s">
        <v>53</v>
      </c>
      <c r="AO616" s="22" t="s">
        <v>53</v>
      </c>
      <c r="AP616" s="22" t="s">
        <v>53</v>
      </c>
      <c r="AQ616" s="22" t="s">
        <v>53</v>
      </c>
      <c r="AR616" s="35">
        <v>0</v>
      </c>
      <c r="AS616" s="35">
        <v>0</v>
      </c>
      <c r="AT616" s="35">
        <v>0</v>
      </c>
      <c r="AU616" s="31" t="str">
        <f t="shared" si="13"/>
        <v>库存为0</v>
      </c>
      <c r="AV616" s="36" t="str">
        <f>IFERROR(时间!$B$4+AU616,"上周无销量")</f>
        <v>上周无销量</v>
      </c>
    </row>
    <row r="617" spans="1:48">
      <c r="A617" s="20" t="s">
        <v>1404</v>
      </c>
      <c r="B617" t="s">
        <v>1405</v>
      </c>
      <c r="C617" t="s">
        <v>1393</v>
      </c>
      <c r="D617" s="31">
        <v>0</v>
      </c>
      <c r="E617" s="31">
        <v>0</v>
      </c>
      <c r="F617" s="31">
        <v>1</v>
      </c>
      <c r="G617" s="31">
        <v>0</v>
      </c>
      <c r="H617" s="32">
        <v>10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53</v>
      </c>
      <c r="Q617" t="s">
        <v>53</v>
      </c>
      <c r="R617" t="s">
        <v>53</v>
      </c>
      <c r="S617" t="s">
        <v>53</v>
      </c>
      <c r="T617" t="s">
        <v>53</v>
      </c>
      <c r="U617" t="s">
        <v>53</v>
      </c>
      <c r="V617" t="s">
        <v>53</v>
      </c>
      <c r="W617" t="s">
        <v>53</v>
      </c>
      <c r="X617" s="22" t="s">
        <v>53</v>
      </c>
      <c r="Y617" s="22" t="s">
        <v>53</v>
      </c>
      <c r="Z617" s="22" t="s">
        <v>53</v>
      </c>
      <c r="AA617" s="22" t="s">
        <v>53</v>
      </c>
      <c r="AB617" t="s">
        <v>53</v>
      </c>
      <c r="AC617" t="s">
        <v>53</v>
      </c>
      <c r="AD617" t="s">
        <v>53</v>
      </c>
      <c r="AE617" t="s">
        <v>53</v>
      </c>
      <c r="AF617" s="22" t="s">
        <v>53</v>
      </c>
      <c r="AG617" s="22" t="s">
        <v>53</v>
      </c>
      <c r="AH617" s="22" t="s">
        <v>53</v>
      </c>
      <c r="AI617" s="22" t="s">
        <v>53</v>
      </c>
      <c r="AJ617">
        <v>0</v>
      </c>
      <c r="AK617">
        <v>0</v>
      </c>
      <c r="AL617">
        <v>2</v>
      </c>
      <c r="AM617">
        <v>0</v>
      </c>
      <c r="AN617" s="22" t="s">
        <v>53</v>
      </c>
      <c r="AO617" s="22" t="s">
        <v>53</v>
      </c>
      <c r="AP617" s="22">
        <v>0.5</v>
      </c>
      <c r="AQ617" s="22" t="s">
        <v>53</v>
      </c>
      <c r="AR617" s="35">
        <v>0</v>
      </c>
      <c r="AS617" s="35">
        <v>0</v>
      </c>
      <c r="AT617" s="35">
        <v>0</v>
      </c>
      <c r="AU617" s="31" t="str">
        <f t="shared" si="13"/>
        <v>库存为0</v>
      </c>
      <c r="AV617" s="36" t="str">
        <f>IFERROR(时间!$B$4+AU617,"上周无销量")</f>
        <v>上周无销量</v>
      </c>
    </row>
    <row r="618" spans="1:48">
      <c r="A618" s="20" t="s">
        <v>1406</v>
      </c>
      <c r="B618" t="s">
        <v>1407</v>
      </c>
      <c r="C618" t="s">
        <v>1408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4</v>
      </c>
      <c r="J618" s="33">
        <v>0</v>
      </c>
      <c r="K618" s="33">
        <v>0</v>
      </c>
      <c r="L618" s="33">
        <v>0</v>
      </c>
      <c r="M618">
        <v>4</v>
      </c>
      <c r="N618">
        <v>0</v>
      </c>
      <c r="O618">
        <v>2</v>
      </c>
      <c r="P618" t="s">
        <v>53</v>
      </c>
      <c r="Q618" t="s">
        <v>53</v>
      </c>
      <c r="R618" t="s">
        <v>53</v>
      </c>
      <c r="S618" t="s">
        <v>53</v>
      </c>
      <c r="T618" t="s">
        <v>53</v>
      </c>
      <c r="U618" t="s">
        <v>53</v>
      </c>
      <c r="V618" t="s">
        <v>53</v>
      </c>
      <c r="W618" t="s">
        <v>53</v>
      </c>
      <c r="X618" s="22" t="s">
        <v>53</v>
      </c>
      <c r="Y618" s="22" t="s">
        <v>53</v>
      </c>
      <c r="Z618" s="22" t="s">
        <v>53</v>
      </c>
      <c r="AA618" s="22" t="s">
        <v>53</v>
      </c>
      <c r="AB618" t="s">
        <v>53</v>
      </c>
      <c r="AC618" t="s">
        <v>53</v>
      </c>
      <c r="AD618" t="s">
        <v>53</v>
      </c>
      <c r="AE618" t="s">
        <v>53</v>
      </c>
      <c r="AF618" s="22" t="s">
        <v>53</v>
      </c>
      <c r="AG618" s="22" t="s">
        <v>53</v>
      </c>
      <c r="AH618" s="22" t="s">
        <v>53</v>
      </c>
      <c r="AI618" s="22" t="s">
        <v>53</v>
      </c>
      <c r="AJ618">
        <v>1</v>
      </c>
      <c r="AK618">
        <v>4</v>
      </c>
      <c r="AL618">
        <v>1</v>
      </c>
      <c r="AM618">
        <v>2</v>
      </c>
      <c r="AN618" s="22">
        <v>0</v>
      </c>
      <c r="AO618" s="22">
        <v>0</v>
      </c>
      <c r="AP618" s="22">
        <v>0</v>
      </c>
      <c r="AQ618" s="22">
        <v>0</v>
      </c>
      <c r="AR618" s="35">
        <v>0</v>
      </c>
      <c r="AS618" s="35">
        <v>0</v>
      </c>
      <c r="AT618" s="35">
        <v>4</v>
      </c>
      <c r="AU618" s="31" t="str">
        <f t="shared" si="13"/>
        <v>库存为4</v>
      </c>
      <c r="AV618" s="36" t="str">
        <f>IFERROR(时间!$B$4+AU618,"上周无销量")</f>
        <v>上周无销量</v>
      </c>
    </row>
    <row r="619" spans="1:48">
      <c r="A619" s="20" t="s">
        <v>1409</v>
      </c>
      <c r="B619" t="s">
        <v>1410</v>
      </c>
      <c r="C619" t="s">
        <v>1408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0</v>
      </c>
      <c r="AK619">
        <v>0</v>
      </c>
      <c r="AL619">
        <v>0</v>
      </c>
      <c r="AM619">
        <v>0</v>
      </c>
      <c r="AN619" s="22" t="s">
        <v>53</v>
      </c>
      <c r="AO619" s="22" t="s">
        <v>53</v>
      </c>
      <c r="AP619" s="22" t="s">
        <v>53</v>
      </c>
      <c r="AQ619" s="22" t="s">
        <v>53</v>
      </c>
      <c r="AR619" s="35">
        <v>0</v>
      </c>
      <c r="AS619" s="35">
        <v>0</v>
      </c>
      <c r="AT619" s="35">
        <v>0</v>
      </c>
      <c r="AU619" s="31" t="str">
        <f t="shared" si="13"/>
        <v>库存为0</v>
      </c>
      <c r="AV619" s="36" t="str">
        <f>IFERROR(时间!$B$4+AU619,"上周无销量")</f>
        <v>上周无销量</v>
      </c>
    </row>
    <row r="620" spans="1:48">
      <c r="A620" s="20" t="s">
        <v>1411</v>
      </c>
      <c r="B620" t="s">
        <v>1412</v>
      </c>
      <c r="C620" t="s">
        <v>1408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1</v>
      </c>
      <c r="J620" s="33">
        <v>0</v>
      </c>
      <c r="K620" s="33">
        <v>0</v>
      </c>
      <c r="L620" s="33">
        <v>0</v>
      </c>
      <c r="M620">
        <v>1</v>
      </c>
      <c r="N620">
        <v>0</v>
      </c>
      <c r="O620">
        <v>1</v>
      </c>
      <c r="P620" t="s">
        <v>53</v>
      </c>
      <c r="Q620" t="s">
        <v>53</v>
      </c>
      <c r="R620" t="s">
        <v>53</v>
      </c>
      <c r="S620" t="s">
        <v>53</v>
      </c>
      <c r="T620" t="s">
        <v>53</v>
      </c>
      <c r="U620" t="s">
        <v>53</v>
      </c>
      <c r="V620" t="s">
        <v>53</v>
      </c>
      <c r="W620" t="s">
        <v>53</v>
      </c>
      <c r="X620" s="22" t="s">
        <v>53</v>
      </c>
      <c r="Y620" s="22" t="s">
        <v>53</v>
      </c>
      <c r="Z620" s="22" t="s">
        <v>53</v>
      </c>
      <c r="AA620" s="22" t="s">
        <v>53</v>
      </c>
      <c r="AB620" t="s">
        <v>53</v>
      </c>
      <c r="AC620" t="s">
        <v>53</v>
      </c>
      <c r="AD620" t="s">
        <v>53</v>
      </c>
      <c r="AE620" t="s">
        <v>53</v>
      </c>
      <c r="AF620" s="22" t="s">
        <v>53</v>
      </c>
      <c r="AG620" s="22" t="s">
        <v>53</v>
      </c>
      <c r="AH620" s="22" t="s">
        <v>53</v>
      </c>
      <c r="AI620" s="22" t="s">
        <v>53</v>
      </c>
      <c r="AJ620">
        <v>1</v>
      </c>
      <c r="AK620">
        <v>5</v>
      </c>
      <c r="AL620">
        <v>0</v>
      </c>
      <c r="AM620">
        <v>3</v>
      </c>
      <c r="AN620" s="22">
        <v>0</v>
      </c>
      <c r="AO620" s="22">
        <v>0</v>
      </c>
      <c r="AP620" s="22" t="s">
        <v>53</v>
      </c>
      <c r="AQ620" s="22">
        <v>0</v>
      </c>
      <c r="AR620" s="35">
        <v>0</v>
      </c>
      <c r="AS620" s="35">
        <v>0</v>
      </c>
      <c r="AT620" s="35">
        <v>1</v>
      </c>
      <c r="AU620" s="31" t="str">
        <f t="shared" si="13"/>
        <v>库存为1</v>
      </c>
      <c r="AV620" s="36" t="str">
        <f>IFERROR(时间!$B$4+AU620,"上周无销量")</f>
        <v>上周无销量</v>
      </c>
    </row>
    <row r="621" spans="1:48">
      <c r="A621" s="20" t="s">
        <v>1413</v>
      </c>
      <c r="B621" t="s">
        <v>1414</v>
      </c>
      <c r="C621" t="s">
        <v>1415</v>
      </c>
      <c r="D621" s="31">
        <v>8</v>
      </c>
      <c r="E621" s="31">
        <v>4</v>
      </c>
      <c r="F621" s="31">
        <v>2</v>
      </c>
      <c r="G621" s="31">
        <v>0</v>
      </c>
      <c r="H621" s="32">
        <v>15.99</v>
      </c>
      <c r="I621">
        <v>11</v>
      </c>
      <c r="J621" s="33">
        <v>0</v>
      </c>
      <c r="K621" s="33">
        <v>0</v>
      </c>
      <c r="L621" s="33">
        <v>2</v>
      </c>
      <c r="M621">
        <v>13</v>
      </c>
      <c r="N621">
        <v>0</v>
      </c>
      <c r="O621">
        <v>0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21</v>
      </c>
      <c r="AK621">
        <v>18</v>
      </c>
      <c r="AL621">
        <v>21</v>
      </c>
      <c r="AM621">
        <v>8</v>
      </c>
      <c r="AN621" s="22">
        <v>0.380952380952381</v>
      </c>
      <c r="AO621" s="22">
        <v>0.222222222222222</v>
      </c>
      <c r="AP621" s="22">
        <v>0.0952380952380952</v>
      </c>
      <c r="AQ621" s="22">
        <v>0</v>
      </c>
      <c r="AR621" s="35">
        <v>1.14285714285714</v>
      </c>
      <c r="AS621" s="35">
        <v>68.5714285714286</v>
      </c>
      <c r="AT621" s="35">
        <v>-55.5714285714286</v>
      </c>
      <c r="AU621" s="31">
        <f t="shared" si="13"/>
        <v>11</v>
      </c>
      <c r="AV621" s="36">
        <f>IFERROR(时间!$B$4+AU621,"上周无销量")</f>
        <v>43329</v>
      </c>
    </row>
    <row r="622" spans="1:48">
      <c r="A622" s="20" t="s">
        <v>1416</v>
      </c>
      <c r="B622" t="s">
        <v>1417</v>
      </c>
      <c r="C622" t="s">
        <v>1415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18</v>
      </c>
      <c r="J622" s="33">
        <v>0</v>
      </c>
      <c r="K622" s="33">
        <v>0</v>
      </c>
      <c r="L622" s="33">
        <v>0</v>
      </c>
      <c r="M622">
        <v>18</v>
      </c>
      <c r="N622">
        <v>0</v>
      </c>
      <c r="O622">
        <v>0</v>
      </c>
      <c r="P622" t="s">
        <v>53</v>
      </c>
      <c r="Q622" t="s">
        <v>53</v>
      </c>
      <c r="R622" t="s">
        <v>53</v>
      </c>
      <c r="S622" t="s">
        <v>53</v>
      </c>
      <c r="T622" t="s">
        <v>53</v>
      </c>
      <c r="U622" t="s">
        <v>53</v>
      </c>
      <c r="V622" t="s">
        <v>53</v>
      </c>
      <c r="W622" t="s">
        <v>53</v>
      </c>
      <c r="X622" s="22" t="s">
        <v>53</v>
      </c>
      <c r="Y622" s="22" t="s">
        <v>53</v>
      </c>
      <c r="Z622" s="22" t="s">
        <v>53</v>
      </c>
      <c r="AA622" s="22" t="s">
        <v>53</v>
      </c>
      <c r="AB622" t="s">
        <v>53</v>
      </c>
      <c r="AC622" t="s">
        <v>53</v>
      </c>
      <c r="AD622" t="s">
        <v>53</v>
      </c>
      <c r="AE622" t="s">
        <v>53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0</v>
      </c>
      <c r="AK622">
        <v>0</v>
      </c>
      <c r="AL622">
        <v>0</v>
      </c>
      <c r="AM622">
        <v>0</v>
      </c>
      <c r="AN622" s="22" t="s">
        <v>53</v>
      </c>
      <c r="AO622" s="22" t="s">
        <v>53</v>
      </c>
      <c r="AP622" s="22" t="s">
        <v>53</v>
      </c>
      <c r="AQ622" s="22" t="s">
        <v>53</v>
      </c>
      <c r="AR622" s="35">
        <v>0</v>
      </c>
      <c r="AS622" s="35">
        <v>0</v>
      </c>
      <c r="AT622" s="35">
        <v>18</v>
      </c>
      <c r="AU622" s="31" t="str">
        <f t="shared" si="13"/>
        <v>库存为18</v>
      </c>
      <c r="AV622" s="36" t="str">
        <f>IFERROR(时间!$B$4+AU622,"上周无销量")</f>
        <v>上周无销量</v>
      </c>
    </row>
    <row r="623" spans="1:48">
      <c r="A623" s="20" t="s">
        <v>1418</v>
      </c>
      <c r="B623" t="s">
        <v>1419</v>
      </c>
      <c r="C623" t="s">
        <v>1415</v>
      </c>
      <c r="D623" s="31">
        <v>1</v>
      </c>
      <c r="E623" s="31">
        <v>14</v>
      </c>
      <c r="F623" s="31">
        <v>4</v>
      </c>
      <c r="G623" s="31">
        <v>0</v>
      </c>
      <c r="H623" s="32">
        <v>15.99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>
        <v>0</v>
      </c>
      <c r="Q623">
        <v>3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 s="22" t="s">
        <v>53</v>
      </c>
      <c r="Y623" s="22">
        <v>0</v>
      </c>
      <c r="Z623" s="22" t="s">
        <v>53</v>
      </c>
      <c r="AA623" s="22" t="s">
        <v>53</v>
      </c>
      <c r="AB623">
        <v>0</v>
      </c>
      <c r="AC623">
        <v>0</v>
      </c>
      <c r="AD623">
        <v>0</v>
      </c>
      <c r="AE623">
        <v>0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1</v>
      </c>
      <c r="AK623">
        <v>35</v>
      </c>
      <c r="AL623">
        <v>18</v>
      </c>
      <c r="AM623">
        <v>5</v>
      </c>
      <c r="AN623" s="22">
        <v>1</v>
      </c>
      <c r="AO623" s="22">
        <v>0.4</v>
      </c>
      <c r="AP623" s="22">
        <v>0.222222222222222</v>
      </c>
      <c r="AQ623" s="22">
        <v>0</v>
      </c>
      <c r="AR623" s="35">
        <v>0.142857142857143</v>
      </c>
      <c r="AS623" s="35">
        <v>8.57142857142857</v>
      </c>
      <c r="AT623" s="35">
        <v>-8.57142857142857</v>
      </c>
      <c r="AU623" s="31">
        <f t="shared" si="13"/>
        <v>0</v>
      </c>
      <c r="AV623" s="36">
        <f>IFERROR(时间!$B$4+AU623,"上周无销量")</f>
        <v>43318</v>
      </c>
    </row>
    <row r="624" spans="1:48">
      <c r="A624" s="20" t="s">
        <v>1420</v>
      </c>
      <c r="B624" t="s">
        <v>1421</v>
      </c>
      <c r="C624" t="s">
        <v>1415</v>
      </c>
      <c r="D624" s="31">
        <v>3</v>
      </c>
      <c r="E624" s="31">
        <v>3</v>
      </c>
      <c r="F624" s="31">
        <v>3</v>
      </c>
      <c r="G624" s="31">
        <v>0</v>
      </c>
      <c r="H624" s="32">
        <v>17.7666666666667</v>
      </c>
      <c r="I624">
        <v>20</v>
      </c>
      <c r="J624" s="33">
        <v>0</v>
      </c>
      <c r="K624" s="33">
        <v>0</v>
      </c>
      <c r="L624" s="33">
        <v>0</v>
      </c>
      <c r="M624">
        <v>20</v>
      </c>
      <c r="N624">
        <v>0</v>
      </c>
      <c r="O624">
        <v>0</v>
      </c>
      <c r="P624">
        <v>47161</v>
      </c>
      <c r="Q624">
        <v>24210</v>
      </c>
      <c r="R624">
        <v>15418</v>
      </c>
      <c r="S624">
        <v>1522</v>
      </c>
      <c r="T624">
        <v>171</v>
      </c>
      <c r="U624">
        <v>102</v>
      </c>
      <c r="V624">
        <v>72</v>
      </c>
      <c r="W624">
        <v>15</v>
      </c>
      <c r="X624" s="22">
        <v>0.00362587731388223</v>
      </c>
      <c r="Y624" s="22">
        <v>0.00421313506815366</v>
      </c>
      <c r="Z624" s="22">
        <v>0.00466986638993384</v>
      </c>
      <c r="AA624" s="22">
        <v>0.00985545335085414</v>
      </c>
      <c r="AB624">
        <v>78.6</v>
      </c>
      <c r="AC624">
        <v>37.77</v>
      </c>
      <c r="AD624">
        <v>22.7</v>
      </c>
      <c r="AE624">
        <v>6.94</v>
      </c>
      <c r="AF624" s="22">
        <v>1.47467166979362</v>
      </c>
      <c r="AG624" s="22">
        <v>0.708630393996246</v>
      </c>
      <c r="AH624" s="22">
        <v>0.425891181988742</v>
      </c>
      <c r="AI624" s="22" t="s">
        <v>1422</v>
      </c>
      <c r="AJ624">
        <v>89</v>
      </c>
      <c r="AK624">
        <v>65</v>
      </c>
      <c r="AL624">
        <v>43</v>
      </c>
      <c r="AM624">
        <v>17</v>
      </c>
      <c r="AN624" s="22">
        <v>0.0337078651685393</v>
      </c>
      <c r="AO624" s="22">
        <v>0.0461538461538462</v>
      </c>
      <c r="AP624" s="22">
        <v>0.0697674418604651</v>
      </c>
      <c r="AQ624" s="22">
        <v>0</v>
      </c>
      <c r="AR624" s="35">
        <v>0.428571428571429</v>
      </c>
      <c r="AS624" s="35">
        <v>25.7142857142857</v>
      </c>
      <c r="AT624" s="35">
        <v>-5.71428571428571</v>
      </c>
      <c r="AU624" s="31">
        <f t="shared" si="13"/>
        <v>46</v>
      </c>
      <c r="AV624" s="36">
        <f>IFERROR(时间!$B$4+AU624,"上周无销量")</f>
        <v>43364</v>
      </c>
    </row>
    <row r="625" spans="1:48">
      <c r="A625" s="20" t="s">
        <v>1423</v>
      </c>
      <c r="B625" t="s">
        <v>1424</v>
      </c>
      <c r="C625" t="s">
        <v>1415</v>
      </c>
      <c r="D625" s="31">
        <v>5</v>
      </c>
      <c r="E625" s="31">
        <v>7</v>
      </c>
      <c r="F625" s="31">
        <v>3</v>
      </c>
      <c r="G625" s="31">
        <v>1</v>
      </c>
      <c r="H625" s="32">
        <v>15.99</v>
      </c>
      <c r="I625">
        <v>17</v>
      </c>
      <c r="J625" s="33">
        <v>0</v>
      </c>
      <c r="K625" s="33">
        <v>0</v>
      </c>
      <c r="L625" s="33">
        <v>0</v>
      </c>
      <c r="M625">
        <v>17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20</v>
      </c>
      <c r="T625">
        <v>0</v>
      </c>
      <c r="U625">
        <v>0</v>
      </c>
      <c r="V625">
        <v>0</v>
      </c>
      <c r="W625">
        <v>1</v>
      </c>
      <c r="X625" s="22" t="s">
        <v>53</v>
      </c>
      <c r="Y625" s="22" t="s">
        <v>53</v>
      </c>
      <c r="Z625" s="22" t="s">
        <v>53</v>
      </c>
      <c r="AA625" s="22">
        <v>0.05</v>
      </c>
      <c r="AB625">
        <v>0</v>
      </c>
      <c r="AC625">
        <v>0</v>
      </c>
      <c r="AD625">
        <v>0</v>
      </c>
      <c r="AE625">
        <v>0.09</v>
      </c>
      <c r="AF625" s="22" t="s">
        <v>53</v>
      </c>
      <c r="AG625" s="22" t="s">
        <v>53</v>
      </c>
      <c r="AH625" s="22" t="s">
        <v>53</v>
      </c>
      <c r="AI625" s="22">
        <v>0.00562851782363977</v>
      </c>
      <c r="AJ625">
        <v>24</v>
      </c>
      <c r="AK625">
        <v>19</v>
      </c>
      <c r="AL625">
        <v>21</v>
      </c>
      <c r="AM625">
        <v>10</v>
      </c>
      <c r="AN625" s="22">
        <v>0.208333333333333</v>
      </c>
      <c r="AO625" s="22">
        <v>0.368421052631579</v>
      </c>
      <c r="AP625" s="22">
        <v>0.142857142857143</v>
      </c>
      <c r="AQ625" s="22">
        <v>0.1</v>
      </c>
      <c r="AR625" s="35">
        <v>0.714285714285714</v>
      </c>
      <c r="AS625" s="35">
        <v>42.8571428571429</v>
      </c>
      <c r="AT625" s="35">
        <v>-25.8571428571429</v>
      </c>
      <c r="AU625" s="31">
        <f t="shared" si="13"/>
        <v>23</v>
      </c>
      <c r="AV625" s="36">
        <f>IFERROR(时间!$B$4+AU625,"上周无销量")</f>
        <v>43341</v>
      </c>
    </row>
    <row r="626" spans="1:48">
      <c r="A626" s="20" t="s">
        <v>1425</v>
      </c>
      <c r="B626" t="s">
        <v>1426</v>
      </c>
      <c r="C626" t="s">
        <v>1427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1</v>
      </c>
      <c r="J626" s="33">
        <v>0</v>
      </c>
      <c r="K626" s="33">
        <v>0</v>
      </c>
      <c r="L626" s="33">
        <v>0</v>
      </c>
      <c r="M626">
        <v>1</v>
      </c>
      <c r="N626">
        <v>0</v>
      </c>
      <c r="O626">
        <v>1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1</v>
      </c>
      <c r="AK626">
        <v>1</v>
      </c>
      <c r="AL626">
        <v>2</v>
      </c>
      <c r="AM626">
        <v>2</v>
      </c>
      <c r="AN626" s="22">
        <v>0</v>
      </c>
      <c r="AO626" s="22">
        <v>0</v>
      </c>
      <c r="AP626" s="22">
        <v>0</v>
      </c>
      <c r="AQ626" s="22">
        <v>0</v>
      </c>
      <c r="AR626" s="35">
        <v>0</v>
      </c>
      <c r="AS626" s="35">
        <v>0</v>
      </c>
      <c r="AT626" s="35">
        <v>1</v>
      </c>
      <c r="AU626" s="31" t="str">
        <f t="shared" si="13"/>
        <v>库存为1</v>
      </c>
      <c r="AV626" s="36" t="str">
        <f>IFERROR(时间!$B$4+AU626,"上周无销量")</f>
        <v>上周无销量</v>
      </c>
    </row>
    <row r="627" spans="1:48">
      <c r="A627" s="20" t="s">
        <v>1428</v>
      </c>
      <c r="B627" t="s">
        <v>1429</v>
      </c>
      <c r="C627" t="s">
        <v>1427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1</v>
      </c>
      <c r="J627" s="33">
        <v>0</v>
      </c>
      <c r="K627" s="33">
        <v>0</v>
      </c>
      <c r="L627" s="33">
        <v>0</v>
      </c>
      <c r="M627">
        <v>1</v>
      </c>
      <c r="N627">
        <v>0</v>
      </c>
      <c r="O627">
        <v>1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1</v>
      </c>
      <c r="AK627">
        <v>1</v>
      </c>
      <c r="AL627">
        <v>3</v>
      </c>
      <c r="AM627">
        <v>3</v>
      </c>
      <c r="AN627" s="22">
        <v>0</v>
      </c>
      <c r="AO627" s="22">
        <v>0</v>
      </c>
      <c r="AP627" s="22">
        <v>0</v>
      </c>
      <c r="AQ627" s="22">
        <v>0</v>
      </c>
      <c r="AR627" s="35">
        <v>0</v>
      </c>
      <c r="AS627" s="35">
        <v>0</v>
      </c>
      <c r="AT627" s="35">
        <v>1</v>
      </c>
      <c r="AU627" s="31" t="str">
        <f t="shared" si="13"/>
        <v>库存为1</v>
      </c>
      <c r="AV627" s="36" t="str">
        <f>IFERROR(时间!$B$4+AU627,"上周无销量")</f>
        <v>上周无销量</v>
      </c>
    </row>
    <row r="628" spans="1:48">
      <c r="A628" s="20" t="s">
        <v>1430</v>
      </c>
      <c r="B628" t="s">
        <v>1431</v>
      </c>
      <c r="C628" t="s">
        <v>1427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2</v>
      </c>
      <c r="J628" s="33">
        <v>0</v>
      </c>
      <c r="K628" s="33">
        <v>0</v>
      </c>
      <c r="L628" s="33">
        <v>0</v>
      </c>
      <c r="M628">
        <v>2</v>
      </c>
      <c r="N628">
        <v>0</v>
      </c>
      <c r="O628">
        <v>2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2</v>
      </c>
      <c r="AK628">
        <v>5</v>
      </c>
      <c r="AL628">
        <v>1</v>
      </c>
      <c r="AM628">
        <v>2</v>
      </c>
      <c r="AN628" s="22">
        <v>0</v>
      </c>
      <c r="AO628" s="22">
        <v>0</v>
      </c>
      <c r="AP628" s="22">
        <v>0</v>
      </c>
      <c r="AQ628" s="22">
        <v>0</v>
      </c>
      <c r="AR628" s="35">
        <v>0</v>
      </c>
      <c r="AS628" s="35">
        <v>0</v>
      </c>
      <c r="AT628" s="35">
        <v>2</v>
      </c>
      <c r="AU628" s="31" t="str">
        <f t="shared" si="13"/>
        <v>库存为2</v>
      </c>
      <c r="AV628" s="36" t="str">
        <f>IFERROR(时间!$B$4+AU628,"上周无销量")</f>
        <v>上周无销量</v>
      </c>
    </row>
    <row r="629" spans="1:48">
      <c r="A629" s="20" t="s">
        <v>1432</v>
      </c>
      <c r="B629" t="s">
        <v>1433</v>
      </c>
      <c r="C629" t="s">
        <v>1427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2</v>
      </c>
      <c r="J629" s="33">
        <v>0</v>
      </c>
      <c r="K629" s="33">
        <v>0</v>
      </c>
      <c r="L629" s="33">
        <v>0</v>
      </c>
      <c r="M629">
        <v>2</v>
      </c>
      <c r="N629">
        <v>0</v>
      </c>
      <c r="O629">
        <v>2</v>
      </c>
      <c r="P629" t="s">
        <v>53</v>
      </c>
      <c r="Q629" t="s">
        <v>53</v>
      </c>
      <c r="R629" t="s">
        <v>53</v>
      </c>
      <c r="S629" t="s">
        <v>53</v>
      </c>
      <c r="T629" t="s">
        <v>53</v>
      </c>
      <c r="U629" t="s">
        <v>53</v>
      </c>
      <c r="V629" t="s">
        <v>53</v>
      </c>
      <c r="W629" t="s">
        <v>53</v>
      </c>
      <c r="X629" s="22" t="s">
        <v>53</v>
      </c>
      <c r="Y629" s="22" t="s">
        <v>53</v>
      </c>
      <c r="Z629" s="22" t="s">
        <v>53</v>
      </c>
      <c r="AA629" s="22" t="s">
        <v>53</v>
      </c>
      <c r="AB629" t="s">
        <v>53</v>
      </c>
      <c r="AC629" t="s">
        <v>53</v>
      </c>
      <c r="AD629" t="s">
        <v>53</v>
      </c>
      <c r="AE629" t="s">
        <v>53</v>
      </c>
      <c r="AF629" s="22" t="s">
        <v>53</v>
      </c>
      <c r="AG629" s="22" t="s">
        <v>53</v>
      </c>
      <c r="AH629" s="22" t="s">
        <v>53</v>
      </c>
      <c r="AI629" s="22" t="s">
        <v>53</v>
      </c>
      <c r="AJ629">
        <v>1</v>
      </c>
      <c r="AK629">
        <v>2</v>
      </c>
      <c r="AL629">
        <v>5</v>
      </c>
      <c r="AM629">
        <v>3</v>
      </c>
      <c r="AN629" s="22">
        <v>0</v>
      </c>
      <c r="AO629" s="22">
        <v>0</v>
      </c>
      <c r="AP629" s="22">
        <v>0</v>
      </c>
      <c r="AQ629" s="22">
        <v>0</v>
      </c>
      <c r="AR629" s="35">
        <v>0</v>
      </c>
      <c r="AS629" s="35">
        <v>0</v>
      </c>
      <c r="AT629" s="35">
        <v>2</v>
      </c>
      <c r="AU629" s="31" t="str">
        <f t="shared" si="13"/>
        <v>库存为2</v>
      </c>
      <c r="AV629" s="36" t="str">
        <f>IFERROR(时间!$B$4+AU629,"上周无销量")</f>
        <v>上周无销量</v>
      </c>
    </row>
    <row r="630" spans="1:48">
      <c r="A630" s="20" t="s">
        <v>1434</v>
      </c>
      <c r="B630" t="s">
        <v>1435</v>
      </c>
      <c r="C630" t="s">
        <v>1427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5</v>
      </c>
      <c r="J630" s="33">
        <v>0</v>
      </c>
      <c r="K630" s="33">
        <v>0</v>
      </c>
      <c r="L630" s="33">
        <v>0</v>
      </c>
      <c r="M630">
        <v>5</v>
      </c>
      <c r="N630">
        <v>0</v>
      </c>
      <c r="O630">
        <v>5</v>
      </c>
      <c r="P630" t="s">
        <v>53</v>
      </c>
      <c r="Q630" t="s">
        <v>53</v>
      </c>
      <c r="R630" t="s">
        <v>53</v>
      </c>
      <c r="S630" t="s">
        <v>53</v>
      </c>
      <c r="T630" t="s">
        <v>53</v>
      </c>
      <c r="U630" t="s">
        <v>53</v>
      </c>
      <c r="V630" t="s">
        <v>53</v>
      </c>
      <c r="W630" t="s">
        <v>53</v>
      </c>
      <c r="X630" s="22" t="s">
        <v>53</v>
      </c>
      <c r="Y630" s="22" t="s">
        <v>53</v>
      </c>
      <c r="Z630" s="22" t="s">
        <v>53</v>
      </c>
      <c r="AA630" s="22" t="s">
        <v>53</v>
      </c>
      <c r="AB630" t="s">
        <v>53</v>
      </c>
      <c r="AC630" t="s">
        <v>53</v>
      </c>
      <c r="AD630" t="s">
        <v>53</v>
      </c>
      <c r="AE630" t="s">
        <v>53</v>
      </c>
      <c r="AF630" s="22" t="s">
        <v>53</v>
      </c>
      <c r="AG630" s="22" t="s">
        <v>53</v>
      </c>
      <c r="AH630" s="22" t="s">
        <v>53</v>
      </c>
      <c r="AI630" s="22" t="s">
        <v>53</v>
      </c>
      <c r="AJ630">
        <v>2</v>
      </c>
      <c r="AK630">
        <v>3</v>
      </c>
      <c r="AL630">
        <v>1</v>
      </c>
      <c r="AM630">
        <v>3</v>
      </c>
      <c r="AN630" s="22">
        <v>0</v>
      </c>
      <c r="AO630" s="22">
        <v>0</v>
      </c>
      <c r="AP630" s="22">
        <v>0</v>
      </c>
      <c r="AQ630" s="22">
        <v>0</v>
      </c>
      <c r="AR630" s="35">
        <v>0</v>
      </c>
      <c r="AS630" s="35">
        <v>0</v>
      </c>
      <c r="AT630" s="35">
        <v>5</v>
      </c>
      <c r="AU630" s="31" t="str">
        <f t="shared" si="13"/>
        <v>库存为5</v>
      </c>
      <c r="AV630" s="36" t="str">
        <f>IFERROR(时间!$B$4+AU630,"上周无销量")</f>
        <v>上周无销量</v>
      </c>
    </row>
    <row r="631" spans="1:48">
      <c r="A631" s="20" t="s">
        <v>1436</v>
      </c>
      <c r="B631" t="s">
        <v>1437</v>
      </c>
      <c r="C631" t="s">
        <v>1427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3</v>
      </c>
      <c r="J631" s="33">
        <v>0</v>
      </c>
      <c r="K631" s="33">
        <v>0</v>
      </c>
      <c r="L631" s="33">
        <v>0</v>
      </c>
      <c r="M631">
        <v>3</v>
      </c>
      <c r="N631">
        <v>0</v>
      </c>
      <c r="O631">
        <v>3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0</v>
      </c>
      <c r="AK631">
        <v>2</v>
      </c>
      <c r="AL631">
        <v>1</v>
      </c>
      <c r="AM631">
        <v>3</v>
      </c>
      <c r="AN631" s="22" t="s">
        <v>53</v>
      </c>
      <c r="AO631" s="22">
        <v>0</v>
      </c>
      <c r="AP631" s="22">
        <v>0</v>
      </c>
      <c r="AQ631" s="22">
        <v>0</v>
      </c>
      <c r="AR631" s="35">
        <v>0</v>
      </c>
      <c r="AS631" s="35">
        <v>0</v>
      </c>
      <c r="AT631" s="35">
        <v>3</v>
      </c>
      <c r="AU631" s="31" t="str">
        <f t="shared" si="13"/>
        <v>库存为3</v>
      </c>
      <c r="AV631" s="36" t="str">
        <f>IFERROR(时间!$B$4+AU631,"上周无销量")</f>
        <v>上周无销量</v>
      </c>
    </row>
    <row r="632" spans="1:48">
      <c r="A632" s="20" t="s">
        <v>1438</v>
      </c>
      <c r="B632" t="s">
        <v>1439</v>
      </c>
      <c r="C632" t="s">
        <v>1427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3</v>
      </c>
      <c r="J632" s="33">
        <v>0</v>
      </c>
      <c r="K632" s="33">
        <v>0</v>
      </c>
      <c r="L632" s="33">
        <v>0</v>
      </c>
      <c r="M632">
        <v>3</v>
      </c>
      <c r="N632">
        <v>0</v>
      </c>
      <c r="O632">
        <v>3</v>
      </c>
      <c r="P632" t="s">
        <v>53</v>
      </c>
      <c r="Q632" t="s">
        <v>53</v>
      </c>
      <c r="R632" t="s">
        <v>53</v>
      </c>
      <c r="S632" t="s">
        <v>53</v>
      </c>
      <c r="T632" t="s">
        <v>53</v>
      </c>
      <c r="U632" t="s">
        <v>53</v>
      </c>
      <c r="V632" t="s">
        <v>53</v>
      </c>
      <c r="W632" t="s">
        <v>53</v>
      </c>
      <c r="X632" s="22" t="s">
        <v>53</v>
      </c>
      <c r="Y632" s="22" t="s">
        <v>53</v>
      </c>
      <c r="Z632" s="22" t="s">
        <v>53</v>
      </c>
      <c r="AA632" s="22" t="s">
        <v>53</v>
      </c>
      <c r="AB632" t="s">
        <v>53</v>
      </c>
      <c r="AC632" t="s">
        <v>53</v>
      </c>
      <c r="AD632" t="s">
        <v>53</v>
      </c>
      <c r="AE632" t="s">
        <v>53</v>
      </c>
      <c r="AF632" s="22" t="s">
        <v>53</v>
      </c>
      <c r="AG632" s="22" t="s">
        <v>53</v>
      </c>
      <c r="AH632" s="22" t="s">
        <v>53</v>
      </c>
      <c r="AI632" s="22" t="s">
        <v>53</v>
      </c>
      <c r="AJ632">
        <v>1</v>
      </c>
      <c r="AK632">
        <v>4</v>
      </c>
      <c r="AL632">
        <v>0</v>
      </c>
      <c r="AM632">
        <v>3</v>
      </c>
      <c r="AN632" s="22">
        <v>0</v>
      </c>
      <c r="AO632" s="22">
        <v>0</v>
      </c>
      <c r="AP632" s="22" t="s">
        <v>53</v>
      </c>
      <c r="AQ632" s="22">
        <v>0</v>
      </c>
      <c r="AR632" s="35">
        <v>0</v>
      </c>
      <c r="AS632" s="35">
        <v>0</v>
      </c>
      <c r="AT632" s="35">
        <v>3</v>
      </c>
      <c r="AU632" s="31" t="str">
        <f t="shared" si="13"/>
        <v>库存为3</v>
      </c>
      <c r="AV632" s="36" t="str">
        <f>IFERROR(时间!$B$4+AU632,"上周无销量")</f>
        <v>上周无销量</v>
      </c>
    </row>
    <row r="633" spans="1:48">
      <c r="A633" s="20" t="s">
        <v>1440</v>
      </c>
      <c r="B633" t="s">
        <v>1441</v>
      </c>
      <c r="C633" t="s">
        <v>1427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6</v>
      </c>
      <c r="J633" s="33">
        <v>0</v>
      </c>
      <c r="K633" s="33">
        <v>0</v>
      </c>
      <c r="L633" s="33">
        <v>0</v>
      </c>
      <c r="M633">
        <v>6</v>
      </c>
      <c r="N633">
        <v>0</v>
      </c>
      <c r="O633">
        <v>6</v>
      </c>
      <c r="P633" t="s">
        <v>53</v>
      </c>
      <c r="Q633" t="s">
        <v>53</v>
      </c>
      <c r="R633" t="s">
        <v>53</v>
      </c>
      <c r="S633" t="s">
        <v>53</v>
      </c>
      <c r="T633" t="s">
        <v>53</v>
      </c>
      <c r="U633" t="s">
        <v>53</v>
      </c>
      <c r="V633" t="s">
        <v>53</v>
      </c>
      <c r="W633" t="s">
        <v>53</v>
      </c>
      <c r="X633" s="22" t="s">
        <v>53</v>
      </c>
      <c r="Y633" s="22" t="s">
        <v>53</v>
      </c>
      <c r="Z633" s="22" t="s">
        <v>53</v>
      </c>
      <c r="AA633" s="22" t="s">
        <v>53</v>
      </c>
      <c r="AB633" t="s">
        <v>53</v>
      </c>
      <c r="AC633" t="s">
        <v>53</v>
      </c>
      <c r="AD633" t="s">
        <v>53</v>
      </c>
      <c r="AE633" t="s">
        <v>53</v>
      </c>
      <c r="AF633" s="22" t="s">
        <v>53</v>
      </c>
      <c r="AG633" s="22" t="s">
        <v>53</v>
      </c>
      <c r="AH633" s="22" t="s">
        <v>53</v>
      </c>
      <c r="AI633" s="22" t="s">
        <v>53</v>
      </c>
      <c r="AJ633">
        <v>2</v>
      </c>
      <c r="AK633">
        <v>2</v>
      </c>
      <c r="AL633">
        <v>1</v>
      </c>
      <c r="AM633">
        <v>2</v>
      </c>
      <c r="AN633" s="22">
        <v>0</v>
      </c>
      <c r="AO633" s="22">
        <v>0</v>
      </c>
      <c r="AP633" s="22">
        <v>0</v>
      </c>
      <c r="AQ633" s="22">
        <v>0</v>
      </c>
      <c r="AR633" s="35">
        <v>0</v>
      </c>
      <c r="AS633" s="35">
        <v>0</v>
      </c>
      <c r="AT633" s="35">
        <v>6</v>
      </c>
      <c r="AU633" s="31" t="str">
        <f t="shared" si="13"/>
        <v>库存为6</v>
      </c>
      <c r="AV633" s="36" t="str">
        <f>IFERROR(时间!$B$4+AU633,"上周无销量")</f>
        <v>上周无销量</v>
      </c>
    </row>
    <row r="634" spans="1:48">
      <c r="A634" s="20" t="s">
        <v>1442</v>
      </c>
      <c r="B634" t="s">
        <v>1443</v>
      </c>
      <c r="C634" t="s">
        <v>1427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10</v>
      </c>
      <c r="J634" s="33">
        <v>0</v>
      </c>
      <c r="K634" s="33">
        <v>0</v>
      </c>
      <c r="L634" s="33">
        <v>0</v>
      </c>
      <c r="M634">
        <v>10</v>
      </c>
      <c r="N634">
        <v>0</v>
      </c>
      <c r="O634">
        <v>10</v>
      </c>
      <c r="P634">
        <v>1479</v>
      </c>
      <c r="Q634">
        <v>0</v>
      </c>
      <c r="R634">
        <v>0</v>
      </c>
      <c r="S634">
        <v>0</v>
      </c>
      <c r="T634">
        <v>2</v>
      </c>
      <c r="U634">
        <v>0</v>
      </c>
      <c r="V634">
        <v>0</v>
      </c>
      <c r="W634">
        <v>0</v>
      </c>
      <c r="X634" s="22">
        <v>0.00135226504394861</v>
      </c>
      <c r="Y634" s="22" t="s">
        <v>53</v>
      </c>
      <c r="Z634" s="22" t="s">
        <v>53</v>
      </c>
      <c r="AA634" s="22" t="s">
        <v>53</v>
      </c>
      <c r="AB634">
        <v>0.57</v>
      </c>
      <c r="AC634">
        <v>0</v>
      </c>
      <c r="AD634">
        <v>0</v>
      </c>
      <c r="AE634">
        <v>0</v>
      </c>
      <c r="AF634" s="22" t="s">
        <v>1444</v>
      </c>
      <c r="AG634" s="22" t="s">
        <v>53</v>
      </c>
      <c r="AH634" s="22" t="s">
        <v>53</v>
      </c>
      <c r="AI634" s="22" t="s">
        <v>53</v>
      </c>
      <c r="AJ634">
        <v>4</v>
      </c>
      <c r="AK634">
        <v>1</v>
      </c>
      <c r="AL634">
        <v>4</v>
      </c>
      <c r="AM634">
        <v>2</v>
      </c>
      <c r="AN634" s="22">
        <v>0</v>
      </c>
      <c r="AO634" s="22">
        <v>0</v>
      </c>
      <c r="AP634" s="22">
        <v>0</v>
      </c>
      <c r="AQ634" s="22">
        <v>0</v>
      </c>
      <c r="AR634" s="35">
        <v>0</v>
      </c>
      <c r="AS634" s="35">
        <v>0</v>
      </c>
      <c r="AT634" s="35">
        <v>10</v>
      </c>
      <c r="AU634" s="31" t="str">
        <f t="shared" si="13"/>
        <v>库存为10</v>
      </c>
      <c r="AV634" s="36" t="str">
        <f>IFERROR(时间!$B$4+AU634,"上周无销量")</f>
        <v>上周无销量</v>
      </c>
    </row>
    <row r="635" spans="1:48">
      <c r="A635" s="20" t="s">
        <v>1445</v>
      </c>
      <c r="B635" t="s">
        <v>1446</v>
      </c>
      <c r="C635" t="s">
        <v>1427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9</v>
      </c>
      <c r="J635" s="33">
        <v>0</v>
      </c>
      <c r="K635" s="33">
        <v>0</v>
      </c>
      <c r="L635" s="33">
        <v>0</v>
      </c>
      <c r="M635">
        <v>9</v>
      </c>
      <c r="N635">
        <v>0</v>
      </c>
      <c r="O635">
        <v>9</v>
      </c>
      <c r="P635" t="s">
        <v>53</v>
      </c>
      <c r="Q635" t="s">
        <v>53</v>
      </c>
      <c r="R635" t="s">
        <v>53</v>
      </c>
      <c r="S635" t="s">
        <v>53</v>
      </c>
      <c r="T635" t="s">
        <v>53</v>
      </c>
      <c r="U635" t="s">
        <v>53</v>
      </c>
      <c r="V635" t="s">
        <v>53</v>
      </c>
      <c r="W635" t="s">
        <v>53</v>
      </c>
      <c r="X635" s="22" t="s">
        <v>53</v>
      </c>
      <c r="Y635" s="22" t="s">
        <v>53</v>
      </c>
      <c r="Z635" s="22" t="s">
        <v>53</v>
      </c>
      <c r="AA635" s="22" t="s">
        <v>53</v>
      </c>
      <c r="AB635" t="s">
        <v>53</v>
      </c>
      <c r="AC635" t="s">
        <v>53</v>
      </c>
      <c r="AD635" t="s">
        <v>53</v>
      </c>
      <c r="AE635" t="s">
        <v>53</v>
      </c>
      <c r="AF635" s="22" t="s">
        <v>53</v>
      </c>
      <c r="AG635" s="22" t="s">
        <v>53</v>
      </c>
      <c r="AH635" s="22" t="s">
        <v>53</v>
      </c>
      <c r="AI635" s="22" t="s">
        <v>53</v>
      </c>
      <c r="AJ635">
        <v>1</v>
      </c>
      <c r="AK635">
        <v>4</v>
      </c>
      <c r="AL635">
        <v>1</v>
      </c>
      <c r="AM635">
        <v>2</v>
      </c>
      <c r="AN635" s="22">
        <v>0</v>
      </c>
      <c r="AO635" s="22">
        <v>0</v>
      </c>
      <c r="AP635" s="22">
        <v>0</v>
      </c>
      <c r="AQ635" s="22">
        <v>0</v>
      </c>
      <c r="AR635" s="35">
        <v>0</v>
      </c>
      <c r="AS635" s="35">
        <v>0</v>
      </c>
      <c r="AT635" s="35">
        <v>9</v>
      </c>
      <c r="AU635" s="31" t="str">
        <f t="shared" si="13"/>
        <v>库存为9</v>
      </c>
      <c r="AV635" s="36" t="str">
        <f>IFERROR(时间!$B$4+AU635,"上周无销量")</f>
        <v>上周无销量</v>
      </c>
    </row>
    <row r="636" spans="1:48">
      <c r="A636" s="20" t="s">
        <v>1447</v>
      </c>
      <c r="B636" t="s">
        <v>1448</v>
      </c>
      <c r="C636" t="s">
        <v>1427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5</v>
      </c>
      <c r="J636" s="33">
        <v>0</v>
      </c>
      <c r="K636" s="33">
        <v>0</v>
      </c>
      <c r="L636" s="33">
        <v>0</v>
      </c>
      <c r="M636">
        <v>5</v>
      </c>
      <c r="N636">
        <v>0</v>
      </c>
      <c r="O636">
        <v>5</v>
      </c>
      <c r="P636" t="s">
        <v>53</v>
      </c>
      <c r="Q636" t="s">
        <v>53</v>
      </c>
      <c r="R636" t="s">
        <v>53</v>
      </c>
      <c r="S636" t="s">
        <v>53</v>
      </c>
      <c r="T636" t="s">
        <v>53</v>
      </c>
      <c r="U636" t="s">
        <v>53</v>
      </c>
      <c r="V636" t="s">
        <v>53</v>
      </c>
      <c r="W636" t="s">
        <v>53</v>
      </c>
      <c r="X636" s="22" t="s">
        <v>53</v>
      </c>
      <c r="Y636" s="22" t="s">
        <v>53</v>
      </c>
      <c r="Z636" s="22" t="s">
        <v>53</v>
      </c>
      <c r="AA636" s="22" t="s">
        <v>53</v>
      </c>
      <c r="AB636" t="s">
        <v>53</v>
      </c>
      <c r="AC636" t="s">
        <v>53</v>
      </c>
      <c r="AD636" t="s">
        <v>53</v>
      </c>
      <c r="AE636" t="s">
        <v>53</v>
      </c>
      <c r="AF636" s="22" t="s">
        <v>53</v>
      </c>
      <c r="AG636" s="22" t="s">
        <v>53</v>
      </c>
      <c r="AH636" s="22" t="s">
        <v>53</v>
      </c>
      <c r="AI636" s="22" t="s">
        <v>53</v>
      </c>
      <c r="AJ636">
        <v>0</v>
      </c>
      <c r="AK636">
        <v>2</v>
      </c>
      <c r="AL636">
        <v>1</v>
      </c>
      <c r="AM636">
        <v>4</v>
      </c>
      <c r="AN636" s="22" t="s">
        <v>53</v>
      </c>
      <c r="AO636" s="22">
        <v>0</v>
      </c>
      <c r="AP636" s="22">
        <v>0</v>
      </c>
      <c r="AQ636" s="22">
        <v>0</v>
      </c>
      <c r="AR636" s="35">
        <v>0</v>
      </c>
      <c r="AS636" s="35">
        <v>0</v>
      </c>
      <c r="AT636" s="35">
        <v>5</v>
      </c>
      <c r="AU636" s="31" t="str">
        <f t="shared" si="13"/>
        <v>库存为5</v>
      </c>
      <c r="AV636" s="36" t="str">
        <f>IFERROR(时间!$B$4+AU636,"上周无销量")</f>
        <v>上周无销量</v>
      </c>
    </row>
    <row r="637" spans="1:48">
      <c r="A637" s="20" t="s">
        <v>1449</v>
      </c>
      <c r="B637" t="s">
        <v>1450</v>
      </c>
      <c r="C637" t="s">
        <v>1427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5</v>
      </c>
      <c r="J637" s="33">
        <v>0</v>
      </c>
      <c r="K637" s="33">
        <v>0</v>
      </c>
      <c r="L637" s="33">
        <v>0</v>
      </c>
      <c r="M637">
        <v>5</v>
      </c>
      <c r="N637">
        <v>0</v>
      </c>
      <c r="O637">
        <v>5</v>
      </c>
      <c r="P637" t="s">
        <v>53</v>
      </c>
      <c r="Q637" t="s">
        <v>53</v>
      </c>
      <c r="R637" t="s">
        <v>53</v>
      </c>
      <c r="S637" t="s">
        <v>53</v>
      </c>
      <c r="T637" t="s">
        <v>53</v>
      </c>
      <c r="U637" t="s">
        <v>53</v>
      </c>
      <c r="V637" t="s">
        <v>53</v>
      </c>
      <c r="W637" t="s">
        <v>53</v>
      </c>
      <c r="X637" s="22" t="s">
        <v>53</v>
      </c>
      <c r="Y637" s="22" t="s">
        <v>53</v>
      </c>
      <c r="Z637" s="22" t="s">
        <v>53</v>
      </c>
      <c r="AA637" s="22" t="s">
        <v>53</v>
      </c>
      <c r="AB637" t="s">
        <v>53</v>
      </c>
      <c r="AC637" t="s">
        <v>53</v>
      </c>
      <c r="AD637" t="s">
        <v>53</v>
      </c>
      <c r="AE637" t="s">
        <v>53</v>
      </c>
      <c r="AF637" s="22" t="s">
        <v>53</v>
      </c>
      <c r="AG637" s="22" t="s">
        <v>53</v>
      </c>
      <c r="AH637" s="22" t="s">
        <v>53</v>
      </c>
      <c r="AI637" s="22" t="s">
        <v>53</v>
      </c>
      <c r="AJ637">
        <v>4</v>
      </c>
      <c r="AK637">
        <v>4</v>
      </c>
      <c r="AL637">
        <v>0</v>
      </c>
      <c r="AM637">
        <v>4</v>
      </c>
      <c r="AN637" s="22">
        <v>0</v>
      </c>
      <c r="AO637" s="22">
        <v>0</v>
      </c>
      <c r="AP637" s="22" t="s">
        <v>53</v>
      </c>
      <c r="AQ637" s="22">
        <v>0</v>
      </c>
      <c r="AR637" s="35">
        <v>0</v>
      </c>
      <c r="AS637" s="35">
        <v>0</v>
      </c>
      <c r="AT637" s="35">
        <v>5</v>
      </c>
      <c r="AU637" s="31" t="str">
        <f t="shared" si="13"/>
        <v>库存为5</v>
      </c>
      <c r="AV637" s="36" t="str">
        <f>IFERROR(时间!$B$4+AU637,"上周无销量")</f>
        <v>上周无销量</v>
      </c>
    </row>
    <row r="638" spans="1:48">
      <c r="A638" s="20" t="s">
        <v>1451</v>
      </c>
      <c r="B638" t="s">
        <v>1452</v>
      </c>
      <c r="C638" t="s">
        <v>1427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3</v>
      </c>
      <c r="J638" s="33">
        <v>0</v>
      </c>
      <c r="K638" s="33">
        <v>0</v>
      </c>
      <c r="L638" s="33">
        <v>0</v>
      </c>
      <c r="M638">
        <v>3</v>
      </c>
      <c r="N638">
        <v>0</v>
      </c>
      <c r="O638">
        <v>3</v>
      </c>
      <c r="P638" t="s">
        <v>53</v>
      </c>
      <c r="Q638" t="s">
        <v>53</v>
      </c>
      <c r="R638" t="s">
        <v>53</v>
      </c>
      <c r="S638" t="s">
        <v>53</v>
      </c>
      <c r="T638" t="s">
        <v>53</v>
      </c>
      <c r="U638" t="s">
        <v>53</v>
      </c>
      <c r="V638" t="s">
        <v>53</v>
      </c>
      <c r="W638" t="s">
        <v>53</v>
      </c>
      <c r="X638" s="22" t="s">
        <v>53</v>
      </c>
      <c r="Y638" s="22" t="s">
        <v>53</v>
      </c>
      <c r="Z638" s="22" t="s">
        <v>53</v>
      </c>
      <c r="AA638" s="22" t="s">
        <v>53</v>
      </c>
      <c r="AB638" t="s">
        <v>53</v>
      </c>
      <c r="AC638" t="s">
        <v>53</v>
      </c>
      <c r="AD638" t="s">
        <v>53</v>
      </c>
      <c r="AE638" t="s">
        <v>53</v>
      </c>
      <c r="AF638" s="22" t="s">
        <v>53</v>
      </c>
      <c r="AG638" s="22" t="s">
        <v>53</v>
      </c>
      <c r="AH638" s="22" t="s">
        <v>53</v>
      </c>
      <c r="AI638" s="22" t="s">
        <v>53</v>
      </c>
      <c r="AJ638">
        <v>2</v>
      </c>
      <c r="AK638">
        <v>2</v>
      </c>
      <c r="AL638">
        <v>2</v>
      </c>
      <c r="AM638">
        <v>1</v>
      </c>
      <c r="AN638" s="22">
        <v>0</v>
      </c>
      <c r="AO638" s="22">
        <v>0</v>
      </c>
      <c r="AP638" s="22">
        <v>0</v>
      </c>
      <c r="AQ638" s="22">
        <v>0</v>
      </c>
      <c r="AR638" s="35">
        <v>0</v>
      </c>
      <c r="AS638" s="35">
        <v>0</v>
      </c>
      <c r="AT638" s="35">
        <v>3</v>
      </c>
      <c r="AU638" s="31" t="str">
        <f t="shared" si="13"/>
        <v>库存为3</v>
      </c>
      <c r="AV638" s="36" t="str">
        <f>IFERROR(时间!$B$4+AU638,"上周无销量")</f>
        <v>上周无销量</v>
      </c>
    </row>
    <row r="639" spans="1:48">
      <c r="A639" s="20" t="s">
        <v>1453</v>
      </c>
      <c r="B639" t="s">
        <v>1454</v>
      </c>
      <c r="C639" t="s">
        <v>1427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3</v>
      </c>
      <c r="J639" s="33">
        <v>0</v>
      </c>
      <c r="K639" s="33">
        <v>0</v>
      </c>
      <c r="L639" s="33">
        <v>0</v>
      </c>
      <c r="M639">
        <v>3</v>
      </c>
      <c r="N639">
        <v>0</v>
      </c>
      <c r="O639">
        <v>3</v>
      </c>
      <c r="P639" t="s">
        <v>53</v>
      </c>
      <c r="Q639" t="s">
        <v>53</v>
      </c>
      <c r="R639" t="s">
        <v>53</v>
      </c>
      <c r="S639" t="s">
        <v>53</v>
      </c>
      <c r="T639" t="s">
        <v>53</v>
      </c>
      <c r="U639" t="s">
        <v>53</v>
      </c>
      <c r="V639" t="s">
        <v>53</v>
      </c>
      <c r="W639" t="s">
        <v>53</v>
      </c>
      <c r="X639" s="22" t="s">
        <v>53</v>
      </c>
      <c r="Y639" s="22" t="s">
        <v>53</v>
      </c>
      <c r="Z639" s="22" t="s">
        <v>53</v>
      </c>
      <c r="AA639" s="22" t="s">
        <v>53</v>
      </c>
      <c r="AB639" t="s">
        <v>53</v>
      </c>
      <c r="AC639" t="s">
        <v>53</v>
      </c>
      <c r="AD639" t="s">
        <v>53</v>
      </c>
      <c r="AE639" t="s">
        <v>53</v>
      </c>
      <c r="AF639" s="22" t="s">
        <v>53</v>
      </c>
      <c r="AG639" s="22" t="s">
        <v>53</v>
      </c>
      <c r="AH639" s="22" t="s">
        <v>53</v>
      </c>
      <c r="AI639" s="22" t="s">
        <v>53</v>
      </c>
      <c r="AJ639">
        <v>0</v>
      </c>
      <c r="AK639">
        <v>2</v>
      </c>
      <c r="AL639">
        <v>1</v>
      </c>
      <c r="AM639">
        <v>2</v>
      </c>
      <c r="AN639" s="22" t="s">
        <v>53</v>
      </c>
      <c r="AO639" s="22">
        <v>0</v>
      </c>
      <c r="AP639" s="22">
        <v>0</v>
      </c>
      <c r="AQ639" s="22">
        <v>0</v>
      </c>
      <c r="AR639" s="35">
        <v>0</v>
      </c>
      <c r="AS639" s="35">
        <v>0</v>
      </c>
      <c r="AT639" s="35">
        <v>3</v>
      </c>
      <c r="AU639" s="31" t="str">
        <f t="shared" si="13"/>
        <v>库存为3</v>
      </c>
      <c r="AV639" s="36" t="str">
        <f>IFERROR(时间!$B$4+AU639,"上周无销量")</f>
        <v>上周无销量</v>
      </c>
    </row>
    <row r="640" spans="1:48">
      <c r="A640" s="20" t="s">
        <v>1455</v>
      </c>
      <c r="B640" t="s">
        <v>1456</v>
      </c>
      <c r="C640" t="s">
        <v>1427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3</v>
      </c>
      <c r="J640" s="33">
        <v>0</v>
      </c>
      <c r="K640" s="33">
        <v>0</v>
      </c>
      <c r="L640" s="33">
        <v>0</v>
      </c>
      <c r="M640">
        <v>3</v>
      </c>
      <c r="N640">
        <v>0</v>
      </c>
      <c r="O640">
        <v>3</v>
      </c>
      <c r="P640" t="s">
        <v>53</v>
      </c>
      <c r="Q640" t="s">
        <v>53</v>
      </c>
      <c r="R640" t="s">
        <v>53</v>
      </c>
      <c r="S640" t="s">
        <v>53</v>
      </c>
      <c r="T640" t="s">
        <v>53</v>
      </c>
      <c r="U640" t="s">
        <v>53</v>
      </c>
      <c r="V640" t="s">
        <v>53</v>
      </c>
      <c r="W640" t="s">
        <v>53</v>
      </c>
      <c r="X640" s="22" t="s">
        <v>53</v>
      </c>
      <c r="Y640" s="22" t="s">
        <v>53</v>
      </c>
      <c r="Z640" s="22" t="s">
        <v>53</v>
      </c>
      <c r="AA640" s="22" t="s">
        <v>53</v>
      </c>
      <c r="AB640" t="s">
        <v>53</v>
      </c>
      <c r="AC640" t="s">
        <v>53</v>
      </c>
      <c r="AD640" t="s">
        <v>53</v>
      </c>
      <c r="AE640" t="s">
        <v>53</v>
      </c>
      <c r="AF640" s="22" t="s">
        <v>53</v>
      </c>
      <c r="AG640" s="22" t="s">
        <v>53</v>
      </c>
      <c r="AH640" s="22" t="s">
        <v>53</v>
      </c>
      <c r="AI640" s="22" t="s">
        <v>53</v>
      </c>
      <c r="AJ640">
        <v>0</v>
      </c>
      <c r="AK640">
        <v>1</v>
      </c>
      <c r="AL640">
        <v>2</v>
      </c>
      <c r="AM640">
        <v>2</v>
      </c>
      <c r="AN640" s="22" t="s">
        <v>53</v>
      </c>
      <c r="AO640" s="22">
        <v>0</v>
      </c>
      <c r="AP640" s="22">
        <v>0</v>
      </c>
      <c r="AQ640" s="22">
        <v>0</v>
      </c>
      <c r="AR640" s="35">
        <v>0</v>
      </c>
      <c r="AS640" s="35">
        <v>0</v>
      </c>
      <c r="AT640" s="35">
        <v>3</v>
      </c>
      <c r="AU640" s="31" t="str">
        <f t="shared" si="13"/>
        <v>库存为3</v>
      </c>
      <c r="AV640" s="36" t="str">
        <f>IFERROR(时间!$B$4+AU640,"上周无销量")</f>
        <v>上周无销量</v>
      </c>
    </row>
    <row r="641" spans="1:48">
      <c r="A641" s="20" t="s">
        <v>1457</v>
      </c>
      <c r="B641" t="s">
        <v>1458</v>
      </c>
      <c r="C641" t="s">
        <v>1427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5</v>
      </c>
      <c r="J641" s="33">
        <v>0</v>
      </c>
      <c r="K641" s="33">
        <v>0</v>
      </c>
      <c r="L641" s="33">
        <v>0</v>
      </c>
      <c r="M641">
        <v>5</v>
      </c>
      <c r="N641">
        <v>0</v>
      </c>
      <c r="O641">
        <v>5</v>
      </c>
      <c r="P641" t="s">
        <v>53</v>
      </c>
      <c r="Q641" t="s">
        <v>53</v>
      </c>
      <c r="R641" t="s">
        <v>53</v>
      </c>
      <c r="S641" t="s">
        <v>53</v>
      </c>
      <c r="T641" t="s">
        <v>53</v>
      </c>
      <c r="U641" t="s">
        <v>53</v>
      </c>
      <c r="V641" t="s">
        <v>53</v>
      </c>
      <c r="W641" t="s">
        <v>53</v>
      </c>
      <c r="X641" s="22" t="s">
        <v>53</v>
      </c>
      <c r="Y641" s="22" t="s">
        <v>53</v>
      </c>
      <c r="Z641" s="22" t="s">
        <v>53</v>
      </c>
      <c r="AA641" s="22" t="s">
        <v>53</v>
      </c>
      <c r="AB641" t="s">
        <v>53</v>
      </c>
      <c r="AC641" t="s">
        <v>53</v>
      </c>
      <c r="AD641" t="s">
        <v>53</v>
      </c>
      <c r="AE641" t="s">
        <v>53</v>
      </c>
      <c r="AF641" s="22" t="s">
        <v>53</v>
      </c>
      <c r="AG641" s="22" t="s">
        <v>53</v>
      </c>
      <c r="AH641" s="22" t="s">
        <v>53</v>
      </c>
      <c r="AI641" s="22" t="s">
        <v>53</v>
      </c>
      <c r="AJ641">
        <v>1</v>
      </c>
      <c r="AK641">
        <v>0</v>
      </c>
      <c r="AL641">
        <v>2</v>
      </c>
      <c r="AM641">
        <v>3</v>
      </c>
      <c r="AN641" s="22">
        <v>0</v>
      </c>
      <c r="AO641" s="22" t="s">
        <v>53</v>
      </c>
      <c r="AP641" s="22">
        <v>0</v>
      </c>
      <c r="AQ641" s="22">
        <v>0</v>
      </c>
      <c r="AR641" s="35">
        <v>0</v>
      </c>
      <c r="AS641" s="35">
        <v>0</v>
      </c>
      <c r="AT641" s="35">
        <v>5</v>
      </c>
      <c r="AU641" s="31" t="str">
        <f t="shared" si="13"/>
        <v>库存为5</v>
      </c>
      <c r="AV641" s="36" t="str">
        <f>IFERROR(时间!$B$4+AU641,"上周无销量")</f>
        <v>上周无销量</v>
      </c>
    </row>
    <row r="642" spans="1:48">
      <c r="A642" s="20" t="s">
        <v>1459</v>
      </c>
      <c r="B642" t="s">
        <v>1460</v>
      </c>
      <c r="C642" t="s">
        <v>1427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3</v>
      </c>
      <c r="J642" s="33">
        <v>0</v>
      </c>
      <c r="K642" s="33">
        <v>0</v>
      </c>
      <c r="L642" s="33">
        <v>0</v>
      </c>
      <c r="M642">
        <v>3</v>
      </c>
      <c r="N642">
        <v>0</v>
      </c>
      <c r="O642">
        <v>3</v>
      </c>
      <c r="P642" t="s">
        <v>53</v>
      </c>
      <c r="Q642" t="s">
        <v>53</v>
      </c>
      <c r="R642" t="s">
        <v>53</v>
      </c>
      <c r="S642" t="s">
        <v>53</v>
      </c>
      <c r="T642" t="s">
        <v>53</v>
      </c>
      <c r="U642" t="s">
        <v>53</v>
      </c>
      <c r="V642" t="s">
        <v>53</v>
      </c>
      <c r="W642" t="s">
        <v>53</v>
      </c>
      <c r="X642" s="22" t="s">
        <v>53</v>
      </c>
      <c r="Y642" s="22" t="s">
        <v>53</v>
      </c>
      <c r="Z642" s="22" t="s">
        <v>53</v>
      </c>
      <c r="AA642" s="22" t="s">
        <v>53</v>
      </c>
      <c r="AB642" t="s">
        <v>53</v>
      </c>
      <c r="AC642" t="s">
        <v>53</v>
      </c>
      <c r="AD642" t="s">
        <v>53</v>
      </c>
      <c r="AE642" t="s">
        <v>53</v>
      </c>
      <c r="AF642" s="22" t="s">
        <v>53</v>
      </c>
      <c r="AG642" s="22" t="s">
        <v>53</v>
      </c>
      <c r="AH642" s="22" t="s">
        <v>53</v>
      </c>
      <c r="AI642" s="22" t="s">
        <v>53</v>
      </c>
      <c r="AJ642">
        <v>0</v>
      </c>
      <c r="AK642">
        <v>2</v>
      </c>
      <c r="AL642">
        <v>2</v>
      </c>
      <c r="AM642">
        <v>3</v>
      </c>
      <c r="AN642" s="22" t="s">
        <v>53</v>
      </c>
      <c r="AO642" s="22">
        <v>0</v>
      </c>
      <c r="AP642" s="22">
        <v>0</v>
      </c>
      <c r="AQ642" s="22">
        <v>0</v>
      </c>
      <c r="AR642" s="35">
        <v>0</v>
      </c>
      <c r="AS642" s="35">
        <v>0</v>
      </c>
      <c r="AT642" s="35">
        <v>3</v>
      </c>
      <c r="AU642" s="31" t="str">
        <f t="shared" si="13"/>
        <v>库存为3</v>
      </c>
      <c r="AV642" s="36" t="str">
        <f>IFERROR(时间!$B$4+AU642,"上周无销量")</f>
        <v>上周无销量</v>
      </c>
    </row>
    <row r="643" spans="1:48">
      <c r="A643" s="20" t="s">
        <v>1461</v>
      </c>
      <c r="B643" t="s">
        <v>1462</v>
      </c>
      <c r="C643" t="s">
        <v>1427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2</v>
      </c>
      <c r="J643" s="33">
        <v>0</v>
      </c>
      <c r="K643" s="33">
        <v>0</v>
      </c>
      <c r="L643" s="33">
        <v>0</v>
      </c>
      <c r="M643">
        <v>2</v>
      </c>
      <c r="N643">
        <v>0</v>
      </c>
      <c r="O643">
        <v>2</v>
      </c>
      <c r="P643" t="s">
        <v>53</v>
      </c>
      <c r="Q643" t="s">
        <v>53</v>
      </c>
      <c r="R643" t="s">
        <v>53</v>
      </c>
      <c r="S643" t="s">
        <v>53</v>
      </c>
      <c r="T643" t="s">
        <v>53</v>
      </c>
      <c r="U643" t="s">
        <v>53</v>
      </c>
      <c r="V643" t="s">
        <v>53</v>
      </c>
      <c r="W643" t="s">
        <v>53</v>
      </c>
      <c r="X643" s="22" t="s">
        <v>53</v>
      </c>
      <c r="Y643" s="22" t="s">
        <v>53</v>
      </c>
      <c r="Z643" s="22" t="s">
        <v>53</v>
      </c>
      <c r="AA643" s="22" t="s">
        <v>53</v>
      </c>
      <c r="AB643" t="s">
        <v>53</v>
      </c>
      <c r="AC643" t="s">
        <v>53</v>
      </c>
      <c r="AD643" t="s">
        <v>53</v>
      </c>
      <c r="AE643" t="s">
        <v>53</v>
      </c>
      <c r="AF643" s="22" t="s">
        <v>53</v>
      </c>
      <c r="AG643" s="22" t="s">
        <v>53</v>
      </c>
      <c r="AH643" s="22" t="s">
        <v>53</v>
      </c>
      <c r="AI643" s="22" t="s">
        <v>53</v>
      </c>
      <c r="AJ643">
        <v>0</v>
      </c>
      <c r="AK643">
        <v>2</v>
      </c>
      <c r="AL643">
        <v>1</v>
      </c>
      <c r="AM643">
        <v>2</v>
      </c>
      <c r="AN643" s="22" t="s">
        <v>53</v>
      </c>
      <c r="AO643" s="22">
        <v>0</v>
      </c>
      <c r="AP643" s="22">
        <v>0</v>
      </c>
      <c r="AQ643" s="22">
        <v>0</v>
      </c>
      <c r="AR643" s="35">
        <v>0</v>
      </c>
      <c r="AS643" s="35">
        <v>0</v>
      </c>
      <c r="AT643" s="35">
        <v>2</v>
      </c>
      <c r="AU643" s="31" t="str">
        <f t="shared" si="13"/>
        <v>库存为2</v>
      </c>
      <c r="AV643" s="36" t="str">
        <f>IFERROR(时间!$B$4+AU643,"上周无销量")</f>
        <v>上周无销量</v>
      </c>
    </row>
    <row r="644" spans="1:48">
      <c r="A644" s="20" t="s">
        <v>1463</v>
      </c>
      <c r="B644" t="s">
        <v>1464</v>
      </c>
      <c r="C644" t="s">
        <v>1427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3</v>
      </c>
      <c r="J644" s="33">
        <v>0</v>
      </c>
      <c r="K644" s="33">
        <v>0</v>
      </c>
      <c r="L644" s="33">
        <v>0</v>
      </c>
      <c r="M644">
        <v>3</v>
      </c>
      <c r="N644">
        <v>0</v>
      </c>
      <c r="O644">
        <v>3</v>
      </c>
      <c r="P644" t="s">
        <v>53</v>
      </c>
      <c r="Q644" t="s">
        <v>53</v>
      </c>
      <c r="R644" t="s">
        <v>53</v>
      </c>
      <c r="S644" t="s">
        <v>53</v>
      </c>
      <c r="T644" t="s">
        <v>53</v>
      </c>
      <c r="U644" t="s">
        <v>53</v>
      </c>
      <c r="V644" t="s">
        <v>53</v>
      </c>
      <c r="W644" t="s">
        <v>53</v>
      </c>
      <c r="X644" s="22" t="s">
        <v>53</v>
      </c>
      <c r="Y644" s="22" t="s">
        <v>53</v>
      </c>
      <c r="Z644" s="22" t="s">
        <v>53</v>
      </c>
      <c r="AA644" s="22" t="s">
        <v>53</v>
      </c>
      <c r="AB644" t="s">
        <v>53</v>
      </c>
      <c r="AC644" t="s">
        <v>53</v>
      </c>
      <c r="AD644" t="s">
        <v>53</v>
      </c>
      <c r="AE644" t="s">
        <v>53</v>
      </c>
      <c r="AF644" s="22" t="s">
        <v>53</v>
      </c>
      <c r="AG644" s="22" t="s">
        <v>53</v>
      </c>
      <c r="AH644" s="22" t="s">
        <v>53</v>
      </c>
      <c r="AI644" s="22" t="s">
        <v>53</v>
      </c>
      <c r="AJ644">
        <v>2</v>
      </c>
      <c r="AK644">
        <v>3</v>
      </c>
      <c r="AL644">
        <v>1</v>
      </c>
      <c r="AM644">
        <v>2</v>
      </c>
      <c r="AN644" s="22">
        <v>0</v>
      </c>
      <c r="AO644" s="22">
        <v>0</v>
      </c>
      <c r="AP644" s="22">
        <v>0</v>
      </c>
      <c r="AQ644" s="22">
        <v>0</v>
      </c>
      <c r="AR644" s="35">
        <v>0</v>
      </c>
      <c r="AS644" s="35">
        <v>0</v>
      </c>
      <c r="AT644" s="35">
        <v>3</v>
      </c>
      <c r="AU644" s="31" t="str">
        <f t="shared" si="13"/>
        <v>库存为3</v>
      </c>
      <c r="AV644" s="36" t="str">
        <f>IFERROR(时间!$B$4+AU644,"上周无销量")</f>
        <v>上周无销量</v>
      </c>
    </row>
    <row r="645" spans="1:48">
      <c r="A645" s="20" t="s">
        <v>1465</v>
      </c>
      <c r="B645" t="s">
        <v>1466</v>
      </c>
      <c r="C645" t="s">
        <v>1427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5</v>
      </c>
      <c r="J645" s="33">
        <v>0</v>
      </c>
      <c r="K645" s="33">
        <v>0</v>
      </c>
      <c r="L645" s="33">
        <v>0</v>
      </c>
      <c r="M645">
        <v>5</v>
      </c>
      <c r="N645">
        <v>0</v>
      </c>
      <c r="O645">
        <v>5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0</v>
      </c>
      <c r="AK645">
        <v>2</v>
      </c>
      <c r="AL645">
        <v>1</v>
      </c>
      <c r="AM645">
        <v>6</v>
      </c>
      <c r="AN645" s="22" t="s">
        <v>53</v>
      </c>
      <c r="AO645" s="22">
        <v>0</v>
      </c>
      <c r="AP645" s="22">
        <v>0</v>
      </c>
      <c r="AQ645" s="22">
        <v>0</v>
      </c>
      <c r="AR645" s="35">
        <v>0</v>
      </c>
      <c r="AS645" s="35">
        <v>0</v>
      </c>
      <c r="AT645" s="35">
        <v>5</v>
      </c>
      <c r="AU645" s="31" t="str">
        <f t="shared" ref="AU645:AU708" si="14">IF(AR645="","库存为"&amp;M645,IF(AS645=0,"库存为"&amp;M645,INT(M645/AR645)))</f>
        <v>库存为5</v>
      </c>
      <c r="AV645" s="36" t="str">
        <f>IFERROR(时间!$B$4+AU645,"上周无销量")</f>
        <v>上周无销量</v>
      </c>
    </row>
    <row r="646" spans="1:48">
      <c r="A646" s="20" t="s">
        <v>1467</v>
      </c>
      <c r="B646" t="s">
        <v>1468</v>
      </c>
      <c r="C646" t="s">
        <v>1427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2</v>
      </c>
      <c r="J646" s="33">
        <v>0</v>
      </c>
      <c r="K646" s="33">
        <v>0</v>
      </c>
      <c r="L646" s="33">
        <v>0</v>
      </c>
      <c r="M646">
        <v>2</v>
      </c>
      <c r="N646">
        <v>0</v>
      </c>
      <c r="O646">
        <v>2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1</v>
      </c>
      <c r="AK646">
        <v>2</v>
      </c>
      <c r="AL646">
        <v>2</v>
      </c>
      <c r="AM646">
        <v>3</v>
      </c>
      <c r="AN646" s="22">
        <v>0</v>
      </c>
      <c r="AO646" s="22">
        <v>0</v>
      </c>
      <c r="AP646" s="22">
        <v>0</v>
      </c>
      <c r="AQ646" s="22">
        <v>0</v>
      </c>
      <c r="AR646" s="35">
        <v>0</v>
      </c>
      <c r="AS646" s="35">
        <v>0</v>
      </c>
      <c r="AT646" s="35">
        <v>2</v>
      </c>
      <c r="AU646" s="31" t="str">
        <f t="shared" si="14"/>
        <v>库存为2</v>
      </c>
      <c r="AV646" s="36" t="str">
        <f>IFERROR(时间!$B$4+AU646,"上周无销量")</f>
        <v>上周无销量</v>
      </c>
    </row>
    <row r="647" spans="1:48">
      <c r="A647" s="20" t="s">
        <v>1469</v>
      </c>
      <c r="B647" t="s">
        <v>1470</v>
      </c>
      <c r="C647" t="s">
        <v>1427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2</v>
      </c>
      <c r="J647" s="33">
        <v>0</v>
      </c>
      <c r="K647" s="33">
        <v>0</v>
      </c>
      <c r="L647" s="33">
        <v>0</v>
      </c>
      <c r="M647">
        <v>2</v>
      </c>
      <c r="N647">
        <v>0</v>
      </c>
      <c r="O647">
        <v>2</v>
      </c>
      <c r="P647" t="s">
        <v>53</v>
      </c>
      <c r="Q647" t="s">
        <v>53</v>
      </c>
      <c r="R647" t="s">
        <v>53</v>
      </c>
      <c r="S647" t="s">
        <v>53</v>
      </c>
      <c r="T647" t="s">
        <v>53</v>
      </c>
      <c r="U647" t="s">
        <v>53</v>
      </c>
      <c r="V647" t="s">
        <v>53</v>
      </c>
      <c r="W647" t="s">
        <v>53</v>
      </c>
      <c r="X647" s="22" t="s">
        <v>53</v>
      </c>
      <c r="Y647" s="22" t="s">
        <v>53</v>
      </c>
      <c r="Z647" s="22" t="s">
        <v>53</v>
      </c>
      <c r="AA647" s="22" t="s">
        <v>53</v>
      </c>
      <c r="AB647" t="s">
        <v>53</v>
      </c>
      <c r="AC647" t="s">
        <v>53</v>
      </c>
      <c r="AD647" t="s">
        <v>53</v>
      </c>
      <c r="AE647" t="s">
        <v>53</v>
      </c>
      <c r="AF647" s="22" t="s">
        <v>53</v>
      </c>
      <c r="AG647" s="22" t="s">
        <v>53</v>
      </c>
      <c r="AH647" s="22" t="s">
        <v>53</v>
      </c>
      <c r="AI647" s="22" t="s">
        <v>53</v>
      </c>
      <c r="AJ647">
        <v>1</v>
      </c>
      <c r="AK647">
        <v>3</v>
      </c>
      <c r="AL647">
        <v>2</v>
      </c>
      <c r="AM647">
        <v>0</v>
      </c>
      <c r="AN647" s="22">
        <v>0</v>
      </c>
      <c r="AO647" s="22">
        <v>0</v>
      </c>
      <c r="AP647" s="22">
        <v>0</v>
      </c>
      <c r="AQ647" s="22" t="s">
        <v>53</v>
      </c>
      <c r="AR647" s="35">
        <v>0</v>
      </c>
      <c r="AS647" s="35">
        <v>0</v>
      </c>
      <c r="AT647" s="35">
        <v>2</v>
      </c>
      <c r="AU647" s="31" t="str">
        <f t="shared" si="14"/>
        <v>库存为2</v>
      </c>
      <c r="AV647" s="36" t="str">
        <f>IFERROR(时间!$B$4+AU647,"上周无销量")</f>
        <v>上周无销量</v>
      </c>
    </row>
    <row r="648" spans="1:48">
      <c r="A648" s="20" t="s">
        <v>1471</v>
      </c>
      <c r="B648" t="s">
        <v>1472</v>
      </c>
      <c r="C648" t="s">
        <v>1427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2</v>
      </c>
      <c r="J648" s="33">
        <v>0</v>
      </c>
      <c r="K648" s="33">
        <v>0</v>
      </c>
      <c r="L648" s="33">
        <v>0</v>
      </c>
      <c r="M648">
        <v>2</v>
      </c>
      <c r="N648">
        <v>0</v>
      </c>
      <c r="O648">
        <v>2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2</v>
      </c>
      <c r="AK648">
        <v>2</v>
      </c>
      <c r="AL648">
        <v>3</v>
      </c>
      <c r="AM648">
        <v>3</v>
      </c>
      <c r="AN648" s="22">
        <v>0</v>
      </c>
      <c r="AO648" s="22">
        <v>0</v>
      </c>
      <c r="AP648" s="22">
        <v>0</v>
      </c>
      <c r="AQ648" s="22">
        <v>0</v>
      </c>
      <c r="AR648" s="35">
        <v>0</v>
      </c>
      <c r="AS648" s="35">
        <v>0</v>
      </c>
      <c r="AT648" s="35">
        <v>2</v>
      </c>
      <c r="AU648" s="31" t="str">
        <f t="shared" si="14"/>
        <v>库存为2</v>
      </c>
      <c r="AV648" s="36" t="str">
        <f>IFERROR(时间!$B$4+AU648,"上周无销量")</f>
        <v>上周无销量</v>
      </c>
    </row>
    <row r="649" spans="1:48">
      <c r="A649" s="20" t="s">
        <v>1473</v>
      </c>
      <c r="B649" t="s">
        <v>1474</v>
      </c>
      <c r="C649" t="s">
        <v>1427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2</v>
      </c>
      <c r="J649" s="33">
        <v>0</v>
      </c>
      <c r="K649" s="33">
        <v>0</v>
      </c>
      <c r="L649" s="33">
        <v>0</v>
      </c>
      <c r="M649">
        <v>2</v>
      </c>
      <c r="N649">
        <v>0</v>
      </c>
      <c r="O649">
        <v>2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1</v>
      </c>
      <c r="AK649">
        <v>4</v>
      </c>
      <c r="AL649">
        <v>2</v>
      </c>
      <c r="AM649">
        <v>1</v>
      </c>
      <c r="AN649" s="22">
        <v>0</v>
      </c>
      <c r="AO649" s="22">
        <v>0</v>
      </c>
      <c r="AP649" s="22">
        <v>0</v>
      </c>
      <c r="AQ649" s="22">
        <v>0</v>
      </c>
      <c r="AR649" s="35">
        <v>0</v>
      </c>
      <c r="AS649" s="35">
        <v>0</v>
      </c>
      <c r="AT649" s="35">
        <v>2</v>
      </c>
      <c r="AU649" s="31" t="str">
        <f t="shared" si="14"/>
        <v>库存为2</v>
      </c>
      <c r="AV649" s="36" t="str">
        <f>IFERROR(时间!$B$4+AU649,"上周无销量")</f>
        <v>上周无销量</v>
      </c>
    </row>
    <row r="650" spans="1:48">
      <c r="A650" s="20" t="s">
        <v>1475</v>
      </c>
      <c r="B650" t="s">
        <v>1476</v>
      </c>
      <c r="C650" t="s">
        <v>1427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4</v>
      </c>
      <c r="J650" s="33">
        <v>0</v>
      </c>
      <c r="K650" s="33">
        <v>0</v>
      </c>
      <c r="L650" s="33">
        <v>0</v>
      </c>
      <c r="M650">
        <v>4</v>
      </c>
      <c r="N650">
        <v>0</v>
      </c>
      <c r="O650">
        <v>4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1</v>
      </c>
      <c r="AK650">
        <v>3</v>
      </c>
      <c r="AL650">
        <v>0</v>
      </c>
      <c r="AM650">
        <v>1</v>
      </c>
      <c r="AN650" s="22">
        <v>0</v>
      </c>
      <c r="AO650" s="22">
        <v>0</v>
      </c>
      <c r="AP650" s="22" t="s">
        <v>53</v>
      </c>
      <c r="AQ650" s="22">
        <v>0</v>
      </c>
      <c r="AR650" s="35">
        <v>0</v>
      </c>
      <c r="AS650" s="35">
        <v>0</v>
      </c>
      <c r="AT650" s="35">
        <v>4</v>
      </c>
      <c r="AU650" s="31" t="str">
        <f t="shared" si="14"/>
        <v>库存为4</v>
      </c>
      <c r="AV650" s="36" t="str">
        <f>IFERROR(时间!$B$4+AU650,"上周无销量")</f>
        <v>上周无销量</v>
      </c>
    </row>
    <row r="651" spans="1:48">
      <c r="A651" s="20" t="s">
        <v>1477</v>
      </c>
      <c r="B651" t="s">
        <v>1478</v>
      </c>
      <c r="C651" t="s">
        <v>1427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4</v>
      </c>
      <c r="J651" s="33">
        <v>0</v>
      </c>
      <c r="K651" s="33">
        <v>0</v>
      </c>
      <c r="L651" s="33">
        <v>0</v>
      </c>
      <c r="M651">
        <v>4</v>
      </c>
      <c r="N651">
        <v>0</v>
      </c>
      <c r="O651">
        <v>4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1</v>
      </c>
      <c r="AK651">
        <v>1</v>
      </c>
      <c r="AL651">
        <v>2</v>
      </c>
      <c r="AM651">
        <v>2</v>
      </c>
      <c r="AN651" s="22">
        <v>0</v>
      </c>
      <c r="AO651" s="22">
        <v>0</v>
      </c>
      <c r="AP651" s="22">
        <v>0</v>
      </c>
      <c r="AQ651" s="22">
        <v>0</v>
      </c>
      <c r="AR651" s="35">
        <v>0</v>
      </c>
      <c r="AS651" s="35">
        <v>0</v>
      </c>
      <c r="AT651" s="35">
        <v>4</v>
      </c>
      <c r="AU651" s="31" t="str">
        <f t="shared" si="14"/>
        <v>库存为4</v>
      </c>
      <c r="AV651" s="36" t="str">
        <f>IFERROR(时间!$B$4+AU651,"上周无销量")</f>
        <v>上周无销量</v>
      </c>
    </row>
    <row r="652" spans="1:48">
      <c r="A652" s="20" t="s">
        <v>1479</v>
      </c>
      <c r="B652" t="s">
        <v>1480</v>
      </c>
      <c r="C652" t="s">
        <v>1427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4</v>
      </c>
      <c r="J652" s="33">
        <v>0</v>
      </c>
      <c r="K652" s="33">
        <v>0</v>
      </c>
      <c r="L652" s="33">
        <v>0</v>
      </c>
      <c r="M652">
        <v>4</v>
      </c>
      <c r="N652">
        <v>0</v>
      </c>
      <c r="O652">
        <v>4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1</v>
      </c>
      <c r="AK652">
        <v>3</v>
      </c>
      <c r="AL652">
        <v>1</v>
      </c>
      <c r="AM652">
        <v>3</v>
      </c>
      <c r="AN652" s="22">
        <v>0</v>
      </c>
      <c r="AO652" s="22">
        <v>0</v>
      </c>
      <c r="AP652" s="22">
        <v>0</v>
      </c>
      <c r="AQ652" s="22">
        <v>0</v>
      </c>
      <c r="AR652" s="35">
        <v>0</v>
      </c>
      <c r="AS652" s="35">
        <v>0</v>
      </c>
      <c r="AT652" s="35">
        <v>4</v>
      </c>
      <c r="AU652" s="31" t="str">
        <f t="shared" si="14"/>
        <v>库存为4</v>
      </c>
      <c r="AV652" s="36" t="str">
        <f>IFERROR(时间!$B$4+AU652,"上周无销量")</f>
        <v>上周无销量</v>
      </c>
    </row>
    <row r="653" spans="1:48">
      <c r="A653" s="20" t="s">
        <v>1481</v>
      </c>
      <c r="B653" t="s">
        <v>1482</v>
      </c>
      <c r="C653" t="s">
        <v>1427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2</v>
      </c>
      <c r="J653" s="33">
        <v>0</v>
      </c>
      <c r="K653" s="33">
        <v>0</v>
      </c>
      <c r="L653" s="33">
        <v>0</v>
      </c>
      <c r="M653">
        <v>2</v>
      </c>
      <c r="N653">
        <v>0</v>
      </c>
      <c r="O653">
        <v>2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1</v>
      </c>
      <c r="AK653">
        <v>3</v>
      </c>
      <c r="AL653">
        <v>1</v>
      </c>
      <c r="AM653">
        <v>3</v>
      </c>
      <c r="AN653" s="22">
        <v>0</v>
      </c>
      <c r="AO653" s="22">
        <v>0</v>
      </c>
      <c r="AP653" s="22">
        <v>0</v>
      </c>
      <c r="AQ653" s="22">
        <v>0</v>
      </c>
      <c r="AR653" s="35">
        <v>0</v>
      </c>
      <c r="AS653" s="35">
        <v>0</v>
      </c>
      <c r="AT653" s="35">
        <v>2</v>
      </c>
      <c r="AU653" s="31" t="str">
        <f t="shared" si="14"/>
        <v>库存为2</v>
      </c>
      <c r="AV653" s="36" t="str">
        <f>IFERROR(时间!$B$4+AU653,"上周无销量")</f>
        <v>上周无销量</v>
      </c>
    </row>
    <row r="654" spans="1:48">
      <c r="A654" s="20" t="s">
        <v>1483</v>
      </c>
      <c r="B654" t="s">
        <v>1484</v>
      </c>
      <c r="C654" t="s">
        <v>1427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3</v>
      </c>
      <c r="J654" s="33">
        <v>0</v>
      </c>
      <c r="K654" s="33">
        <v>0</v>
      </c>
      <c r="L654" s="33">
        <v>0</v>
      </c>
      <c r="M654">
        <v>3</v>
      </c>
      <c r="N654">
        <v>0</v>
      </c>
      <c r="O654">
        <v>3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1</v>
      </c>
      <c r="AK654">
        <v>1</v>
      </c>
      <c r="AL654">
        <v>0</v>
      </c>
      <c r="AM654">
        <v>2</v>
      </c>
      <c r="AN654" s="22">
        <v>0</v>
      </c>
      <c r="AO654" s="22">
        <v>0</v>
      </c>
      <c r="AP654" s="22" t="s">
        <v>53</v>
      </c>
      <c r="AQ654" s="22">
        <v>0</v>
      </c>
      <c r="AR654" s="35">
        <v>0</v>
      </c>
      <c r="AS654" s="35">
        <v>0</v>
      </c>
      <c r="AT654" s="35">
        <v>3</v>
      </c>
      <c r="AU654" s="31" t="str">
        <f t="shared" si="14"/>
        <v>库存为3</v>
      </c>
      <c r="AV654" s="36" t="str">
        <f>IFERROR(时间!$B$4+AU654,"上周无销量")</f>
        <v>上周无销量</v>
      </c>
    </row>
    <row r="655" spans="1:48">
      <c r="A655" s="20" t="s">
        <v>1485</v>
      </c>
      <c r="B655" t="s">
        <v>1486</v>
      </c>
      <c r="C655" t="s">
        <v>1427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3</v>
      </c>
      <c r="J655" s="33">
        <v>0</v>
      </c>
      <c r="K655" s="33">
        <v>0</v>
      </c>
      <c r="L655" s="33">
        <v>0</v>
      </c>
      <c r="M655">
        <v>3</v>
      </c>
      <c r="N655">
        <v>0</v>
      </c>
      <c r="O655">
        <v>3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1</v>
      </c>
      <c r="AK655">
        <v>2</v>
      </c>
      <c r="AL655">
        <v>1</v>
      </c>
      <c r="AM655">
        <v>4</v>
      </c>
      <c r="AN655" s="22">
        <v>0</v>
      </c>
      <c r="AO655" s="22">
        <v>0</v>
      </c>
      <c r="AP655" s="22">
        <v>0</v>
      </c>
      <c r="AQ655" s="22">
        <v>0</v>
      </c>
      <c r="AR655" s="35">
        <v>0</v>
      </c>
      <c r="AS655" s="35">
        <v>0</v>
      </c>
      <c r="AT655" s="35">
        <v>3</v>
      </c>
      <c r="AU655" s="31" t="str">
        <f t="shared" si="14"/>
        <v>库存为3</v>
      </c>
      <c r="AV655" s="36" t="str">
        <f>IFERROR(时间!$B$4+AU655,"上周无销量")</f>
        <v>上周无销量</v>
      </c>
    </row>
    <row r="656" spans="1:48">
      <c r="A656" s="20" t="s">
        <v>1487</v>
      </c>
      <c r="B656" t="s">
        <v>1488</v>
      </c>
      <c r="C656" t="s">
        <v>1427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3</v>
      </c>
      <c r="J656" s="33">
        <v>0</v>
      </c>
      <c r="K656" s="33">
        <v>0</v>
      </c>
      <c r="L656" s="33">
        <v>0</v>
      </c>
      <c r="M656">
        <v>3</v>
      </c>
      <c r="N656">
        <v>0</v>
      </c>
      <c r="O656">
        <v>3</v>
      </c>
      <c r="P656" t="s">
        <v>53</v>
      </c>
      <c r="Q656" t="s">
        <v>53</v>
      </c>
      <c r="R656" t="s">
        <v>53</v>
      </c>
      <c r="S656" t="s">
        <v>53</v>
      </c>
      <c r="T656" t="s">
        <v>53</v>
      </c>
      <c r="U656" t="s">
        <v>53</v>
      </c>
      <c r="V656" t="s">
        <v>53</v>
      </c>
      <c r="W656" t="s">
        <v>53</v>
      </c>
      <c r="X656" s="22" t="s">
        <v>53</v>
      </c>
      <c r="Y656" s="22" t="s">
        <v>53</v>
      </c>
      <c r="Z656" s="22" t="s">
        <v>53</v>
      </c>
      <c r="AA656" s="22" t="s">
        <v>53</v>
      </c>
      <c r="AB656" t="s">
        <v>53</v>
      </c>
      <c r="AC656" t="s">
        <v>53</v>
      </c>
      <c r="AD656" t="s">
        <v>53</v>
      </c>
      <c r="AE656" t="s">
        <v>53</v>
      </c>
      <c r="AF656" s="22" t="s">
        <v>53</v>
      </c>
      <c r="AG656" s="22" t="s">
        <v>53</v>
      </c>
      <c r="AH656" s="22" t="s">
        <v>53</v>
      </c>
      <c r="AI656" s="22" t="s">
        <v>53</v>
      </c>
      <c r="AJ656">
        <v>0</v>
      </c>
      <c r="AK656">
        <v>0</v>
      </c>
      <c r="AL656">
        <v>3</v>
      </c>
      <c r="AM656">
        <v>3</v>
      </c>
      <c r="AN656" s="22" t="s">
        <v>53</v>
      </c>
      <c r="AO656" s="22" t="s">
        <v>53</v>
      </c>
      <c r="AP656" s="22">
        <v>0</v>
      </c>
      <c r="AQ656" s="22">
        <v>0</v>
      </c>
      <c r="AR656" s="35">
        <v>0</v>
      </c>
      <c r="AS656" s="35">
        <v>0</v>
      </c>
      <c r="AT656" s="35">
        <v>3</v>
      </c>
      <c r="AU656" s="31" t="str">
        <f t="shared" si="14"/>
        <v>库存为3</v>
      </c>
      <c r="AV656" s="36" t="str">
        <f>IFERROR(时间!$B$4+AU656,"上周无销量")</f>
        <v>上周无销量</v>
      </c>
    </row>
    <row r="657" spans="1:48">
      <c r="A657" s="20" t="s">
        <v>1489</v>
      </c>
      <c r="B657" t="s">
        <v>1490</v>
      </c>
      <c r="C657" t="s">
        <v>1427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2</v>
      </c>
      <c r="J657" s="33">
        <v>0</v>
      </c>
      <c r="K657" s="33">
        <v>0</v>
      </c>
      <c r="L657" s="33">
        <v>0</v>
      </c>
      <c r="M657">
        <v>2</v>
      </c>
      <c r="N657">
        <v>0</v>
      </c>
      <c r="O657">
        <v>2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0</v>
      </c>
      <c r="AK657">
        <v>4</v>
      </c>
      <c r="AL657">
        <v>1</v>
      </c>
      <c r="AM657">
        <v>4</v>
      </c>
      <c r="AN657" s="22" t="s">
        <v>53</v>
      </c>
      <c r="AO657" s="22">
        <v>0</v>
      </c>
      <c r="AP657" s="22">
        <v>0</v>
      </c>
      <c r="AQ657" s="22">
        <v>0</v>
      </c>
      <c r="AR657" s="35">
        <v>0</v>
      </c>
      <c r="AS657" s="35">
        <v>0</v>
      </c>
      <c r="AT657" s="35">
        <v>2</v>
      </c>
      <c r="AU657" s="31" t="str">
        <f t="shared" si="14"/>
        <v>库存为2</v>
      </c>
      <c r="AV657" s="36" t="str">
        <f>IFERROR(时间!$B$4+AU657,"上周无销量")</f>
        <v>上周无销量</v>
      </c>
    </row>
    <row r="658" spans="1:48">
      <c r="A658" s="20" t="s">
        <v>1491</v>
      </c>
      <c r="B658" t="s">
        <v>1492</v>
      </c>
      <c r="C658" t="s">
        <v>1173</v>
      </c>
      <c r="D658" s="31">
        <v>37</v>
      </c>
      <c r="E658" s="31">
        <v>1</v>
      </c>
      <c r="F658" s="31">
        <v>45</v>
      </c>
      <c r="G658" s="31">
        <v>25</v>
      </c>
      <c r="H658" s="32">
        <v>22.99</v>
      </c>
      <c r="I658">
        <v>123</v>
      </c>
      <c r="J658" s="33">
        <v>0</v>
      </c>
      <c r="K658" s="33">
        <v>0</v>
      </c>
      <c r="L658" s="33">
        <v>13</v>
      </c>
      <c r="M658">
        <v>136</v>
      </c>
      <c r="N658">
        <v>4</v>
      </c>
      <c r="O658">
        <v>0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461</v>
      </c>
      <c r="AK658">
        <v>24</v>
      </c>
      <c r="AL658">
        <v>750</v>
      </c>
      <c r="AM658">
        <v>399</v>
      </c>
      <c r="AN658" s="22">
        <v>0.0802603036876356</v>
      </c>
      <c r="AO658" s="22">
        <v>0.0416666666666667</v>
      </c>
      <c r="AP658" s="22">
        <v>0.06</v>
      </c>
      <c r="AQ658" s="22">
        <v>0.06265664160401</v>
      </c>
      <c r="AR658" s="35">
        <v>5.28571428571429</v>
      </c>
      <c r="AS658" s="35">
        <v>317.142857142857</v>
      </c>
      <c r="AT658" s="35">
        <v>-181.142857142857</v>
      </c>
      <c r="AU658" s="31">
        <f t="shared" si="14"/>
        <v>25</v>
      </c>
      <c r="AV658" s="36">
        <f>IFERROR(时间!$B$4+AU658,"上周无销量")</f>
        <v>43343</v>
      </c>
    </row>
    <row r="659" spans="1:48">
      <c r="A659" s="20" t="s">
        <v>1493</v>
      </c>
      <c r="B659" t="s">
        <v>1494</v>
      </c>
      <c r="C659" t="s">
        <v>1173</v>
      </c>
      <c r="D659" s="31">
        <v>35</v>
      </c>
      <c r="E659" s="31">
        <v>41</v>
      </c>
      <c r="F659" s="31">
        <v>152</v>
      </c>
      <c r="G659" s="31">
        <v>32</v>
      </c>
      <c r="H659" s="32">
        <v>22.9899999999999</v>
      </c>
      <c r="I659">
        <v>196</v>
      </c>
      <c r="J659" s="33">
        <v>200</v>
      </c>
      <c r="K659" s="33">
        <v>0</v>
      </c>
      <c r="L659" s="33">
        <v>1</v>
      </c>
      <c r="M659">
        <v>397</v>
      </c>
      <c r="N659">
        <v>4</v>
      </c>
      <c r="O659">
        <v>0</v>
      </c>
      <c r="P659">
        <v>729</v>
      </c>
      <c r="Q659">
        <v>277</v>
      </c>
      <c r="R659">
        <v>0</v>
      </c>
      <c r="S659">
        <v>0</v>
      </c>
      <c r="T659">
        <v>8</v>
      </c>
      <c r="U659">
        <v>7</v>
      </c>
      <c r="V659">
        <v>0</v>
      </c>
      <c r="W659">
        <v>0</v>
      </c>
      <c r="X659" s="22">
        <v>0.0109739368998628</v>
      </c>
      <c r="Y659" s="22">
        <v>0.0252707581227437</v>
      </c>
      <c r="Z659" s="22" t="s">
        <v>53</v>
      </c>
      <c r="AA659" s="22" t="s">
        <v>53</v>
      </c>
      <c r="AB659">
        <v>3.05</v>
      </c>
      <c r="AC659">
        <v>2.34</v>
      </c>
      <c r="AD659">
        <v>0</v>
      </c>
      <c r="AE659">
        <v>0</v>
      </c>
      <c r="AF659" s="22">
        <v>0.00379046790530046</v>
      </c>
      <c r="AG659" s="22">
        <v>0.00248252156292769</v>
      </c>
      <c r="AH659" s="22" t="s">
        <v>53</v>
      </c>
      <c r="AI659" s="22" t="s">
        <v>53</v>
      </c>
      <c r="AJ659">
        <v>517</v>
      </c>
      <c r="AK659">
        <v>660</v>
      </c>
      <c r="AL659">
        <v>1175</v>
      </c>
      <c r="AM659">
        <v>415</v>
      </c>
      <c r="AN659" s="22">
        <v>0.0676982591876209</v>
      </c>
      <c r="AO659" s="22">
        <v>0.0621212121212121</v>
      </c>
      <c r="AP659" s="22">
        <v>0.12936170212766</v>
      </c>
      <c r="AQ659" s="22">
        <v>0.0771084337349398</v>
      </c>
      <c r="AR659" s="35">
        <v>5</v>
      </c>
      <c r="AS659" s="35">
        <v>300</v>
      </c>
      <c r="AT659" s="35">
        <v>97</v>
      </c>
      <c r="AU659" s="31">
        <f t="shared" si="14"/>
        <v>79</v>
      </c>
      <c r="AV659" s="36">
        <f>IFERROR(时间!$B$4+AU659,"上周无销量")</f>
        <v>43397</v>
      </c>
    </row>
    <row r="660" spans="1:48">
      <c r="A660" s="20" t="s">
        <v>1495</v>
      </c>
      <c r="B660" t="s">
        <v>1496</v>
      </c>
      <c r="C660" t="s">
        <v>1497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0</v>
      </c>
      <c r="AK660">
        <v>0</v>
      </c>
      <c r="AL660">
        <v>0</v>
      </c>
      <c r="AM660">
        <v>0</v>
      </c>
      <c r="AN660" s="22" t="s">
        <v>53</v>
      </c>
      <c r="AO660" s="22" t="s">
        <v>53</v>
      </c>
      <c r="AP660" s="22" t="s">
        <v>53</v>
      </c>
      <c r="AQ660" s="22" t="s">
        <v>53</v>
      </c>
      <c r="AR660" s="35">
        <v>0</v>
      </c>
      <c r="AS660" s="35">
        <v>0</v>
      </c>
      <c r="AT660" s="35">
        <v>0</v>
      </c>
      <c r="AU660" s="31" t="str">
        <f t="shared" si="14"/>
        <v>库存为0</v>
      </c>
      <c r="AV660" s="36" t="str">
        <f>IFERROR(时间!$B$4+AU660,"上周无销量")</f>
        <v>上周无销量</v>
      </c>
    </row>
    <row r="661" spans="1:48">
      <c r="A661" s="20" t="s">
        <v>1498</v>
      </c>
      <c r="B661" t="s">
        <v>1499</v>
      </c>
      <c r="C661" t="s">
        <v>1497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0</v>
      </c>
      <c r="AK661">
        <v>0</v>
      </c>
      <c r="AL661">
        <v>0</v>
      </c>
      <c r="AM661">
        <v>0</v>
      </c>
      <c r="AN661" s="22" t="s">
        <v>53</v>
      </c>
      <c r="AO661" s="22" t="s">
        <v>53</v>
      </c>
      <c r="AP661" s="22" t="s">
        <v>53</v>
      </c>
      <c r="AQ661" s="22" t="s">
        <v>53</v>
      </c>
      <c r="AR661" s="35">
        <v>0</v>
      </c>
      <c r="AS661" s="35">
        <v>0</v>
      </c>
      <c r="AT661" s="35">
        <v>0</v>
      </c>
      <c r="AU661" s="31" t="str">
        <f t="shared" si="14"/>
        <v>库存为0</v>
      </c>
      <c r="AV661" s="36" t="str">
        <f>IFERROR(时间!$B$4+AU661,"上周无销量")</f>
        <v>上周无销量</v>
      </c>
    </row>
    <row r="662" spans="1:48">
      <c r="A662" s="20" t="s">
        <v>1500</v>
      </c>
      <c r="B662" t="s">
        <v>1501</v>
      </c>
      <c r="C662" t="s">
        <v>1497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0</v>
      </c>
      <c r="AK662">
        <v>0</v>
      </c>
      <c r="AL662">
        <v>0</v>
      </c>
      <c r="AM662">
        <v>0</v>
      </c>
      <c r="AN662" s="22" t="s">
        <v>53</v>
      </c>
      <c r="AO662" s="22" t="s">
        <v>53</v>
      </c>
      <c r="AP662" s="22" t="s">
        <v>53</v>
      </c>
      <c r="AQ662" s="22" t="s">
        <v>53</v>
      </c>
      <c r="AR662" s="35">
        <v>0</v>
      </c>
      <c r="AS662" s="35">
        <v>0</v>
      </c>
      <c r="AT662" s="35">
        <v>0</v>
      </c>
      <c r="AU662" s="31" t="str">
        <f t="shared" si="14"/>
        <v>库存为0</v>
      </c>
      <c r="AV662" s="36" t="str">
        <f>IFERROR(时间!$B$4+AU662,"上周无销量")</f>
        <v>上周无销量</v>
      </c>
    </row>
    <row r="663" spans="1:48">
      <c r="A663" s="20" t="s">
        <v>1502</v>
      </c>
      <c r="B663" t="s">
        <v>1503</v>
      </c>
      <c r="C663" t="s">
        <v>1497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0</v>
      </c>
      <c r="AK663">
        <v>0</v>
      </c>
      <c r="AL663">
        <v>0</v>
      </c>
      <c r="AM663">
        <v>0</v>
      </c>
      <c r="AN663" s="22" t="s">
        <v>53</v>
      </c>
      <c r="AO663" s="22" t="s">
        <v>53</v>
      </c>
      <c r="AP663" s="22" t="s">
        <v>53</v>
      </c>
      <c r="AQ663" s="22" t="s">
        <v>53</v>
      </c>
      <c r="AR663" s="35">
        <v>0</v>
      </c>
      <c r="AS663" s="35">
        <v>0</v>
      </c>
      <c r="AT663" s="35">
        <v>0</v>
      </c>
      <c r="AU663" s="31" t="str">
        <f t="shared" si="14"/>
        <v>库存为0</v>
      </c>
      <c r="AV663" s="36" t="str">
        <f>IFERROR(时间!$B$4+AU663,"上周无销量")</f>
        <v>上周无销量</v>
      </c>
    </row>
    <row r="664" spans="1:48">
      <c r="A664" s="20" t="s">
        <v>1504</v>
      </c>
      <c r="B664" t="s">
        <v>1505</v>
      </c>
      <c r="C664" t="s">
        <v>1506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1</v>
      </c>
      <c r="J664" s="33">
        <v>0</v>
      </c>
      <c r="K664" s="33">
        <v>0</v>
      </c>
      <c r="L664" s="33">
        <v>0</v>
      </c>
      <c r="M664">
        <v>1</v>
      </c>
      <c r="N664">
        <v>0</v>
      </c>
      <c r="O664">
        <v>1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0</v>
      </c>
      <c r="AK664">
        <v>0</v>
      </c>
      <c r="AL664">
        <v>0</v>
      </c>
      <c r="AM664">
        <v>1</v>
      </c>
      <c r="AN664" s="22" t="s">
        <v>53</v>
      </c>
      <c r="AO664" s="22" t="s">
        <v>53</v>
      </c>
      <c r="AP664" s="22" t="s">
        <v>53</v>
      </c>
      <c r="AQ664" s="22">
        <v>0</v>
      </c>
      <c r="AR664" s="35">
        <v>0</v>
      </c>
      <c r="AS664" s="35">
        <v>0</v>
      </c>
      <c r="AT664" s="35">
        <v>1</v>
      </c>
      <c r="AU664" s="31" t="str">
        <f t="shared" si="14"/>
        <v>库存为1</v>
      </c>
      <c r="AV664" s="36" t="str">
        <f>IFERROR(时间!$B$4+AU664,"上周无销量")</f>
        <v>上周无销量</v>
      </c>
    </row>
    <row r="665" spans="1:48">
      <c r="A665" s="20" t="s">
        <v>1507</v>
      </c>
      <c r="B665" t="s">
        <v>1508</v>
      </c>
      <c r="C665" t="s">
        <v>1506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1</v>
      </c>
      <c r="J665" s="33">
        <v>0</v>
      </c>
      <c r="K665" s="33">
        <v>0</v>
      </c>
      <c r="L665" s="33">
        <v>0</v>
      </c>
      <c r="M665">
        <v>1</v>
      </c>
      <c r="N665">
        <v>0</v>
      </c>
      <c r="O665">
        <v>1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0</v>
      </c>
      <c r="AK665">
        <v>0</v>
      </c>
      <c r="AL665">
        <v>0</v>
      </c>
      <c r="AM665">
        <v>1</v>
      </c>
      <c r="AN665" s="22" t="s">
        <v>53</v>
      </c>
      <c r="AO665" s="22" t="s">
        <v>53</v>
      </c>
      <c r="AP665" s="22" t="s">
        <v>53</v>
      </c>
      <c r="AQ665" s="22">
        <v>0</v>
      </c>
      <c r="AR665" s="35">
        <v>0</v>
      </c>
      <c r="AS665" s="35">
        <v>0</v>
      </c>
      <c r="AT665" s="35">
        <v>1</v>
      </c>
      <c r="AU665" s="31" t="str">
        <f t="shared" si="14"/>
        <v>库存为1</v>
      </c>
      <c r="AV665" s="36" t="str">
        <f>IFERROR(时间!$B$4+AU665,"上周无销量")</f>
        <v>上周无销量</v>
      </c>
    </row>
    <row r="666" spans="1:48">
      <c r="A666" s="20" t="s">
        <v>1509</v>
      </c>
      <c r="B666" t="s">
        <v>1510</v>
      </c>
      <c r="C666" t="s">
        <v>1511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1</v>
      </c>
      <c r="J666" s="33">
        <v>0</v>
      </c>
      <c r="K666" s="33">
        <v>0</v>
      </c>
      <c r="L666" s="33">
        <v>0</v>
      </c>
      <c r="M666">
        <v>1</v>
      </c>
      <c r="N666">
        <v>0</v>
      </c>
      <c r="O666">
        <v>1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2</v>
      </c>
      <c r="AK666">
        <v>3</v>
      </c>
      <c r="AL666">
        <v>7</v>
      </c>
      <c r="AM666">
        <v>3</v>
      </c>
      <c r="AN666" s="22">
        <v>0</v>
      </c>
      <c r="AO666" s="22">
        <v>0</v>
      </c>
      <c r="AP666" s="22">
        <v>0</v>
      </c>
      <c r="AQ666" s="22">
        <v>0</v>
      </c>
      <c r="AR666" s="35">
        <v>0</v>
      </c>
      <c r="AS666" s="35">
        <v>0</v>
      </c>
      <c r="AT666" s="35">
        <v>1</v>
      </c>
      <c r="AU666" s="31" t="str">
        <f t="shared" si="14"/>
        <v>库存为1</v>
      </c>
      <c r="AV666" s="36" t="str">
        <f>IFERROR(时间!$B$4+AU666,"上周无销量")</f>
        <v>上周无销量</v>
      </c>
    </row>
    <row r="667" spans="1:48">
      <c r="A667" s="20" t="s">
        <v>1512</v>
      </c>
      <c r="B667" t="s">
        <v>1513</v>
      </c>
      <c r="C667" t="s">
        <v>1511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53</v>
      </c>
      <c r="Q667" t="s">
        <v>53</v>
      </c>
      <c r="R667" t="s">
        <v>53</v>
      </c>
      <c r="S667" t="s">
        <v>53</v>
      </c>
      <c r="T667" t="s">
        <v>53</v>
      </c>
      <c r="U667" t="s">
        <v>53</v>
      </c>
      <c r="V667" t="s">
        <v>53</v>
      </c>
      <c r="W667" t="s">
        <v>53</v>
      </c>
      <c r="X667" s="22" t="s">
        <v>53</v>
      </c>
      <c r="Y667" s="22" t="s">
        <v>53</v>
      </c>
      <c r="Z667" s="22" t="s">
        <v>53</v>
      </c>
      <c r="AA667" s="22" t="s">
        <v>53</v>
      </c>
      <c r="AB667" t="s">
        <v>53</v>
      </c>
      <c r="AC667" t="s">
        <v>53</v>
      </c>
      <c r="AD667" t="s">
        <v>53</v>
      </c>
      <c r="AE667" t="s">
        <v>53</v>
      </c>
      <c r="AF667" s="22" t="s">
        <v>53</v>
      </c>
      <c r="AG667" s="22" t="s">
        <v>53</v>
      </c>
      <c r="AH667" s="22" t="s">
        <v>53</v>
      </c>
      <c r="AI667" s="22" t="s">
        <v>53</v>
      </c>
      <c r="AJ667">
        <v>0</v>
      </c>
      <c r="AK667">
        <v>0</v>
      </c>
      <c r="AL667">
        <v>0</v>
      </c>
      <c r="AM667">
        <v>0</v>
      </c>
      <c r="AN667" s="22" t="s">
        <v>53</v>
      </c>
      <c r="AO667" s="22" t="s">
        <v>53</v>
      </c>
      <c r="AP667" s="22" t="s">
        <v>53</v>
      </c>
      <c r="AQ667" s="22" t="s">
        <v>53</v>
      </c>
      <c r="AR667" s="35">
        <v>0</v>
      </c>
      <c r="AS667" s="35">
        <v>0</v>
      </c>
      <c r="AT667" s="35">
        <v>0</v>
      </c>
      <c r="AU667" s="31" t="str">
        <f t="shared" si="14"/>
        <v>库存为0</v>
      </c>
      <c r="AV667" s="36" t="str">
        <f>IFERROR(时间!$B$4+AU667,"上周无销量")</f>
        <v>上周无销量</v>
      </c>
    </row>
    <row r="668" spans="1:48">
      <c r="A668" s="20" t="s">
        <v>1514</v>
      </c>
      <c r="B668" t="s">
        <v>1515</v>
      </c>
      <c r="C668" t="s">
        <v>1511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3</v>
      </c>
      <c r="J668" s="33">
        <v>0</v>
      </c>
      <c r="K668" s="33">
        <v>0</v>
      </c>
      <c r="L668" s="33">
        <v>0</v>
      </c>
      <c r="M668">
        <v>3</v>
      </c>
      <c r="N668">
        <v>0</v>
      </c>
      <c r="O668">
        <v>3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4</v>
      </c>
      <c r="AK668">
        <v>7</v>
      </c>
      <c r="AL668">
        <v>4</v>
      </c>
      <c r="AM668">
        <v>3</v>
      </c>
      <c r="AN668" s="22">
        <v>0</v>
      </c>
      <c r="AO668" s="22">
        <v>0</v>
      </c>
      <c r="AP668" s="22">
        <v>0</v>
      </c>
      <c r="AQ668" s="22">
        <v>0</v>
      </c>
      <c r="AR668" s="35">
        <v>0</v>
      </c>
      <c r="AS668" s="35">
        <v>0</v>
      </c>
      <c r="AT668" s="35">
        <v>3</v>
      </c>
      <c r="AU668" s="31" t="str">
        <f t="shared" si="14"/>
        <v>库存为3</v>
      </c>
      <c r="AV668" s="36" t="str">
        <f>IFERROR(时间!$B$4+AU668,"上周无销量")</f>
        <v>上周无销量</v>
      </c>
    </row>
    <row r="669" spans="1:48">
      <c r="A669" s="20" t="s">
        <v>1516</v>
      </c>
      <c r="B669" t="s">
        <v>1517</v>
      </c>
      <c r="C669" t="s">
        <v>1511</v>
      </c>
      <c r="D669" s="31">
        <v>1</v>
      </c>
      <c r="E669" s="31">
        <v>0</v>
      </c>
      <c r="F669" s="31">
        <v>0</v>
      </c>
      <c r="G669" s="31">
        <v>0</v>
      </c>
      <c r="H669" s="32">
        <v>16.9</v>
      </c>
      <c r="I669">
        <v>1</v>
      </c>
      <c r="J669" s="33">
        <v>0</v>
      </c>
      <c r="K669" s="33">
        <v>0</v>
      </c>
      <c r="L669" s="33">
        <v>0</v>
      </c>
      <c r="M669">
        <v>1</v>
      </c>
      <c r="N669">
        <v>0</v>
      </c>
      <c r="O669">
        <v>2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22</v>
      </c>
      <c r="AK669">
        <v>29</v>
      </c>
      <c r="AL669">
        <v>20</v>
      </c>
      <c r="AM669">
        <v>20</v>
      </c>
      <c r="AN669" s="22">
        <v>0.0454545454545455</v>
      </c>
      <c r="AO669" s="22">
        <v>0</v>
      </c>
      <c r="AP669" s="22">
        <v>0</v>
      </c>
      <c r="AQ669" s="22">
        <v>0</v>
      </c>
      <c r="AR669" s="35">
        <v>0.142857142857143</v>
      </c>
      <c r="AS669" s="35">
        <v>8.57142857142857</v>
      </c>
      <c r="AT669" s="35">
        <v>-7.57142857142857</v>
      </c>
      <c r="AU669" s="31">
        <f t="shared" si="14"/>
        <v>7</v>
      </c>
      <c r="AV669" s="36">
        <f>IFERROR(时间!$B$4+AU669,"上周无销量")</f>
        <v>43325</v>
      </c>
    </row>
    <row r="670" spans="1:48">
      <c r="A670" s="20" t="s">
        <v>1518</v>
      </c>
      <c r="B670" t="s">
        <v>1519</v>
      </c>
      <c r="C670" t="s">
        <v>1520</v>
      </c>
      <c r="D670" s="31">
        <v>1</v>
      </c>
      <c r="E670" s="31">
        <v>0</v>
      </c>
      <c r="F670" s="31">
        <v>0</v>
      </c>
      <c r="G670" s="31">
        <v>0</v>
      </c>
      <c r="H670" s="32">
        <v>14.58</v>
      </c>
      <c r="I670">
        <v>3</v>
      </c>
      <c r="J670" s="33">
        <v>0</v>
      </c>
      <c r="K670" s="33">
        <v>0</v>
      </c>
      <c r="L670" s="33">
        <v>1</v>
      </c>
      <c r="M670">
        <v>4</v>
      </c>
      <c r="N670">
        <v>1</v>
      </c>
      <c r="O670">
        <v>2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21</v>
      </c>
      <c r="AK670">
        <v>22</v>
      </c>
      <c r="AL670">
        <v>21</v>
      </c>
      <c r="AM670">
        <v>4</v>
      </c>
      <c r="AN670" s="22">
        <v>0.0476190476190476</v>
      </c>
      <c r="AO670" s="22">
        <v>0</v>
      </c>
      <c r="AP670" s="22">
        <v>0</v>
      </c>
      <c r="AQ670" s="22">
        <v>0</v>
      </c>
      <c r="AR670" s="35">
        <v>0.142857142857143</v>
      </c>
      <c r="AS670" s="35">
        <v>8.57142857142857</v>
      </c>
      <c r="AT670" s="35">
        <v>-4.57142857142857</v>
      </c>
      <c r="AU670" s="31">
        <f t="shared" si="14"/>
        <v>28</v>
      </c>
      <c r="AV670" s="36">
        <f>IFERROR(时间!$B$4+AU670,"上周无销量")</f>
        <v>43346</v>
      </c>
    </row>
    <row r="671" spans="1:48">
      <c r="A671" s="20" t="s">
        <v>1521</v>
      </c>
      <c r="B671" t="s">
        <v>1522</v>
      </c>
      <c r="C671" t="s">
        <v>1520</v>
      </c>
      <c r="D671" s="31">
        <v>0</v>
      </c>
      <c r="E671" s="31">
        <v>3</v>
      </c>
      <c r="F671" s="31">
        <v>0</v>
      </c>
      <c r="G671" s="31">
        <v>1</v>
      </c>
      <c r="H671" s="32">
        <v>25.9</v>
      </c>
      <c r="I671">
        <v>7</v>
      </c>
      <c r="J671" s="33">
        <v>0</v>
      </c>
      <c r="K671" s="33">
        <v>0</v>
      </c>
      <c r="L671" s="33">
        <v>0</v>
      </c>
      <c r="M671">
        <v>7</v>
      </c>
      <c r="N671">
        <v>0</v>
      </c>
      <c r="O671">
        <v>4</v>
      </c>
      <c r="P671">
        <v>96</v>
      </c>
      <c r="Q671">
        <v>112</v>
      </c>
      <c r="R671">
        <v>115</v>
      </c>
      <c r="S671">
        <v>113</v>
      </c>
      <c r="T671">
        <v>0</v>
      </c>
      <c r="U671">
        <v>1</v>
      </c>
      <c r="V671">
        <v>1</v>
      </c>
      <c r="W671">
        <v>0</v>
      </c>
      <c r="X671" s="22">
        <v>0</v>
      </c>
      <c r="Y671" s="22">
        <v>0.00892857142857143</v>
      </c>
      <c r="Z671" s="22">
        <v>0.00869565217391304</v>
      </c>
      <c r="AA671" s="22">
        <v>0</v>
      </c>
      <c r="AB671">
        <v>0</v>
      </c>
      <c r="AC671">
        <v>0.21</v>
      </c>
      <c r="AD671">
        <v>0.24</v>
      </c>
      <c r="AE671">
        <v>0</v>
      </c>
      <c r="AF671" s="22" t="s">
        <v>53</v>
      </c>
      <c r="AG671" s="22">
        <v>0.0027027027027027</v>
      </c>
      <c r="AH671" s="22" t="s">
        <v>1523</v>
      </c>
      <c r="AI671" s="22" t="s">
        <v>53</v>
      </c>
      <c r="AJ671">
        <v>21</v>
      </c>
      <c r="AK671">
        <v>38</v>
      </c>
      <c r="AL671">
        <v>38</v>
      </c>
      <c r="AM671">
        <v>4</v>
      </c>
      <c r="AN671" s="22">
        <v>0</v>
      </c>
      <c r="AO671" s="22">
        <v>0.0789473684210526</v>
      </c>
      <c r="AP671" s="22">
        <v>0</v>
      </c>
      <c r="AQ671" s="22">
        <v>0.25</v>
      </c>
      <c r="AR671" s="35">
        <v>0</v>
      </c>
      <c r="AS671" s="35">
        <v>0</v>
      </c>
      <c r="AT671" s="35">
        <v>7</v>
      </c>
      <c r="AU671" s="31" t="str">
        <f t="shared" si="14"/>
        <v>库存为7</v>
      </c>
      <c r="AV671" s="36" t="str">
        <f>IFERROR(时间!$B$4+AU671,"上周无销量")</f>
        <v>上周无销量</v>
      </c>
    </row>
    <row r="672" spans="1:48">
      <c r="A672" s="20" t="s">
        <v>1524</v>
      </c>
      <c r="B672" t="s">
        <v>1525</v>
      </c>
      <c r="C672" t="s">
        <v>1520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8</v>
      </c>
      <c r="J672" s="33">
        <v>0</v>
      </c>
      <c r="K672" s="33">
        <v>0</v>
      </c>
      <c r="L672" s="33">
        <v>0</v>
      </c>
      <c r="M672">
        <v>8</v>
      </c>
      <c r="N672">
        <v>0</v>
      </c>
      <c r="O672">
        <v>8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3</v>
      </c>
      <c r="AK672">
        <v>4</v>
      </c>
      <c r="AL672">
        <v>8</v>
      </c>
      <c r="AM672">
        <v>3</v>
      </c>
      <c r="AN672" s="22">
        <v>0</v>
      </c>
      <c r="AO672" s="22">
        <v>0</v>
      </c>
      <c r="AP672" s="22">
        <v>0</v>
      </c>
      <c r="AQ672" s="22">
        <v>0</v>
      </c>
      <c r="AR672" s="35">
        <v>0</v>
      </c>
      <c r="AS672" s="35">
        <v>0</v>
      </c>
      <c r="AT672" s="35">
        <v>8</v>
      </c>
      <c r="AU672" s="31" t="str">
        <f t="shared" si="14"/>
        <v>库存为8</v>
      </c>
      <c r="AV672" s="36" t="str">
        <f>IFERROR(时间!$B$4+AU672,"上周无销量")</f>
        <v>上周无销量</v>
      </c>
    </row>
    <row r="673" spans="1:48">
      <c r="A673" s="20" t="s">
        <v>1526</v>
      </c>
      <c r="B673" t="s">
        <v>1527</v>
      </c>
      <c r="C673" t="s">
        <v>1520</v>
      </c>
      <c r="D673" s="31">
        <v>0</v>
      </c>
      <c r="E673" s="31">
        <v>0</v>
      </c>
      <c r="F673" s="31">
        <v>0</v>
      </c>
      <c r="G673" s="31">
        <v>1</v>
      </c>
      <c r="H673" s="32">
        <v>29.9</v>
      </c>
      <c r="I673">
        <v>8</v>
      </c>
      <c r="J673" s="33">
        <v>0</v>
      </c>
      <c r="K673" s="33">
        <v>0</v>
      </c>
      <c r="L673" s="33">
        <v>0</v>
      </c>
      <c r="M673">
        <v>8</v>
      </c>
      <c r="N673">
        <v>0</v>
      </c>
      <c r="O673">
        <v>8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17</v>
      </c>
      <c r="AK673">
        <v>17</v>
      </c>
      <c r="AL673">
        <v>30</v>
      </c>
      <c r="AM673">
        <v>1</v>
      </c>
      <c r="AN673" s="22">
        <v>0</v>
      </c>
      <c r="AO673" s="22">
        <v>0</v>
      </c>
      <c r="AP673" s="22">
        <v>0</v>
      </c>
      <c r="AQ673" s="22">
        <v>1</v>
      </c>
      <c r="AR673" s="35">
        <v>0</v>
      </c>
      <c r="AS673" s="35">
        <v>0</v>
      </c>
      <c r="AT673" s="35">
        <v>8</v>
      </c>
      <c r="AU673" s="31" t="str">
        <f t="shared" si="14"/>
        <v>库存为8</v>
      </c>
      <c r="AV673" s="36" t="str">
        <f>IFERROR(时间!$B$4+AU673,"上周无销量")</f>
        <v>上周无销量</v>
      </c>
    </row>
    <row r="674" spans="1:48">
      <c r="A674" s="20" t="s">
        <v>1528</v>
      </c>
      <c r="B674" t="s">
        <v>1529</v>
      </c>
      <c r="C674" t="s">
        <v>1520</v>
      </c>
      <c r="D674" s="31">
        <v>2</v>
      </c>
      <c r="E674" s="31">
        <v>0</v>
      </c>
      <c r="F674" s="31">
        <v>1</v>
      </c>
      <c r="G674" s="31">
        <v>0</v>
      </c>
      <c r="H674" s="32">
        <v>25.54</v>
      </c>
      <c r="I674">
        <v>7</v>
      </c>
      <c r="J674" s="33">
        <v>0</v>
      </c>
      <c r="K674" s="33">
        <v>0</v>
      </c>
      <c r="L674" s="33">
        <v>0</v>
      </c>
      <c r="M674">
        <v>7</v>
      </c>
      <c r="N674">
        <v>0</v>
      </c>
      <c r="O674">
        <v>4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5</v>
      </c>
      <c r="AK674">
        <v>7</v>
      </c>
      <c r="AL674">
        <v>6</v>
      </c>
      <c r="AM674">
        <v>2</v>
      </c>
      <c r="AN674" s="22">
        <v>0.4</v>
      </c>
      <c r="AO674" s="22">
        <v>0</v>
      </c>
      <c r="AP674" s="22">
        <v>0.166666666666667</v>
      </c>
      <c r="AQ674" s="22">
        <v>0</v>
      </c>
      <c r="AR674" s="35">
        <v>0.285714285714286</v>
      </c>
      <c r="AS674" s="35">
        <v>17.1428571428571</v>
      </c>
      <c r="AT674" s="35">
        <v>-10.1428571428571</v>
      </c>
      <c r="AU674" s="31">
        <f t="shared" si="14"/>
        <v>24</v>
      </c>
      <c r="AV674" s="36">
        <f>IFERROR(时间!$B$4+AU674,"上周无销量")</f>
        <v>43342</v>
      </c>
    </row>
    <row r="675" spans="1:48">
      <c r="A675" s="20" t="s">
        <v>1530</v>
      </c>
      <c r="B675" t="s">
        <v>1531</v>
      </c>
      <c r="C675" t="s">
        <v>1520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9</v>
      </c>
      <c r="J675" s="33">
        <v>0</v>
      </c>
      <c r="K675" s="33">
        <v>0</v>
      </c>
      <c r="L675" s="33">
        <v>0</v>
      </c>
      <c r="M675">
        <v>9</v>
      </c>
      <c r="N675">
        <v>0</v>
      </c>
      <c r="O675">
        <v>9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8</v>
      </c>
      <c r="AK675">
        <v>3</v>
      </c>
      <c r="AL675">
        <v>8</v>
      </c>
      <c r="AM675">
        <v>2</v>
      </c>
      <c r="AN675" s="22">
        <v>0</v>
      </c>
      <c r="AO675" s="22">
        <v>0</v>
      </c>
      <c r="AP675" s="22">
        <v>0</v>
      </c>
      <c r="AQ675" s="22">
        <v>0</v>
      </c>
      <c r="AR675" s="35">
        <v>0</v>
      </c>
      <c r="AS675" s="35">
        <v>0</v>
      </c>
      <c r="AT675" s="35">
        <v>9</v>
      </c>
      <c r="AU675" s="31" t="str">
        <f t="shared" si="14"/>
        <v>库存为9</v>
      </c>
      <c r="AV675" s="36" t="str">
        <f>IFERROR(时间!$B$4+AU675,"上周无销量")</f>
        <v>上周无销量</v>
      </c>
    </row>
    <row r="676" spans="1:48">
      <c r="A676" s="20" t="s">
        <v>1532</v>
      </c>
      <c r="B676" t="s">
        <v>1533</v>
      </c>
      <c r="C676" t="s">
        <v>1520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6</v>
      </c>
      <c r="J676" s="33">
        <v>0</v>
      </c>
      <c r="K676" s="33">
        <v>0</v>
      </c>
      <c r="L676" s="33">
        <v>0</v>
      </c>
      <c r="M676">
        <v>6</v>
      </c>
      <c r="N676">
        <v>0</v>
      </c>
      <c r="O676">
        <v>6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7</v>
      </c>
      <c r="AK676">
        <v>7</v>
      </c>
      <c r="AL676">
        <v>7</v>
      </c>
      <c r="AM676">
        <v>3</v>
      </c>
      <c r="AN676" s="22">
        <v>0</v>
      </c>
      <c r="AO676" s="22">
        <v>0</v>
      </c>
      <c r="AP676" s="22">
        <v>0</v>
      </c>
      <c r="AQ676" s="22">
        <v>0</v>
      </c>
      <c r="AR676" s="35">
        <v>0</v>
      </c>
      <c r="AS676" s="35">
        <v>0</v>
      </c>
      <c r="AT676" s="35">
        <v>6</v>
      </c>
      <c r="AU676" s="31" t="str">
        <f t="shared" si="14"/>
        <v>库存为6</v>
      </c>
      <c r="AV676" s="36" t="str">
        <f>IFERROR(时间!$B$4+AU676,"上周无销量")</f>
        <v>上周无销量</v>
      </c>
    </row>
    <row r="677" spans="1:48">
      <c r="A677" s="20" t="s">
        <v>1534</v>
      </c>
      <c r="B677" t="s">
        <v>1535</v>
      </c>
      <c r="C677" t="s">
        <v>1520</v>
      </c>
      <c r="D677" s="31">
        <v>2</v>
      </c>
      <c r="E677" s="31">
        <v>2</v>
      </c>
      <c r="F677" s="31">
        <v>1</v>
      </c>
      <c r="G677" s="31">
        <v>1</v>
      </c>
      <c r="H677" s="32">
        <v>6.9</v>
      </c>
      <c r="I677">
        <v>5</v>
      </c>
      <c r="J677" s="33">
        <v>0</v>
      </c>
      <c r="K677" s="33">
        <v>0</v>
      </c>
      <c r="L677" s="33">
        <v>3</v>
      </c>
      <c r="M677">
        <v>8</v>
      </c>
      <c r="N677">
        <v>0</v>
      </c>
      <c r="O677">
        <v>0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41</v>
      </c>
      <c r="AK677">
        <v>52</v>
      </c>
      <c r="AL677">
        <v>41</v>
      </c>
      <c r="AM677">
        <v>15</v>
      </c>
      <c r="AN677" s="22">
        <v>0.0487804878048781</v>
      </c>
      <c r="AO677" s="22">
        <v>0.0384615384615385</v>
      </c>
      <c r="AP677" s="22">
        <v>0.024390243902439</v>
      </c>
      <c r="AQ677" s="22">
        <v>0.0666666666666667</v>
      </c>
      <c r="AR677" s="35">
        <v>0.285714285714286</v>
      </c>
      <c r="AS677" s="35">
        <v>17.1428571428571</v>
      </c>
      <c r="AT677" s="35">
        <v>-9.14285714285714</v>
      </c>
      <c r="AU677" s="31">
        <f t="shared" si="14"/>
        <v>28</v>
      </c>
      <c r="AV677" s="36">
        <f>IFERROR(时间!$B$4+AU677,"上周无销量")</f>
        <v>43346</v>
      </c>
    </row>
    <row r="678" spans="1:48">
      <c r="A678" s="20" t="s">
        <v>1536</v>
      </c>
      <c r="B678" t="s">
        <v>1537</v>
      </c>
      <c r="C678" t="s">
        <v>1520</v>
      </c>
      <c r="D678" s="31">
        <v>0</v>
      </c>
      <c r="E678" s="31">
        <v>1</v>
      </c>
      <c r="F678" s="31">
        <v>0</v>
      </c>
      <c r="G678" s="31">
        <v>1</v>
      </c>
      <c r="H678" s="32">
        <v>10.9</v>
      </c>
      <c r="I678">
        <v>17</v>
      </c>
      <c r="J678" s="33">
        <v>0</v>
      </c>
      <c r="K678" s="33">
        <v>0</v>
      </c>
      <c r="L678" s="33">
        <v>0</v>
      </c>
      <c r="M678">
        <v>17</v>
      </c>
      <c r="N678">
        <v>0</v>
      </c>
      <c r="O678">
        <v>0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7</v>
      </c>
      <c r="AK678">
        <v>9</v>
      </c>
      <c r="AL678">
        <v>10</v>
      </c>
      <c r="AM678">
        <v>3</v>
      </c>
      <c r="AN678" s="22">
        <v>0</v>
      </c>
      <c r="AO678" s="22">
        <v>0.111111111111111</v>
      </c>
      <c r="AP678" s="22">
        <v>0</v>
      </c>
      <c r="AQ678" s="22">
        <v>0.333333333333333</v>
      </c>
      <c r="AR678" s="35">
        <v>0</v>
      </c>
      <c r="AS678" s="35">
        <v>0</v>
      </c>
      <c r="AT678" s="35">
        <v>17</v>
      </c>
      <c r="AU678" s="31" t="str">
        <f t="shared" si="14"/>
        <v>库存为17</v>
      </c>
      <c r="AV678" s="36" t="str">
        <f>IFERROR(时间!$B$4+AU678,"上周无销量")</f>
        <v>上周无销量</v>
      </c>
    </row>
    <row r="679" spans="1:48">
      <c r="A679" s="20" t="s">
        <v>1538</v>
      </c>
      <c r="B679" t="s">
        <v>1539</v>
      </c>
      <c r="C679" t="s">
        <v>1540</v>
      </c>
      <c r="D679" s="31">
        <v>0</v>
      </c>
      <c r="E679" s="31">
        <v>0</v>
      </c>
      <c r="F679" s="31">
        <v>0</v>
      </c>
      <c r="G679" s="31">
        <v>1</v>
      </c>
      <c r="H679" s="32">
        <v>19.9</v>
      </c>
      <c r="I679">
        <v>3</v>
      </c>
      <c r="J679" s="33">
        <v>0</v>
      </c>
      <c r="K679" s="33">
        <v>0</v>
      </c>
      <c r="L679" s="33">
        <v>0</v>
      </c>
      <c r="M679">
        <v>3</v>
      </c>
      <c r="N679">
        <v>0</v>
      </c>
      <c r="O679">
        <v>3</v>
      </c>
      <c r="P679">
        <v>203</v>
      </c>
      <c r="Q679">
        <v>167</v>
      </c>
      <c r="R679">
        <v>30</v>
      </c>
      <c r="S679">
        <v>0</v>
      </c>
      <c r="T679">
        <v>2</v>
      </c>
      <c r="U679">
        <v>1</v>
      </c>
      <c r="V679">
        <v>0</v>
      </c>
      <c r="W679">
        <v>0</v>
      </c>
      <c r="X679" s="22">
        <v>0.00985221674876847</v>
      </c>
      <c r="Y679" s="22">
        <v>0.00598802395209581</v>
      </c>
      <c r="Z679" s="22">
        <v>0</v>
      </c>
      <c r="AA679" s="22" t="s">
        <v>53</v>
      </c>
      <c r="AB679">
        <v>0.96</v>
      </c>
      <c r="AC679">
        <v>0.02</v>
      </c>
      <c r="AD679">
        <v>0</v>
      </c>
      <c r="AE679">
        <v>0</v>
      </c>
      <c r="AF679" s="22" t="s">
        <v>1541</v>
      </c>
      <c r="AG679" s="22" t="s">
        <v>1542</v>
      </c>
      <c r="AH679" s="22" t="s">
        <v>53</v>
      </c>
      <c r="AI679" s="22" t="s">
        <v>53</v>
      </c>
      <c r="AJ679">
        <v>5</v>
      </c>
      <c r="AK679">
        <v>4</v>
      </c>
      <c r="AL679">
        <v>7</v>
      </c>
      <c r="AM679">
        <v>1</v>
      </c>
      <c r="AN679" s="22">
        <v>0</v>
      </c>
      <c r="AO679" s="22">
        <v>0</v>
      </c>
      <c r="AP679" s="22">
        <v>0</v>
      </c>
      <c r="AQ679" s="22">
        <v>1</v>
      </c>
      <c r="AR679" s="35">
        <v>0</v>
      </c>
      <c r="AS679" s="35">
        <v>0</v>
      </c>
      <c r="AT679" s="35">
        <v>3</v>
      </c>
      <c r="AU679" s="31" t="str">
        <f t="shared" si="14"/>
        <v>库存为3</v>
      </c>
      <c r="AV679" s="36" t="str">
        <f>IFERROR(时间!$B$4+AU679,"上周无销量")</f>
        <v>上周无销量</v>
      </c>
    </row>
    <row r="680" spans="1:48">
      <c r="A680" s="20" t="s">
        <v>1543</v>
      </c>
      <c r="B680" t="s">
        <v>1544</v>
      </c>
      <c r="C680" t="s">
        <v>1540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0</v>
      </c>
      <c r="AK680">
        <v>0</v>
      </c>
      <c r="AL680">
        <v>0</v>
      </c>
      <c r="AM680">
        <v>0</v>
      </c>
      <c r="AN680" s="22" t="s">
        <v>53</v>
      </c>
      <c r="AO680" s="22" t="s">
        <v>53</v>
      </c>
      <c r="AP680" s="22" t="s">
        <v>53</v>
      </c>
      <c r="AQ680" s="22" t="s">
        <v>53</v>
      </c>
      <c r="AR680" s="35">
        <v>0</v>
      </c>
      <c r="AS680" s="35">
        <v>0</v>
      </c>
      <c r="AT680" s="35">
        <v>0</v>
      </c>
      <c r="AU680" s="31" t="str">
        <f t="shared" si="14"/>
        <v>库存为0</v>
      </c>
      <c r="AV680" s="36" t="str">
        <f>IFERROR(时间!$B$4+AU680,"上周无销量")</f>
        <v>上周无销量</v>
      </c>
    </row>
    <row r="681" spans="1:48">
      <c r="A681" s="20" t="s">
        <v>1545</v>
      </c>
      <c r="B681" t="s">
        <v>1546</v>
      </c>
      <c r="C681" t="s">
        <v>1540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10</v>
      </c>
      <c r="J681" s="33">
        <v>0</v>
      </c>
      <c r="K681" s="33">
        <v>0</v>
      </c>
      <c r="L681" s="33">
        <v>0</v>
      </c>
      <c r="M681">
        <v>10</v>
      </c>
      <c r="N681">
        <v>0</v>
      </c>
      <c r="O681">
        <v>10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2</v>
      </c>
      <c r="AK681">
        <v>1</v>
      </c>
      <c r="AL681">
        <v>2</v>
      </c>
      <c r="AM681">
        <v>0</v>
      </c>
      <c r="AN681" s="22">
        <v>0</v>
      </c>
      <c r="AO681" s="22">
        <v>0</v>
      </c>
      <c r="AP681" s="22">
        <v>0</v>
      </c>
      <c r="AQ681" s="22" t="s">
        <v>53</v>
      </c>
      <c r="AR681" s="35">
        <v>0</v>
      </c>
      <c r="AS681" s="35">
        <v>0</v>
      </c>
      <c r="AT681" s="35">
        <v>10</v>
      </c>
      <c r="AU681" s="31" t="str">
        <f t="shared" si="14"/>
        <v>库存为10</v>
      </c>
      <c r="AV681" s="36" t="str">
        <f>IFERROR(时间!$B$4+AU681,"上周无销量")</f>
        <v>上周无销量</v>
      </c>
    </row>
    <row r="682" spans="1:48">
      <c r="A682" s="20" t="s">
        <v>1547</v>
      </c>
      <c r="B682" t="s">
        <v>1548</v>
      </c>
      <c r="C682" t="s">
        <v>1540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10</v>
      </c>
      <c r="J682" s="33">
        <v>0</v>
      </c>
      <c r="K682" s="33">
        <v>0</v>
      </c>
      <c r="L682" s="33">
        <v>0</v>
      </c>
      <c r="M682">
        <v>10</v>
      </c>
      <c r="N682">
        <v>0</v>
      </c>
      <c r="O682">
        <v>10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3</v>
      </c>
      <c r="AK682">
        <v>2</v>
      </c>
      <c r="AL682">
        <v>0</v>
      </c>
      <c r="AM682">
        <v>0</v>
      </c>
      <c r="AN682" s="22">
        <v>0</v>
      </c>
      <c r="AO682" s="22">
        <v>0</v>
      </c>
      <c r="AP682" s="22" t="s">
        <v>53</v>
      </c>
      <c r="AQ682" s="22" t="s">
        <v>53</v>
      </c>
      <c r="AR682" s="35">
        <v>0</v>
      </c>
      <c r="AS682" s="35">
        <v>0</v>
      </c>
      <c r="AT682" s="35">
        <v>10</v>
      </c>
      <c r="AU682" s="31" t="str">
        <f t="shared" si="14"/>
        <v>库存为10</v>
      </c>
      <c r="AV682" s="36" t="str">
        <f>IFERROR(时间!$B$4+AU682,"上周无销量")</f>
        <v>上周无销量</v>
      </c>
    </row>
    <row r="683" spans="1:48">
      <c r="A683" s="20" t="s">
        <v>1549</v>
      </c>
      <c r="B683" t="s">
        <v>1550</v>
      </c>
      <c r="C683" t="s">
        <v>1551</v>
      </c>
      <c r="D683" s="31">
        <v>2</v>
      </c>
      <c r="E683" s="31">
        <v>1</v>
      </c>
      <c r="F683" s="31">
        <v>1</v>
      </c>
      <c r="G683" s="31">
        <v>2</v>
      </c>
      <c r="H683" s="32">
        <v>13.9</v>
      </c>
      <c r="I683">
        <v>5</v>
      </c>
      <c r="J683" s="33">
        <v>0</v>
      </c>
      <c r="K683" s="33">
        <v>0</v>
      </c>
      <c r="L683" s="33">
        <v>3</v>
      </c>
      <c r="M683">
        <v>8</v>
      </c>
      <c r="N683">
        <v>0</v>
      </c>
      <c r="O683">
        <v>0</v>
      </c>
      <c r="P683">
        <v>88</v>
      </c>
      <c r="Q683">
        <v>70</v>
      </c>
      <c r="R683">
        <v>107</v>
      </c>
      <c r="S683">
        <v>122</v>
      </c>
      <c r="T683">
        <v>0</v>
      </c>
      <c r="U683">
        <v>1</v>
      </c>
      <c r="V683">
        <v>1</v>
      </c>
      <c r="W683">
        <v>1</v>
      </c>
      <c r="X683" s="22">
        <v>0</v>
      </c>
      <c r="Y683" s="22">
        <v>0.0142857142857143</v>
      </c>
      <c r="Z683" s="22">
        <v>0.00934579439252336</v>
      </c>
      <c r="AA683" s="22">
        <v>0.00819672131147541</v>
      </c>
      <c r="AB683">
        <v>0</v>
      </c>
      <c r="AC683">
        <v>0.3</v>
      </c>
      <c r="AD683">
        <v>0.1</v>
      </c>
      <c r="AE683">
        <v>0.3</v>
      </c>
      <c r="AF683" s="22" t="s">
        <v>53</v>
      </c>
      <c r="AG683" s="22">
        <v>0.0215827338129496</v>
      </c>
      <c r="AH683" s="22">
        <v>0.00719424460431655</v>
      </c>
      <c r="AI683" s="22">
        <v>0.0107913669064748</v>
      </c>
      <c r="AJ683">
        <v>41</v>
      </c>
      <c r="AK683">
        <v>31</v>
      </c>
      <c r="AL683">
        <v>36</v>
      </c>
      <c r="AM683">
        <v>12</v>
      </c>
      <c r="AN683" s="22">
        <v>0.0487804878048781</v>
      </c>
      <c r="AO683" s="22">
        <v>0.032258064516129</v>
      </c>
      <c r="AP683" s="22">
        <v>0.0277777777777778</v>
      </c>
      <c r="AQ683" s="22">
        <v>0.166666666666667</v>
      </c>
      <c r="AR683" s="35">
        <v>0.285714285714286</v>
      </c>
      <c r="AS683" s="35">
        <v>17.1428571428571</v>
      </c>
      <c r="AT683" s="35">
        <v>-9.14285714285714</v>
      </c>
      <c r="AU683" s="31">
        <f t="shared" si="14"/>
        <v>28</v>
      </c>
      <c r="AV683" s="36">
        <f>IFERROR(时间!$B$4+AU683,"上周无销量")</f>
        <v>43346</v>
      </c>
    </row>
    <row r="684" spans="1:48">
      <c r="A684" s="20" t="s">
        <v>1552</v>
      </c>
      <c r="B684" t="s">
        <v>1553</v>
      </c>
      <c r="C684" t="s">
        <v>1551</v>
      </c>
      <c r="D684" s="31">
        <v>1</v>
      </c>
      <c r="E684" s="31">
        <v>3</v>
      </c>
      <c r="F684" s="31">
        <v>0</v>
      </c>
      <c r="G684" s="31">
        <v>2</v>
      </c>
      <c r="H684" s="32">
        <v>16.99</v>
      </c>
      <c r="I684">
        <v>15</v>
      </c>
      <c r="J684" s="33">
        <v>0</v>
      </c>
      <c r="K684" s="33">
        <v>0</v>
      </c>
      <c r="L684" s="33">
        <v>0</v>
      </c>
      <c r="M684">
        <v>15</v>
      </c>
      <c r="N684">
        <v>0</v>
      </c>
      <c r="O684">
        <v>0</v>
      </c>
      <c r="P684" t="s">
        <v>53</v>
      </c>
      <c r="Q684" t="s">
        <v>53</v>
      </c>
      <c r="R684" t="s">
        <v>53</v>
      </c>
      <c r="S684" t="s">
        <v>53</v>
      </c>
      <c r="T684" t="s">
        <v>53</v>
      </c>
      <c r="U684" t="s">
        <v>53</v>
      </c>
      <c r="V684" t="s">
        <v>53</v>
      </c>
      <c r="W684" t="s">
        <v>53</v>
      </c>
      <c r="X684" s="22" t="s">
        <v>53</v>
      </c>
      <c r="Y684" s="22" t="s">
        <v>53</v>
      </c>
      <c r="Z684" s="22" t="s">
        <v>53</v>
      </c>
      <c r="AA684" s="22" t="s">
        <v>53</v>
      </c>
      <c r="AB684" t="s">
        <v>53</v>
      </c>
      <c r="AC684" t="s">
        <v>53</v>
      </c>
      <c r="AD684" t="s">
        <v>53</v>
      </c>
      <c r="AE684" t="s">
        <v>53</v>
      </c>
      <c r="AF684" s="22" t="s">
        <v>53</v>
      </c>
      <c r="AG684" s="22" t="s">
        <v>53</v>
      </c>
      <c r="AH684" s="22" t="s">
        <v>53</v>
      </c>
      <c r="AI684" s="22" t="s">
        <v>53</v>
      </c>
      <c r="AJ684">
        <v>24</v>
      </c>
      <c r="AK684">
        <v>36</v>
      </c>
      <c r="AL684">
        <v>37</v>
      </c>
      <c r="AM684">
        <v>24</v>
      </c>
      <c r="AN684" s="22">
        <v>0.0416666666666667</v>
      </c>
      <c r="AO684" s="22">
        <v>0.0833333333333333</v>
      </c>
      <c r="AP684" s="22">
        <v>0</v>
      </c>
      <c r="AQ684" s="22">
        <v>0.0833333333333333</v>
      </c>
      <c r="AR684" s="35">
        <v>0.142857142857143</v>
      </c>
      <c r="AS684" s="35">
        <v>8.57142857142857</v>
      </c>
      <c r="AT684" s="35">
        <v>6.42857142857143</v>
      </c>
      <c r="AU684" s="31">
        <f t="shared" si="14"/>
        <v>105</v>
      </c>
      <c r="AV684" s="36">
        <f>IFERROR(时间!$B$4+AU684,"上周无销量")</f>
        <v>43423</v>
      </c>
    </row>
    <row r="685" spans="1:48">
      <c r="A685" s="20" t="s">
        <v>1554</v>
      </c>
      <c r="B685" t="s">
        <v>1555</v>
      </c>
      <c r="C685" t="s">
        <v>1551</v>
      </c>
      <c r="D685" s="31">
        <v>3</v>
      </c>
      <c r="E685" s="31">
        <v>2</v>
      </c>
      <c r="F685" s="31">
        <v>0</v>
      </c>
      <c r="G685" s="31">
        <v>1</v>
      </c>
      <c r="H685" s="32">
        <v>22.9</v>
      </c>
      <c r="I685">
        <v>11</v>
      </c>
      <c r="J685" s="33">
        <v>0</v>
      </c>
      <c r="K685" s="33">
        <v>0</v>
      </c>
      <c r="L685" s="33">
        <v>0</v>
      </c>
      <c r="M685">
        <v>11</v>
      </c>
      <c r="N685">
        <v>0</v>
      </c>
      <c r="O685">
        <v>11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20</v>
      </c>
      <c r="AK685">
        <v>16</v>
      </c>
      <c r="AL685">
        <v>12</v>
      </c>
      <c r="AM685">
        <v>3</v>
      </c>
      <c r="AN685" s="22">
        <v>0.15</v>
      </c>
      <c r="AO685" s="22">
        <v>0.125</v>
      </c>
      <c r="AP685" s="22">
        <v>0</v>
      </c>
      <c r="AQ685" s="22">
        <v>0.333333333333333</v>
      </c>
      <c r="AR685" s="35">
        <v>0.428571428571429</v>
      </c>
      <c r="AS685" s="35">
        <v>25.7142857142857</v>
      </c>
      <c r="AT685" s="35">
        <v>-14.7142857142857</v>
      </c>
      <c r="AU685" s="31">
        <f t="shared" si="14"/>
        <v>25</v>
      </c>
      <c r="AV685" s="36">
        <f>IFERROR(时间!$B$4+AU685,"上周无销量")</f>
        <v>43343</v>
      </c>
    </row>
    <row r="686" spans="1:48">
      <c r="A686" s="20" t="s">
        <v>1556</v>
      </c>
      <c r="B686" t="s">
        <v>1557</v>
      </c>
      <c r="C686" t="s">
        <v>1551</v>
      </c>
      <c r="D686" s="31">
        <v>1</v>
      </c>
      <c r="E686" s="31">
        <v>0</v>
      </c>
      <c r="F686" s="31">
        <v>1</v>
      </c>
      <c r="G686" s="31">
        <v>0</v>
      </c>
      <c r="H686" s="32">
        <v>23.9</v>
      </c>
      <c r="I686">
        <v>10</v>
      </c>
      <c r="J686" s="33">
        <v>0</v>
      </c>
      <c r="K686" s="33">
        <v>0</v>
      </c>
      <c r="L686" s="33">
        <v>1</v>
      </c>
      <c r="M686">
        <v>11</v>
      </c>
      <c r="N686">
        <v>0</v>
      </c>
      <c r="O686">
        <v>0</v>
      </c>
      <c r="P686" t="s">
        <v>53</v>
      </c>
      <c r="Q686" t="s">
        <v>53</v>
      </c>
      <c r="R686" t="s">
        <v>53</v>
      </c>
      <c r="S686" t="s">
        <v>53</v>
      </c>
      <c r="T686" t="s">
        <v>53</v>
      </c>
      <c r="U686" t="s">
        <v>53</v>
      </c>
      <c r="V686" t="s">
        <v>53</v>
      </c>
      <c r="W686" t="s">
        <v>53</v>
      </c>
      <c r="X686" s="22" t="s">
        <v>53</v>
      </c>
      <c r="Y686" s="22" t="s">
        <v>53</v>
      </c>
      <c r="Z686" s="22" t="s">
        <v>53</v>
      </c>
      <c r="AA686" s="22" t="s">
        <v>53</v>
      </c>
      <c r="AB686" t="s">
        <v>53</v>
      </c>
      <c r="AC686" t="s">
        <v>53</v>
      </c>
      <c r="AD686" t="s">
        <v>53</v>
      </c>
      <c r="AE686" t="s">
        <v>53</v>
      </c>
      <c r="AF686" s="22" t="s">
        <v>53</v>
      </c>
      <c r="AG686" s="22" t="s">
        <v>53</v>
      </c>
      <c r="AH686" s="22" t="s">
        <v>53</v>
      </c>
      <c r="AI686" s="22" t="s">
        <v>53</v>
      </c>
      <c r="AJ686">
        <v>13</v>
      </c>
      <c r="AK686">
        <v>11</v>
      </c>
      <c r="AL686">
        <v>11</v>
      </c>
      <c r="AM686">
        <v>6</v>
      </c>
      <c r="AN686" s="22">
        <v>0.0769230769230769</v>
      </c>
      <c r="AO686" s="22">
        <v>0</v>
      </c>
      <c r="AP686" s="22">
        <v>0.0909090909090909</v>
      </c>
      <c r="AQ686" s="22">
        <v>0</v>
      </c>
      <c r="AR686" s="35">
        <v>0.142857142857143</v>
      </c>
      <c r="AS686" s="35">
        <v>8.57142857142857</v>
      </c>
      <c r="AT686" s="35">
        <v>2.42857142857143</v>
      </c>
      <c r="AU686" s="31">
        <f t="shared" si="14"/>
        <v>77</v>
      </c>
      <c r="AV686" s="36">
        <f>IFERROR(时间!$B$4+AU686,"上周无销量")</f>
        <v>43395</v>
      </c>
    </row>
    <row r="687" spans="1:48">
      <c r="A687" s="20" t="s">
        <v>1558</v>
      </c>
      <c r="B687" t="s">
        <v>1559</v>
      </c>
      <c r="C687" t="s">
        <v>1551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6</v>
      </c>
      <c r="J687" s="33">
        <v>0</v>
      </c>
      <c r="K687" s="33">
        <v>0</v>
      </c>
      <c r="L687" s="33">
        <v>0</v>
      </c>
      <c r="M687">
        <v>6</v>
      </c>
      <c r="N687">
        <v>0</v>
      </c>
      <c r="O687">
        <v>6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14</v>
      </c>
      <c r="AK687">
        <v>14</v>
      </c>
      <c r="AL687">
        <v>13</v>
      </c>
      <c r="AM687">
        <v>5</v>
      </c>
      <c r="AN687" s="22">
        <v>0</v>
      </c>
      <c r="AO687" s="22">
        <v>0</v>
      </c>
      <c r="AP687" s="22">
        <v>0</v>
      </c>
      <c r="AQ687" s="22">
        <v>0</v>
      </c>
      <c r="AR687" s="35">
        <v>0</v>
      </c>
      <c r="AS687" s="35">
        <v>0</v>
      </c>
      <c r="AT687" s="35">
        <v>6</v>
      </c>
      <c r="AU687" s="31" t="str">
        <f t="shared" si="14"/>
        <v>库存为6</v>
      </c>
      <c r="AV687" s="36" t="str">
        <f>IFERROR(时间!$B$4+AU687,"上周无销量")</f>
        <v>上周无销量</v>
      </c>
    </row>
    <row r="688" spans="1:48">
      <c r="A688" s="20" t="s">
        <v>1560</v>
      </c>
      <c r="B688" t="s">
        <v>1561</v>
      </c>
      <c r="C688" t="s">
        <v>1551</v>
      </c>
      <c r="D688" s="31">
        <v>0</v>
      </c>
      <c r="E688" s="31">
        <v>0</v>
      </c>
      <c r="F688" s="31">
        <v>1</v>
      </c>
      <c r="G688" s="31">
        <v>0</v>
      </c>
      <c r="H688" s="32">
        <v>34.9</v>
      </c>
      <c r="I688">
        <v>7</v>
      </c>
      <c r="J688" s="33">
        <v>0</v>
      </c>
      <c r="K688" s="33">
        <v>0</v>
      </c>
      <c r="L688" s="33">
        <v>0</v>
      </c>
      <c r="M688">
        <v>7</v>
      </c>
      <c r="N688">
        <v>0</v>
      </c>
      <c r="O688">
        <v>0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13</v>
      </c>
      <c r="AK688">
        <v>13</v>
      </c>
      <c r="AL688">
        <v>12</v>
      </c>
      <c r="AM688">
        <v>4</v>
      </c>
      <c r="AN688" s="22">
        <v>0</v>
      </c>
      <c r="AO688" s="22">
        <v>0</v>
      </c>
      <c r="AP688" s="22">
        <v>0.0833333333333333</v>
      </c>
      <c r="AQ688" s="22">
        <v>0</v>
      </c>
      <c r="AR688" s="35">
        <v>0</v>
      </c>
      <c r="AS688" s="35">
        <v>0</v>
      </c>
      <c r="AT688" s="35">
        <v>7</v>
      </c>
      <c r="AU688" s="31" t="str">
        <f t="shared" si="14"/>
        <v>库存为7</v>
      </c>
      <c r="AV688" s="36" t="str">
        <f>IFERROR(时间!$B$4+AU688,"上周无销量")</f>
        <v>上周无销量</v>
      </c>
    </row>
    <row r="689" spans="1:48">
      <c r="A689" s="20" t="s">
        <v>1562</v>
      </c>
      <c r="B689" t="s">
        <v>1563</v>
      </c>
      <c r="C689" t="s">
        <v>1551</v>
      </c>
      <c r="D689" s="31">
        <v>0</v>
      </c>
      <c r="E689" s="31">
        <v>3</v>
      </c>
      <c r="F689" s="31">
        <v>0</v>
      </c>
      <c r="G689" s="31">
        <v>0</v>
      </c>
      <c r="H689" s="32">
        <v>7.9</v>
      </c>
      <c r="I689">
        <v>7</v>
      </c>
      <c r="J689" s="33">
        <v>0</v>
      </c>
      <c r="K689" s="33">
        <v>0</v>
      </c>
      <c r="L689" s="33">
        <v>0</v>
      </c>
      <c r="M689">
        <v>7</v>
      </c>
      <c r="N689">
        <v>0</v>
      </c>
      <c r="O689">
        <v>0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45</v>
      </c>
      <c r="AK689">
        <v>54</v>
      </c>
      <c r="AL689">
        <v>0</v>
      </c>
      <c r="AM689">
        <v>0</v>
      </c>
      <c r="AN689" s="22">
        <v>0</v>
      </c>
      <c r="AO689" s="22">
        <v>0.0555555555555556</v>
      </c>
      <c r="AP689" s="22" t="s">
        <v>53</v>
      </c>
      <c r="AQ689" s="22" t="s">
        <v>53</v>
      </c>
      <c r="AR689" s="35">
        <v>0</v>
      </c>
      <c r="AS689" s="35">
        <v>0</v>
      </c>
      <c r="AT689" s="35">
        <v>7</v>
      </c>
      <c r="AU689" s="31" t="str">
        <f t="shared" si="14"/>
        <v>库存为7</v>
      </c>
      <c r="AV689" s="36" t="str">
        <f>IFERROR(时间!$B$4+AU689,"上周无销量")</f>
        <v>上周无销量</v>
      </c>
    </row>
    <row r="690" spans="1:48">
      <c r="A690" s="20" t="s">
        <v>1564</v>
      </c>
      <c r="B690" t="s">
        <v>1565</v>
      </c>
      <c r="C690" t="s">
        <v>1551</v>
      </c>
      <c r="D690" s="31">
        <v>0</v>
      </c>
      <c r="E690" s="31">
        <v>2</v>
      </c>
      <c r="F690" s="31">
        <v>1</v>
      </c>
      <c r="G690" s="31">
        <v>2</v>
      </c>
      <c r="H690" s="32">
        <v>10.9</v>
      </c>
      <c r="I690">
        <v>6</v>
      </c>
      <c r="J690" s="33">
        <v>0</v>
      </c>
      <c r="K690" s="33">
        <v>5</v>
      </c>
      <c r="L690" s="33">
        <v>1</v>
      </c>
      <c r="M690">
        <v>12</v>
      </c>
      <c r="N690">
        <v>0</v>
      </c>
      <c r="O690">
        <v>0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42</v>
      </c>
      <c r="AK690">
        <v>42</v>
      </c>
      <c r="AL690">
        <v>36</v>
      </c>
      <c r="AM690">
        <v>21</v>
      </c>
      <c r="AN690" s="22">
        <v>0</v>
      </c>
      <c r="AO690" s="22">
        <v>0.0476190476190476</v>
      </c>
      <c r="AP690" s="22">
        <v>0.0277777777777778</v>
      </c>
      <c r="AQ690" s="22">
        <v>0.0952380952380952</v>
      </c>
      <c r="AR690" s="35">
        <v>0</v>
      </c>
      <c r="AS690" s="35">
        <v>0</v>
      </c>
      <c r="AT690" s="35">
        <v>12</v>
      </c>
      <c r="AU690" s="31" t="str">
        <f t="shared" si="14"/>
        <v>库存为12</v>
      </c>
      <c r="AV690" s="36" t="str">
        <f>IFERROR(时间!$B$4+AU690,"上周无销量")</f>
        <v>上周无销量</v>
      </c>
    </row>
    <row r="691" spans="1:48">
      <c r="A691" s="20" t="s">
        <v>1566</v>
      </c>
      <c r="B691" t="s">
        <v>1567</v>
      </c>
      <c r="C691" t="s">
        <v>1551</v>
      </c>
      <c r="D691" s="31">
        <v>1</v>
      </c>
      <c r="E691" s="31">
        <v>1</v>
      </c>
      <c r="F691" s="31">
        <v>1</v>
      </c>
      <c r="G691" s="31">
        <v>1</v>
      </c>
      <c r="H691" s="32">
        <v>13.9</v>
      </c>
      <c r="I691">
        <v>25</v>
      </c>
      <c r="J691" s="33">
        <v>0</v>
      </c>
      <c r="K691" s="33">
        <v>0</v>
      </c>
      <c r="L691" s="33">
        <v>0</v>
      </c>
      <c r="M691">
        <v>25</v>
      </c>
      <c r="N691">
        <v>0</v>
      </c>
      <c r="O691">
        <v>24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21</v>
      </c>
      <c r="AK691">
        <v>20</v>
      </c>
      <c r="AL691">
        <v>21</v>
      </c>
      <c r="AM691">
        <v>4</v>
      </c>
      <c r="AN691" s="22">
        <v>0.0476190476190476</v>
      </c>
      <c r="AO691" s="22">
        <v>0.05</v>
      </c>
      <c r="AP691" s="22">
        <v>0.0476190476190476</v>
      </c>
      <c r="AQ691" s="22">
        <v>0.25</v>
      </c>
      <c r="AR691" s="35">
        <v>0.142857142857143</v>
      </c>
      <c r="AS691" s="35">
        <v>8.57142857142857</v>
      </c>
      <c r="AT691" s="35">
        <v>16.4285714285714</v>
      </c>
      <c r="AU691" s="31">
        <f t="shared" si="14"/>
        <v>175</v>
      </c>
      <c r="AV691" s="36">
        <f>IFERROR(时间!$B$4+AU691,"上周无销量")</f>
        <v>43493</v>
      </c>
    </row>
    <row r="692" spans="1:48">
      <c r="A692" s="20" t="s">
        <v>1568</v>
      </c>
      <c r="B692" t="s">
        <v>1569</v>
      </c>
      <c r="C692" t="s">
        <v>1551</v>
      </c>
      <c r="D692" s="31">
        <v>0</v>
      </c>
      <c r="E692" s="31">
        <v>3</v>
      </c>
      <c r="F692" s="31">
        <v>0</v>
      </c>
      <c r="G692" s="31">
        <v>2</v>
      </c>
      <c r="H692" s="32">
        <v>16.99</v>
      </c>
      <c r="I692">
        <v>0</v>
      </c>
      <c r="J692" s="33">
        <v>0</v>
      </c>
      <c r="K692" s="33">
        <v>0</v>
      </c>
      <c r="L692" s="33">
        <v>1</v>
      </c>
      <c r="M692">
        <v>1</v>
      </c>
      <c r="N692">
        <v>0</v>
      </c>
      <c r="O692">
        <v>0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12</v>
      </c>
      <c r="AK692">
        <v>26</v>
      </c>
      <c r="AL692">
        <v>25</v>
      </c>
      <c r="AM692">
        <v>15</v>
      </c>
      <c r="AN692" s="22">
        <v>0</v>
      </c>
      <c r="AO692" s="22">
        <v>0.115384615384615</v>
      </c>
      <c r="AP692" s="22">
        <v>0</v>
      </c>
      <c r="AQ692" s="22">
        <v>0.133333333333333</v>
      </c>
      <c r="AR692" s="35">
        <v>0</v>
      </c>
      <c r="AS692" s="35">
        <v>0</v>
      </c>
      <c r="AT692" s="35">
        <v>1</v>
      </c>
      <c r="AU692" s="31" t="str">
        <f t="shared" si="14"/>
        <v>库存为1</v>
      </c>
      <c r="AV692" s="36" t="str">
        <f>IFERROR(时间!$B$4+AU692,"上周无销量")</f>
        <v>上周无销量</v>
      </c>
    </row>
    <row r="693" spans="1:48">
      <c r="A693" s="20" t="s">
        <v>1570</v>
      </c>
      <c r="B693" t="s">
        <v>1571</v>
      </c>
      <c r="C693" t="s">
        <v>1551</v>
      </c>
      <c r="D693" s="31">
        <v>1</v>
      </c>
      <c r="E693" s="31">
        <v>1</v>
      </c>
      <c r="F693" s="31">
        <v>0</v>
      </c>
      <c r="G693" s="31">
        <v>1</v>
      </c>
      <c r="H693" s="32">
        <v>21.9</v>
      </c>
      <c r="I693">
        <v>5</v>
      </c>
      <c r="J693" s="33">
        <v>0</v>
      </c>
      <c r="K693" s="33">
        <v>0</v>
      </c>
      <c r="L693" s="33">
        <v>0</v>
      </c>
      <c r="M693">
        <v>5</v>
      </c>
      <c r="N693">
        <v>0</v>
      </c>
      <c r="O693">
        <v>4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3</v>
      </c>
      <c r="AK693">
        <v>7</v>
      </c>
      <c r="AL693">
        <v>6</v>
      </c>
      <c r="AM693">
        <v>2</v>
      </c>
      <c r="AN693" s="22">
        <v>0.333333333333333</v>
      </c>
      <c r="AO693" s="22">
        <v>0.142857142857143</v>
      </c>
      <c r="AP693" s="22">
        <v>0</v>
      </c>
      <c r="AQ693" s="22">
        <v>0.5</v>
      </c>
      <c r="AR693" s="35">
        <v>0.142857142857143</v>
      </c>
      <c r="AS693" s="35">
        <v>8.57142857142857</v>
      </c>
      <c r="AT693" s="35">
        <v>-3.57142857142857</v>
      </c>
      <c r="AU693" s="31">
        <f t="shared" si="14"/>
        <v>35</v>
      </c>
      <c r="AV693" s="36">
        <f>IFERROR(时间!$B$4+AU693,"上周无销量")</f>
        <v>43353</v>
      </c>
    </row>
    <row r="694" spans="1:48">
      <c r="A694" s="20" t="s">
        <v>1572</v>
      </c>
      <c r="B694" t="s">
        <v>1573</v>
      </c>
      <c r="C694" t="s">
        <v>1551</v>
      </c>
      <c r="D694" s="31">
        <v>1</v>
      </c>
      <c r="E694" s="31">
        <v>0</v>
      </c>
      <c r="F694" s="31">
        <v>1</v>
      </c>
      <c r="G694" s="31">
        <v>0</v>
      </c>
      <c r="H694" s="32">
        <v>23.9</v>
      </c>
      <c r="I694">
        <v>5</v>
      </c>
      <c r="J694" s="33">
        <v>4</v>
      </c>
      <c r="K694" s="33">
        <v>2</v>
      </c>
      <c r="L694" s="33">
        <v>0</v>
      </c>
      <c r="M694">
        <v>11</v>
      </c>
      <c r="N694">
        <v>0</v>
      </c>
      <c r="O694">
        <v>0</v>
      </c>
      <c r="P694" t="s">
        <v>53</v>
      </c>
      <c r="Q694" t="s">
        <v>53</v>
      </c>
      <c r="R694" t="s">
        <v>53</v>
      </c>
      <c r="S694" t="s">
        <v>53</v>
      </c>
      <c r="T694" t="s">
        <v>53</v>
      </c>
      <c r="U694" t="s">
        <v>53</v>
      </c>
      <c r="V694" t="s">
        <v>53</v>
      </c>
      <c r="W694" t="s">
        <v>53</v>
      </c>
      <c r="X694" s="22" t="s">
        <v>53</v>
      </c>
      <c r="Y694" s="22" t="s">
        <v>53</v>
      </c>
      <c r="Z694" s="22" t="s">
        <v>53</v>
      </c>
      <c r="AA694" s="22" t="s">
        <v>53</v>
      </c>
      <c r="AB694" t="s">
        <v>53</v>
      </c>
      <c r="AC694" t="s">
        <v>53</v>
      </c>
      <c r="AD694" t="s">
        <v>53</v>
      </c>
      <c r="AE694" t="s">
        <v>53</v>
      </c>
      <c r="AF694" s="22" t="s">
        <v>53</v>
      </c>
      <c r="AG694" s="22" t="s">
        <v>53</v>
      </c>
      <c r="AH694" s="22" t="s">
        <v>53</v>
      </c>
      <c r="AI694" s="22" t="s">
        <v>53</v>
      </c>
      <c r="AJ694">
        <v>11</v>
      </c>
      <c r="AK694">
        <v>9</v>
      </c>
      <c r="AL694">
        <v>9</v>
      </c>
      <c r="AM694">
        <v>2</v>
      </c>
      <c r="AN694" s="22">
        <v>0.0909090909090909</v>
      </c>
      <c r="AO694" s="22">
        <v>0</v>
      </c>
      <c r="AP694" s="22">
        <v>0.111111111111111</v>
      </c>
      <c r="AQ694" s="22">
        <v>0</v>
      </c>
      <c r="AR694" s="35">
        <v>0.142857142857143</v>
      </c>
      <c r="AS694" s="35">
        <v>8.57142857142857</v>
      </c>
      <c r="AT694" s="35">
        <v>2.42857142857143</v>
      </c>
      <c r="AU694" s="31">
        <f t="shared" si="14"/>
        <v>77</v>
      </c>
      <c r="AV694" s="36">
        <f>IFERROR(时间!$B$4+AU694,"上周无销量")</f>
        <v>43395</v>
      </c>
    </row>
    <row r="695" spans="1:48">
      <c r="A695" s="20" t="s">
        <v>1574</v>
      </c>
      <c r="B695" t="s">
        <v>1575</v>
      </c>
      <c r="C695" t="s">
        <v>1551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11</v>
      </c>
      <c r="J695" s="33">
        <v>0</v>
      </c>
      <c r="K695" s="33">
        <v>0</v>
      </c>
      <c r="L695" s="33">
        <v>0</v>
      </c>
      <c r="M695">
        <v>11</v>
      </c>
      <c r="N695">
        <v>0</v>
      </c>
      <c r="O695">
        <v>11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13</v>
      </c>
      <c r="AK695">
        <v>5</v>
      </c>
      <c r="AL695">
        <v>6</v>
      </c>
      <c r="AM695">
        <v>4</v>
      </c>
      <c r="AN695" s="22">
        <v>0</v>
      </c>
      <c r="AO695" s="22">
        <v>0</v>
      </c>
      <c r="AP695" s="22">
        <v>0</v>
      </c>
      <c r="AQ695" s="22">
        <v>0</v>
      </c>
      <c r="AR695" s="35">
        <v>0</v>
      </c>
      <c r="AS695" s="35">
        <v>0</v>
      </c>
      <c r="AT695" s="35">
        <v>11</v>
      </c>
      <c r="AU695" s="31" t="str">
        <f t="shared" si="14"/>
        <v>库存为11</v>
      </c>
      <c r="AV695" s="36" t="str">
        <f>IFERROR(时间!$B$4+AU695,"上周无销量")</f>
        <v>上周无销量</v>
      </c>
    </row>
    <row r="696" spans="1:48">
      <c r="A696" s="20" t="s">
        <v>1576</v>
      </c>
      <c r="B696" t="s">
        <v>1577</v>
      </c>
      <c r="C696" t="s">
        <v>1551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16</v>
      </c>
      <c r="J696" s="33">
        <v>0</v>
      </c>
      <c r="K696" s="33">
        <v>0</v>
      </c>
      <c r="L696" s="33">
        <v>0</v>
      </c>
      <c r="M696">
        <v>16</v>
      </c>
      <c r="N696">
        <v>0</v>
      </c>
      <c r="O696">
        <v>16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16</v>
      </c>
      <c r="AK696">
        <v>13</v>
      </c>
      <c r="AL696">
        <v>12</v>
      </c>
      <c r="AM696">
        <v>8</v>
      </c>
      <c r="AN696" s="22">
        <v>0</v>
      </c>
      <c r="AO696" s="22">
        <v>0</v>
      </c>
      <c r="AP696" s="22">
        <v>0</v>
      </c>
      <c r="AQ696" s="22">
        <v>0</v>
      </c>
      <c r="AR696" s="35">
        <v>0</v>
      </c>
      <c r="AS696" s="35">
        <v>0</v>
      </c>
      <c r="AT696" s="35">
        <v>16</v>
      </c>
      <c r="AU696" s="31" t="str">
        <f t="shared" si="14"/>
        <v>库存为16</v>
      </c>
      <c r="AV696" s="36" t="str">
        <f>IFERROR(时间!$B$4+AU696,"上周无销量")</f>
        <v>上周无销量</v>
      </c>
    </row>
    <row r="697" spans="1:48">
      <c r="A697" s="20" t="s">
        <v>1578</v>
      </c>
      <c r="B697" t="s">
        <v>1579</v>
      </c>
      <c r="C697" t="s">
        <v>1551</v>
      </c>
      <c r="D697" s="31">
        <v>3</v>
      </c>
      <c r="E697" s="31">
        <v>0</v>
      </c>
      <c r="F697" s="31">
        <v>0</v>
      </c>
      <c r="G697" s="31">
        <v>0</v>
      </c>
      <c r="H697" s="32">
        <v>7.9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23</v>
      </c>
      <c r="AK697">
        <v>41</v>
      </c>
      <c r="AL697">
        <v>14</v>
      </c>
      <c r="AM697">
        <v>3</v>
      </c>
      <c r="AN697" s="22">
        <v>0.130434782608696</v>
      </c>
      <c r="AO697" s="22">
        <v>0</v>
      </c>
      <c r="AP697" s="22">
        <v>0</v>
      </c>
      <c r="AQ697" s="22">
        <v>0</v>
      </c>
      <c r="AR697" s="35">
        <v>0.428571428571429</v>
      </c>
      <c r="AS697" s="35">
        <v>25.7142857142857</v>
      </c>
      <c r="AT697" s="35">
        <v>-25.7142857142857</v>
      </c>
      <c r="AU697" s="31">
        <f t="shared" si="14"/>
        <v>0</v>
      </c>
      <c r="AV697" s="36">
        <f>IFERROR(时间!$B$4+AU697,"上周无销量")</f>
        <v>43318</v>
      </c>
    </row>
    <row r="698" spans="1:48">
      <c r="A698" s="20" t="s">
        <v>1580</v>
      </c>
      <c r="B698" t="s">
        <v>1581</v>
      </c>
      <c r="C698" t="s">
        <v>1551</v>
      </c>
      <c r="D698" s="31">
        <v>0</v>
      </c>
      <c r="E698" s="31">
        <v>0</v>
      </c>
      <c r="F698" s="31">
        <v>4</v>
      </c>
      <c r="G698" s="31">
        <v>0</v>
      </c>
      <c r="H698" s="32">
        <v>10.9</v>
      </c>
      <c r="I698">
        <v>20</v>
      </c>
      <c r="J698" s="33">
        <v>20</v>
      </c>
      <c r="K698" s="33">
        <v>0</v>
      </c>
      <c r="L698" s="33">
        <v>0</v>
      </c>
      <c r="M698">
        <v>40</v>
      </c>
      <c r="N698">
        <v>0</v>
      </c>
      <c r="O698">
        <v>0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2</v>
      </c>
      <c r="AK698">
        <v>0</v>
      </c>
      <c r="AL698">
        <v>6</v>
      </c>
      <c r="AM698">
        <v>5</v>
      </c>
      <c r="AN698" s="22">
        <v>0</v>
      </c>
      <c r="AO698" s="22" t="s">
        <v>53</v>
      </c>
      <c r="AP698" s="22">
        <v>0.666666666666667</v>
      </c>
      <c r="AQ698" s="22">
        <v>0</v>
      </c>
      <c r="AR698" s="35">
        <v>0</v>
      </c>
      <c r="AS698" s="35">
        <v>0</v>
      </c>
      <c r="AT698" s="35">
        <v>40</v>
      </c>
      <c r="AU698" s="31" t="str">
        <f t="shared" si="14"/>
        <v>库存为40</v>
      </c>
      <c r="AV698" s="36" t="str">
        <f>IFERROR(时间!$B$4+AU698,"上周无销量")</f>
        <v>上周无销量</v>
      </c>
    </row>
    <row r="699" spans="1:48">
      <c r="A699" s="20" t="s">
        <v>1582</v>
      </c>
      <c r="B699" t="s">
        <v>1583</v>
      </c>
      <c r="C699" t="s">
        <v>1584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7</v>
      </c>
      <c r="J699" s="33">
        <v>0</v>
      </c>
      <c r="K699" s="33">
        <v>0</v>
      </c>
      <c r="L699" s="33">
        <v>0</v>
      </c>
      <c r="M699">
        <v>7</v>
      </c>
      <c r="N699">
        <v>0</v>
      </c>
      <c r="O699">
        <v>7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4</v>
      </c>
      <c r="AK699">
        <v>7</v>
      </c>
      <c r="AL699">
        <v>6</v>
      </c>
      <c r="AM699">
        <v>5</v>
      </c>
      <c r="AN699" s="22">
        <v>0</v>
      </c>
      <c r="AO699" s="22">
        <v>0</v>
      </c>
      <c r="AP699" s="22">
        <v>0</v>
      </c>
      <c r="AQ699" s="22">
        <v>0</v>
      </c>
      <c r="AR699" s="35">
        <v>0</v>
      </c>
      <c r="AS699" s="35">
        <v>0</v>
      </c>
      <c r="AT699" s="35">
        <v>7</v>
      </c>
      <c r="AU699" s="31" t="str">
        <f t="shared" si="14"/>
        <v>库存为7</v>
      </c>
      <c r="AV699" s="36" t="str">
        <f>IFERROR(时间!$B$4+AU699,"上周无销量")</f>
        <v>上周无销量</v>
      </c>
    </row>
    <row r="700" spans="1:48">
      <c r="A700" s="20" t="s">
        <v>1585</v>
      </c>
      <c r="B700" t="s">
        <v>1586</v>
      </c>
      <c r="C700" t="s">
        <v>1584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8</v>
      </c>
      <c r="J700" s="33">
        <v>0</v>
      </c>
      <c r="K700" s="33">
        <v>0</v>
      </c>
      <c r="L700" s="33">
        <v>0</v>
      </c>
      <c r="M700">
        <v>8</v>
      </c>
      <c r="N700">
        <v>0</v>
      </c>
      <c r="O700">
        <v>8</v>
      </c>
      <c r="P700" t="s">
        <v>53</v>
      </c>
      <c r="Q700" t="s">
        <v>53</v>
      </c>
      <c r="R700" t="s">
        <v>53</v>
      </c>
      <c r="S700" t="s">
        <v>53</v>
      </c>
      <c r="T700" t="s">
        <v>53</v>
      </c>
      <c r="U700" t="s">
        <v>53</v>
      </c>
      <c r="V700" t="s">
        <v>53</v>
      </c>
      <c r="W700" t="s">
        <v>53</v>
      </c>
      <c r="X700" s="22" t="s">
        <v>53</v>
      </c>
      <c r="Y700" s="22" t="s">
        <v>53</v>
      </c>
      <c r="Z700" s="22" t="s">
        <v>53</v>
      </c>
      <c r="AA700" s="22" t="s">
        <v>53</v>
      </c>
      <c r="AB700" t="s">
        <v>53</v>
      </c>
      <c r="AC700" t="s">
        <v>53</v>
      </c>
      <c r="AD700" t="s">
        <v>53</v>
      </c>
      <c r="AE700" t="s">
        <v>53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3</v>
      </c>
      <c r="AK700">
        <v>4</v>
      </c>
      <c r="AL700">
        <v>5</v>
      </c>
      <c r="AM700">
        <v>4</v>
      </c>
      <c r="AN700" s="22">
        <v>0</v>
      </c>
      <c r="AO700" s="22">
        <v>0</v>
      </c>
      <c r="AP700" s="22">
        <v>0</v>
      </c>
      <c r="AQ700" s="22">
        <v>0</v>
      </c>
      <c r="AR700" s="35">
        <v>0</v>
      </c>
      <c r="AS700" s="35">
        <v>0</v>
      </c>
      <c r="AT700" s="35">
        <v>8</v>
      </c>
      <c r="AU700" s="31" t="str">
        <f t="shared" si="14"/>
        <v>库存为8</v>
      </c>
      <c r="AV700" s="36" t="str">
        <f>IFERROR(时间!$B$4+AU700,"上周无销量")</f>
        <v>上周无销量</v>
      </c>
    </row>
    <row r="701" spans="1:48">
      <c r="A701" s="20" t="s">
        <v>1587</v>
      </c>
      <c r="B701" t="s">
        <v>1588</v>
      </c>
      <c r="C701" t="s">
        <v>1584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8</v>
      </c>
      <c r="J701" s="33">
        <v>0</v>
      </c>
      <c r="K701" s="33">
        <v>0</v>
      </c>
      <c r="L701" s="33">
        <v>0</v>
      </c>
      <c r="M701">
        <v>8</v>
      </c>
      <c r="N701">
        <v>0</v>
      </c>
      <c r="O701">
        <v>7</v>
      </c>
      <c r="P701" t="s">
        <v>53</v>
      </c>
      <c r="Q701" t="s">
        <v>53</v>
      </c>
      <c r="R701" t="s">
        <v>53</v>
      </c>
      <c r="S701" t="s">
        <v>53</v>
      </c>
      <c r="T701" t="s">
        <v>53</v>
      </c>
      <c r="U701" t="s">
        <v>53</v>
      </c>
      <c r="V701" t="s">
        <v>53</v>
      </c>
      <c r="W701" t="s">
        <v>53</v>
      </c>
      <c r="X701" s="22" t="s">
        <v>53</v>
      </c>
      <c r="Y701" s="22" t="s">
        <v>53</v>
      </c>
      <c r="Z701" s="22" t="s">
        <v>53</v>
      </c>
      <c r="AA701" s="22" t="s">
        <v>53</v>
      </c>
      <c r="AB701" t="s">
        <v>53</v>
      </c>
      <c r="AC701" t="s">
        <v>53</v>
      </c>
      <c r="AD701" t="s">
        <v>53</v>
      </c>
      <c r="AE701" t="s">
        <v>53</v>
      </c>
      <c r="AF701" s="22" t="s">
        <v>53</v>
      </c>
      <c r="AG701" s="22" t="s">
        <v>53</v>
      </c>
      <c r="AH701" s="22" t="s">
        <v>53</v>
      </c>
      <c r="AI701" s="22" t="s">
        <v>53</v>
      </c>
      <c r="AJ701">
        <v>1</v>
      </c>
      <c r="AK701">
        <v>2</v>
      </c>
      <c r="AL701">
        <v>0</v>
      </c>
      <c r="AM701">
        <v>1</v>
      </c>
      <c r="AN701" s="22">
        <v>0</v>
      </c>
      <c r="AO701" s="22">
        <v>0</v>
      </c>
      <c r="AP701" s="22" t="s">
        <v>53</v>
      </c>
      <c r="AQ701" s="22">
        <v>0</v>
      </c>
      <c r="AR701" s="35">
        <v>0</v>
      </c>
      <c r="AS701" s="35">
        <v>0</v>
      </c>
      <c r="AT701" s="35">
        <v>8</v>
      </c>
      <c r="AU701" s="31" t="str">
        <f t="shared" si="14"/>
        <v>库存为8</v>
      </c>
      <c r="AV701" s="36" t="str">
        <f>IFERROR(时间!$B$4+AU701,"上周无销量")</f>
        <v>上周无销量</v>
      </c>
    </row>
    <row r="702" spans="1:48">
      <c r="A702" s="20" t="s">
        <v>1589</v>
      </c>
      <c r="B702" t="s">
        <v>1590</v>
      </c>
      <c r="C702" t="s">
        <v>1591</v>
      </c>
      <c r="D702" s="31">
        <v>0</v>
      </c>
      <c r="E702" s="31">
        <v>2</v>
      </c>
      <c r="F702" s="31">
        <v>0</v>
      </c>
      <c r="G702" s="31">
        <v>0</v>
      </c>
      <c r="H702" s="32">
        <v>16.99</v>
      </c>
      <c r="I702">
        <v>10</v>
      </c>
      <c r="J702" s="33">
        <v>0</v>
      </c>
      <c r="K702" s="33">
        <v>0</v>
      </c>
      <c r="L702" s="33">
        <v>0</v>
      </c>
      <c r="M702">
        <v>10</v>
      </c>
      <c r="N702">
        <v>0</v>
      </c>
      <c r="O702">
        <v>0</v>
      </c>
      <c r="P702" t="s">
        <v>53</v>
      </c>
      <c r="Q702" t="s">
        <v>53</v>
      </c>
      <c r="R702" t="s">
        <v>53</v>
      </c>
      <c r="S702" t="s">
        <v>53</v>
      </c>
      <c r="T702" t="s">
        <v>53</v>
      </c>
      <c r="U702" t="s">
        <v>53</v>
      </c>
      <c r="V702" t="s">
        <v>53</v>
      </c>
      <c r="W702" t="s">
        <v>53</v>
      </c>
      <c r="X702" s="22" t="s">
        <v>53</v>
      </c>
      <c r="Y702" s="22" t="s">
        <v>53</v>
      </c>
      <c r="Z702" s="22" t="s">
        <v>53</v>
      </c>
      <c r="AA702" s="22" t="s">
        <v>53</v>
      </c>
      <c r="AB702" t="s">
        <v>53</v>
      </c>
      <c r="AC702" t="s">
        <v>53</v>
      </c>
      <c r="AD702" t="s">
        <v>53</v>
      </c>
      <c r="AE702" t="s">
        <v>53</v>
      </c>
      <c r="AF702" s="22" t="s">
        <v>53</v>
      </c>
      <c r="AG702" s="22" t="s">
        <v>53</v>
      </c>
      <c r="AH702" s="22" t="s">
        <v>53</v>
      </c>
      <c r="AI702" s="22" t="s">
        <v>53</v>
      </c>
      <c r="AJ702">
        <v>2</v>
      </c>
      <c r="AK702">
        <v>4</v>
      </c>
      <c r="AL702">
        <v>2</v>
      </c>
      <c r="AM702">
        <v>8</v>
      </c>
      <c r="AN702" s="22">
        <v>0</v>
      </c>
      <c r="AO702" s="22">
        <v>0.5</v>
      </c>
      <c r="AP702" s="22">
        <v>0</v>
      </c>
      <c r="AQ702" s="22">
        <v>0</v>
      </c>
      <c r="AR702" s="35">
        <v>0</v>
      </c>
      <c r="AS702" s="35">
        <v>0</v>
      </c>
      <c r="AT702" s="35">
        <v>10</v>
      </c>
      <c r="AU702" s="31" t="str">
        <f t="shared" si="14"/>
        <v>库存为10</v>
      </c>
      <c r="AV702" s="36" t="str">
        <f>IFERROR(时间!$B$4+AU702,"上周无销量")</f>
        <v>上周无销量</v>
      </c>
    </row>
    <row r="703" spans="1:48">
      <c r="A703" s="20" t="s">
        <v>1592</v>
      </c>
      <c r="B703" t="s">
        <v>1593</v>
      </c>
      <c r="C703" t="s">
        <v>1591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8</v>
      </c>
      <c r="J703" s="33">
        <v>0</v>
      </c>
      <c r="K703" s="33">
        <v>0</v>
      </c>
      <c r="L703" s="33">
        <v>0</v>
      </c>
      <c r="M703">
        <v>8</v>
      </c>
      <c r="N703">
        <v>0</v>
      </c>
      <c r="O703">
        <v>4</v>
      </c>
      <c r="P703" t="s">
        <v>53</v>
      </c>
      <c r="Q703" t="s">
        <v>53</v>
      </c>
      <c r="R703" t="s">
        <v>53</v>
      </c>
      <c r="S703" t="s">
        <v>53</v>
      </c>
      <c r="T703" t="s">
        <v>53</v>
      </c>
      <c r="U703" t="s">
        <v>53</v>
      </c>
      <c r="V703" t="s">
        <v>53</v>
      </c>
      <c r="W703" t="s">
        <v>53</v>
      </c>
      <c r="X703" s="22" t="s">
        <v>53</v>
      </c>
      <c r="Y703" s="22" t="s">
        <v>53</v>
      </c>
      <c r="Z703" s="22" t="s">
        <v>53</v>
      </c>
      <c r="AA703" s="22" t="s">
        <v>53</v>
      </c>
      <c r="AB703" t="s">
        <v>53</v>
      </c>
      <c r="AC703" t="s">
        <v>53</v>
      </c>
      <c r="AD703" t="s">
        <v>53</v>
      </c>
      <c r="AE703" t="s">
        <v>53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8</v>
      </c>
      <c r="AK703">
        <v>3</v>
      </c>
      <c r="AL703">
        <v>2</v>
      </c>
      <c r="AM703">
        <v>8</v>
      </c>
      <c r="AN703" s="22">
        <v>0</v>
      </c>
      <c r="AO703" s="22">
        <v>0</v>
      </c>
      <c r="AP703" s="22">
        <v>0</v>
      </c>
      <c r="AQ703" s="22">
        <v>0</v>
      </c>
      <c r="AR703" s="35">
        <v>0</v>
      </c>
      <c r="AS703" s="35">
        <v>0</v>
      </c>
      <c r="AT703" s="35">
        <v>8</v>
      </c>
      <c r="AU703" s="31" t="str">
        <f t="shared" si="14"/>
        <v>库存为8</v>
      </c>
      <c r="AV703" s="36" t="str">
        <f>IFERROR(时间!$B$4+AU703,"上周无销量")</f>
        <v>上周无销量</v>
      </c>
    </row>
    <row r="704" spans="1:48">
      <c r="A704" s="20" t="s">
        <v>1594</v>
      </c>
      <c r="B704" t="s">
        <v>1595</v>
      </c>
      <c r="C704" t="s">
        <v>1591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5</v>
      </c>
      <c r="J704" s="33">
        <v>0</v>
      </c>
      <c r="K704" s="33">
        <v>0</v>
      </c>
      <c r="L704" s="33">
        <v>0</v>
      </c>
      <c r="M704">
        <v>5</v>
      </c>
      <c r="N704">
        <v>1</v>
      </c>
      <c r="O704">
        <v>0</v>
      </c>
      <c r="P704" t="s">
        <v>53</v>
      </c>
      <c r="Q704" t="s">
        <v>53</v>
      </c>
      <c r="R704" t="s">
        <v>53</v>
      </c>
      <c r="S704" t="s">
        <v>53</v>
      </c>
      <c r="T704" t="s">
        <v>53</v>
      </c>
      <c r="U704" t="s">
        <v>53</v>
      </c>
      <c r="V704" t="s">
        <v>53</v>
      </c>
      <c r="W704" t="s">
        <v>53</v>
      </c>
      <c r="X704" s="22" t="s">
        <v>53</v>
      </c>
      <c r="Y704" s="22" t="s">
        <v>53</v>
      </c>
      <c r="Z704" s="22" t="s">
        <v>53</v>
      </c>
      <c r="AA704" s="22" t="s">
        <v>53</v>
      </c>
      <c r="AB704" t="s">
        <v>53</v>
      </c>
      <c r="AC704" t="s">
        <v>53</v>
      </c>
      <c r="AD704" t="s">
        <v>53</v>
      </c>
      <c r="AE704" t="s">
        <v>53</v>
      </c>
      <c r="AF704" s="22" t="s">
        <v>53</v>
      </c>
      <c r="AG704" s="22" t="s">
        <v>53</v>
      </c>
      <c r="AH704" s="22" t="s">
        <v>53</v>
      </c>
      <c r="AI704" s="22" t="s">
        <v>53</v>
      </c>
      <c r="AJ704">
        <v>5</v>
      </c>
      <c r="AK704">
        <v>10</v>
      </c>
      <c r="AL704">
        <v>3</v>
      </c>
      <c r="AM704">
        <v>3</v>
      </c>
      <c r="AN704" s="22">
        <v>0</v>
      </c>
      <c r="AO704" s="22">
        <v>0</v>
      </c>
      <c r="AP704" s="22">
        <v>0</v>
      </c>
      <c r="AQ704" s="22">
        <v>0</v>
      </c>
      <c r="AR704" s="35">
        <v>0</v>
      </c>
      <c r="AS704" s="35">
        <v>0</v>
      </c>
      <c r="AT704" s="35">
        <v>5</v>
      </c>
      <c r="AU704" s="31" t="str">
        <f t="shared" si="14"/>
        <v>库存为5</v>
      </c>
      <c r="AV704" s="36" t="str">
        <f>IFERROR(时间!$B$4+AU704,"上周无销量")</f>
        <v>上周无销量</v>
      </c>
    </row>
    <row r="705" spans="1:48">
      <c r="A705" s="20" t="s">
        <v>1596</v>
      </c>
      <c r="B705" t="s">
        <v>1597</v>
      </c>
      <c r="C705" t="s">
        <v>1591</v>
      </c>
      <c r="D705" s="31">
        <v>0</v>
      </c>
      <c r="E705" s="31">
        <v>1</v>
      </c>
      <c r="F705" s="31">
        <v>0</v>
      </c>
      <c r="G705" s="31">
        <v>0</v>
      </c>
      <c r="H705" s="32">
        <v>30.99</v>
      </c>
      <c r="I705">
        <v>8</v>
      </c>
      <c r="J705" s="33">
        <v>0</v>
      </c>
      <c r="K705" s="33">
        <v>0</v>
      </c>
      <c r="L705" s="33">
        <v>0</v>
      </c>
      <c r="M705">
        <v>8</v>
      </c>
      <c r="N705">
        <v>0</v>
      </c>
      <c r="O705">
        <v>1</v>
      </c>
      <c r="P705" t="s">
        <v>53</v>
      </c>
      <c r="Q705" t="s">
        <v>53</v>
      </c>
      <c r="R705" t="s">
        <v>53</v>
      </c>
      <c r="S705" t="s">
        <v>53</v>
      </c>
      <c r="T705" t="s">
        <v>53</v>
      </c>
      <c r="U705" t="s">
        <v>53</v>
      </c>
      <c r="V705" t="s">
        <v>53</v>
      </c>
      <c r="W705" t="s">
        <v>53</v>
      </c>
      <c r="X705" s="22" t="s">
        <v>53</v>
      </c>
      <c r="Y705" s="22" t="s">
        <v>53</v>
      </c>
      <c r="Z705" s="22" t="s">
        <v>53</v>
      </c>
      <c r="AA705" s="22" t="s">
        <v>53</v>
      </c>
      <c r="AB705" t="s">
        <v>53</v>
      </c>
      <c r="AC705" t="s">
        <v>53</v>
      </c>
      <c r="AD705" t="s">
        <v>53</v>
      </c>
      <c r="AE705" t="s">
        <v>53</v>
      </c>
      <c r="AF705" s="22" t="s">
        <v>53</v>
      </c>
      <c r="AG705" s="22" t="s">
        <v>53</v>
      </c>
      <c r="AH705" s="22" t="s">
        <v>53</v>
      </c>
      <c r="AI705" s="22" t="s">
        <v>53</v>
      </c>
      <c r="AJ705">
        <v>12</v>
      </c>
      <c r="AK705">
        <v>13</v>
      </c>
      <c r="AL705">
        <v>13</v>
      </c>
      <c r="AM705">
        <v>7</v>
      </c>
      <c r="AN705" s="22">
        <v>0</v>
      </c>
      <c r="AO705" s="22">
        <v>0.0769230769230769</v>
      </c>
      <c r="AP705" s="22">
        <v>0</v>
      </c>
      <c r="AQ705" s="22">
        <v>0</v>
      </c>
      <c r="AR705" s="35">
        <v>0</v>
      </c>
      <c r="AS705" s="35">
        <v>0</v>
      </c>
      <c r="AT705" s="35">
        <v>8</v>
      </c>
      <c r="AU705" s="31" t="str">
        <f t="shared" si="14"/>
        <v>库存为8</v>
      </c>
      <c r="AV705" s="36" t="str">
        <f>IFERROR(时间!$B$4+AU705,"上周无销量")</f>
        <v>上周无销量</v>
      </c>
    </row>
    <row r="706" spans="1:48">
      <c r="A706" s="20" t="s">
        <v>1598</v>
      </c>
      <c r="B706" t="s">
        <v>1599</v>
      </c>
      <c r="C706" t="s">
        <v>1591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6</v>
      </c>
      <c r="J706" s="33">
        <v>0</v>
      </c>
      <c r="K706" s="33">
        <v>0</v>
      </c>
      <c r="L706" s="33">
        <v>0</v>
      </c>
      <c r="M706">
        <v>6</v>
      </c>
      <c r="N706">
        <v>0</v>
      </c>
      <c r="O706">
        <v>1</v>
      </c>
      <c r="P706" t="s">
        <v>53</v>
      </c>
      <c r="Q706" t="s">
        <v>53</v>
      </c>
      <c r="R706" t="s">
        <v>53</v>
      </c>
      <c r="S706" t="s">
        <v>53</v>
      </c>
      <c r="T706" t="s">
        <v>53</v>
      </c>
      <c r="U706" t="s">
        <v>53</v>
      </c>
      <c r="V706" t="s">
        <v>53</v>
      </c>
      <c r="W706" t="s">
        <v>53</v>
      </c>
      <c r="X706" s="22" t="s">
        <v>53</v>
      </c>
      <c r="Y706" s="22" t="s">
        <v>53</v>
      </c>
      <c r="Z706" s="22" t="s">
        <v>53</v>
      </c>
      <c r="AA706" s="22" t="s">
        <v>53</v>
      </c>
      <c r="AB706" t="s">
        <v>53</v>
      </c>
      <c r="AC706" t="s">
        <v>53</v>
      </c>
      <c r="AD706" t="s">
        <v>53</v>
      </c>
      <c r="AE706" t="s">
        <v>53</v>
      </c>
      <c r="AF706" s="22" t="s">
        <v>53</v>
      </c>
      <c r="AG706" s="22" t="s">
        <v>53</v>
      </c>
      <c r="AH706" s="22" t="s">
        <v>53</v>
      </c>
      <c r="AI706" s="22" t="s">
        <v>53</v>
      </c>
      <c r="AJ706">
        <v>5</v>
      </c>
      <c r="AK706">
        <v>6</v>
      </c>
      <c r="AL706">
        <v>3</v>
      </c>
      <c r="AM706">
        <v>7</v>
      </c>
      <c r="AN706" s="22">
        <v>0</v>
      </c>
      <c r="AO706" s="22">
        <v>0</v>
      </c>
      <c r="AP706" s="22">
        <v>0</v>
      </c>
      <c r="AQ706" s="22">
        <v>0</v>
      </c>
      <c r="AR706" s="35">
        <v>0</v>
      </c>
      <c r="AS706" s="35">
        <v>0</v>
      </c>
      <c r="AT706" s="35">
        <v>6</v>
      </c>
      <c r="AU706" s="31" t="str">
        <f t="shared" si="14"/>
        <v>库存为6</v>
      </c>
      <c r="AV706" s="36" t="str">
        <f>IFERROR(时间!$B$4+AU706,"上周无销量")</f>
        <v>上周无销量</v>
      </c>
    </row>
    <row r="707" spans="1:48">
      <c r="A707" s="20" t="s">
        <v>1600</v>
      </c>
      <c r="B707" t="s">
        <v>1601</v>
      </c>
      <c r="C707" t="s">
        <v>1591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9</v>
      </c>
      <c r="J707" s="33">
        <v>0</v>
      </c>
      <c r="K707" s="33">
        <v>0</v>
      </c>
      <c r="L707" s="33">
        <v>0</v>
      </c>
      <c r="M707">
        <v>9</v>
      </c>
      <c r="N707">
        <v>0</v>
      </c>
      <c r="O707">
        <v>0</v>
      </c>
      <c r="P707" t="s">
        <v>53</v>
      </c>
      <c r="Q707" t="s">
        <v>53</v>
      </c>
      <c r="R707" t="s">
        <v>53</v>
      </c>
      <c r="S707" t="s">
        <v>53</v>
      </c>
      <c r="T707" t="s">
        <v>53</v>
      </c>
      <c r="U707" t="s">
        <v>53</v>
      </c>
      <c r="V707" t="s">
        <v>53</v>
      </c>
      <c r="W707" t="s">
        <v>53</v>
      </c>
      <c r="X707" s="22" t="s">
        <v>53</v>
      </c>
      <c r="Y707" s="22" t="s">
        <v>53</v>
      </c>
      <c r="Z707" s="22" t="s">
        <v>53</v>
      </c>
      <c r="AA707" s="22" t="s">
        <v>53</v>
      </c>
      <c r="AB707" t="s">
        <v>53</v>
      </c>
      <c r="AC707" t="s">
        <v>53</v>
      </c>
      <c r="AD707" t="s">
        <v>53</v>
      </c>
      <c r="AE707" t="s">
        <v>53</v>
      </c>
      <c r="AF707" s="22" t="s">
        <v>53</v>
      </c>
      <c r="AG707" s="22" t="s">
        <v>53</v>
      </c>
      <c r="AH707" s="22" t="s">
        <v>53</v>
      </c>
      <c r="AI707" s="22" t="s">
        <v>53</v>
      </c>
      <c r="AJ707">
        <v>6</v>
      </c>
      <c r="AK707">
        <v>7</v>
      </c>
      <c r="AL707">
        <v>2</v>
      </c>
      <c r="AM707">
        <v>4</v>
      </c>
      <c r="AN707" s="22">
        <v>0</v>
      </c>
      <c r="AO707" s="22">
        <v>0</v>
      </c>
      <c r="AP707" s="22">
        <v>0</v>
      </c>
      <c r="AQ707" s="22">
        <v>0</v>
      </c>
      <c r="AR707" s="35">
        <v>0</v>
      </c>
      <c r="AS707" s="35">
        <v>0</v>
      </c>
      <c r="AT707" s="35">
        <v>9</v>
      </c>
      <c r="AU707" s="31" t="str">
        <f t="shared" si="14"/>
        <v>库存为9</v>
      </c>
      <c r="AV707" s="36" t="str">
        <f>IFERROR(时间!$B$4+AU707,"上周无销量")</f>
        <v>上周无销量</v>
      </c>
    </row>
    <row r="708" spans="1:48">
      <c r="A708" s="20" t="s">
        <v>1602</v>
      </c>
      <c r="B708" t="s">
        <v>1603</v>
      </c>
      <c r="C708" t="s">
        <v>1591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8</v>
      </c>
      <c r="J708" s="33">
        <v>0</v>
      </c>
      <c r="K708" s="33">
        <v>0</v>
      </c>
      <c r="L708" s="33">
        <v>0</v>
      </c>
      <c r="M708">
        <v>8</v>
      </c>
      <c r="N708">
        <v>0</v>
      </c>
      <c r="O708">
        <v>3</v>
      </c>
      <c r="P708" t="s">
        <v>53</v>
      </c>
      <c r="Q708" t="s">
        <v>53</v>
      </c>
      <c r="R708" t="s">
        <v>53</v>
      </c>
      <c r="S708" t="s">
        <v>53</v>
      </c>
      <c r="T708" t="s">
        <v>53</v>
      </c>
      <c r="U708" t="s">
        <v>53</v>
      </c>
      <c r="V708" t="s">
        <v>53</v>
      </c>
      <c r="W708" t="s">
        <v>53</v>
      </c>
      <c r="X708" s="22" t="s">
        <v>53</v>
      </c>
      <c r="Y708" s="22" t="s">
        <v>53</v>
      </c>
      <c r="Z708" s="22" t="s">
        <v>53</v>
      </c>
      <c r="AA708" s="22" t="s">
        <v>53</v>
      </c>
      <c r="AB708" t="s">
        <v>53</v>
      </c>
      <c r="AC708" t="s">
        <v>53</v>
      </c>
      <c r="AD708" t="s">
        <v>53</v>
      </c>
      <c r="AE708" t="s">
        <v>53</v>
      </c>
      <c r="AF708" s="22" t="s">
        <v>53</v>
      </c>
      <c r="AG708" s="22" t="s">
        <v>53</v>
      </c>
      <c r="AH708" s="22" t="s">
        <v>53</v>
      </c>
      <c r="AI708" s="22" t="s">
        <v>53</v>
      </c>
      <c r="AJ708">
        <v>7</v>
      </c>
      <c r="AK708">
        <v>5</v>
      </c>
      <c r="AL708">
        <v>4</v>
      </c>
      <c r="AM708">
        <v>5</v>
      </c>
      <c r="AN708" s="22">
        <v>0</v>
      </c>
      <c r="AO708" s="22">
        <v>0</v>
      </c>
      <c r="AP708" s="22">
        <v>0</v>
      </c>
      <c r="AQ708" s="22">
        <v>0</v>
      </c>
      <c r="AR708" s="35">
        <v>0</v>
      </c>
      <c r="AS708" s="35">
        <v>0</v>
      </c>
      <c r="AT708" s="35">
        <v>8</v>
      </c>
      <c r="AU708" s="31" t="str">
        <f t="shared" si="14"/>
        <v>库存为8</v>
      </c>
      <c r="AV708" s="36" t="str">
        <f>IFERROR(时间!$B$4+AU708,"上周无销量")</f>
        <v>上周无销量</v>
      </c>
    </row>
    <row r="709" spans="1:48">
      <c r="A709" s="20" t="s">
        <v>1604</v>
      </c>
      <c r="B709" t="s">
        <v>1605</v>
      </c>
      <c r="C709" t="s">
        <v>1591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7</v>
      </c>
      <c r="J709" s="33">
        <v>0</v>
      </c>
      <c r="K709" s="33">
        <v>0</v>
      </c>
      <c r="L709" s="33">
        <v>0</v>
      </c>
      <c r="M709">
        <v>7</v>
      </c>
      <c r="N709">
        <v>0</v>
      </c>
      <c r="O709">
        <v>2</v>
      </c>
      <c r="P709" t="s">
        <v>53</v>
      </c>
      <c r="Q709" t="s">
        <v>53</v>
      </c>
      <c r="R709" t="s">
        <v>53</v>
      </c>
      <c r="S709" t="s">
        <v>53</v>
      </c>
      <c r="T709" t="s">
        <v>53</v>
      </c>
      <c r="U709" t="s">
        <v>53</v>
      </c>
      <c r="V709" t="s">
        <v>53</v>
      </c>
      <c r="W709" t="s">
        <v>53</v>
      </c>
      <c r="X709" s="22" t="s">
        <v>53</v>
      </c>
      <c r="Y709" s="22" t="s">
        <v>53</v>
      </c>
      <c r="Z709" s="22" t="s">
        <v>53</v>
      </c>
      <c r="AA709" s="22" t="s">
        <v>53</v>
      </c>
      <c r="AB709" t="s">
        <v>53</v>
      </c>
      <c r="AC709" t="s">
        <v>53</v>
      </c>
      <c r="AD709" t="s">
        <v>53</v>
      </c>
      <c r="AE709" t="s">
        <v>53</v>
      </c>
      <c r="AF709" s="22" t="s">
        <v>53</v>
      </c>
      <c r="AG709" s="22" t="s">
        <v>53</v>
      </c>
      <c r="AH709" s="22" t="s">
        <v>53</v>
      </c>
      <c r="AI709" s="22" t="s">
        <v>53</v>
      </c>
      <c r="AJ709">
        <v>8</v>
      </c>
      <c r="AK709">
        <v>10</v>
      </c>
      <c r="AL709">
        <v>10</v>
      </c>
      <c r="AM709">
        <v>8</v>
      </c>
      <c r="AN709" s="22">
        <v>0</v>
      </c>
      <c r="AO709" s="22">
        <v>0</v>
      </c>
      <c r="AP709" s="22">
        <v>0</v>
      </c>
      <c r="AQ709" s="22">
        <v>0</v>
      </c>
      <c r="AR709" s="35">
        <v>0</v>
      </c>
      <c r="AS709" s="35">
        <v>0</v>
      </c>
      <c r="AT709" s="35">
        <v>7</v>
      </c>
      <c r="AU709" s="31" t="str">
        <f t="shared" ref="AU709:AU772" si="15">IF(AR709="","库存为"&amp;M709,IF(AS709=0,"库存为"&amp;M709,INT(M709/AR709)))</f>
        <v>库存为7</v>
      </c>
      <c r="AV709" s="36" t="str">
        <f>IFERROR(时间!$B$4+AU709,"上周无销量")</f>
        <v>上周无销量</v>
      </c>
    </row>
    <row r="710" spans="1:48">
      <c r="A710" s="20" t="s">
        <v>1606</v>
      </c>
      <c r="B710" t="s">
        <v>1607</v>
      </c>
      <c r="C710" t="s">
        <v>1591</v>
      </c>
      <c r="D710" s="31">
        <v>1</v>
      </c>
      <c r="E710" s="31">
        <v>0</v>
      </c>
      <c r="F710" s="31">
        <v>1</v>
      </c>
      <c r="G710" s="31">
        <v>0</v>
      </c>
      <c r="H710" s="32">
        <v>17.99</v>
      </c>
      <c r="I710">
        <v>9</v>
      </c>
      <c r="J710" s="33">
        <v>0</v>
      </c>
      <c r="K710" s="33">
        <v>0</v>
      </c>
      <c r="L710" s="33">
        <v>0</v>
      </c>
      <c r="M710">
        <v>9</v>
      </c>
      <c r="N710">
        <v>0</v>
      </c>
      <c r="O710">
        <v>0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16</v>
      </c>
      <c r="AK710">
        <v>16</v>
      </c>
      <c r="AL710">
        <v>14</v>
      </c>
      <c r="AM710">
        <v>27</v>
      </c>
      <c r="AN710" s="22">
        <v>0.0625</v>
      </c>
      <c r="AO710" s="22">
        <v>0</v>
      </c>
      <c r="AP710" s="22">
        <v>0.0714285714285714</v>
      </c>
      <c r="AQ710" s="22">
        <v>0</v>
      </c>
      <c r="AR710" s="35">
        <v>0.142857142857143</v>
      </c>
      <c r="AS710" s="35">
        <v>8.57142857142857</v>
      </c>
      <c r="AT710" s="35">
        <v>0.428571428571429</v>
      </c>
      <c r="AU710" s="31">
        <f t="shared" si="15"/>
        <v>63</v>
      </c>
      <c r="AV710" s="36">
        <f>IFERROR(时间!$B$4+AU710,"上周无销量")</f>
        <v>43381</v>
      </c>
    </row>
    <row r="711" spans="1:48">
      <c r="A711" s="20" t="s">
        <v>1608</v>
      </c>
      <c r="B711" t="s">
        <v>1609</v>
      </c>
      <c r="C711" t="s">
        <v>1591</v>
      </c>
      <c r="D711" s="31">
        <v>1</v>
      </c>
      <c r="E711" s="31">
        <v>1</v>
      </c>
      <c r="F711" s="31">
        <v>1</v>
      </c>
      <c r="G711" s="31">
        <v>2</v>
      </c>
      <c r="H711" s="32">
        <v>19.99</v>
      </c>
      <c r="I711">
        <v>16</v>
      </c>
      <c r="J711" s="33">
        <v>0</v>
      </c>
      <c r="K711" s="33">
        <v>0</v>
      </c>
      <c r="L711" s="33">
        <v>0</v>
      </c>
      <c r="M711">
        <v>16</v>
      </c>
      <c r="N711">
        <v>0</v>
      </c>
      <c r="O711">
        <v>16</v>
      </c>
      <c r="P711" t="s">
        <v>53</v>
      </c>
      <c r="Q711" t="s">
        <v>53</v>
      </c>
      <c r="R711" t="s">
        <v>53</v>
      </c>
      <c r="S711" t="s">
        <v>53</v>
      </c>
      <c r="T711" t="s">
        <v>53</v>
      </c>
      <c r="U711" t="s">
        <v>53</v>
      </c>
      <c r="V711" t="s">
        <v>53</v>
      </c>
      <c r="W711" t="s">
        <v>53</v>
      </c>
      <c r="X711" s="22" t="s">
        <v>53</v>
      </c>
      <c r="Y711" s="22" t="s">
        <v>53</v>
      </c>
      <c r="Z711" s="22" t="s">
        <v>53</v>
      </c>
      <c r="AA711" s="22" t="s">
        <v>53</v>
      </c>
      <c r="AB711" t="s">
        <v>53</v>
      </c>
      <c r="AC711" t="s">
        <v>53</v>
      </c>
      <c r="AD711" t="s">
        <v>53</v>
      </c>
      <c r="AE711" t="s">
        <v>53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10</v>
      </c>
      <c r="AK711">
        <v>15</v>
      </c>
      <c r="AL711">
        <v>7</v>
      </c>
      <c r="AM711">
        <v>13</v>
      </c>
      <c r="AN711" s="22">
        <v>0.1</v>
      </c>
      <c r="AO711" s="22">
        <v>0.0666666666666667</v>
      </c>
      <c r="AP711" s="22">
        <v>0.142857142857143</v>
      </c>
      <c r="AQ711" s="22">
        <v>0.153846153846154</v>
      </c>
      <c r="AR711" s="35">
        <v>0.142857142857143</v>
      </c>
      <c r="AS711" s="35">
        <v>8.57142857142857</v>
      </c>
      <c r="AT711" s="35">
        <v>7.42857142857143</v>
      </c>
      <c r="AU711" s="31">
        <f t="shared" si="15"/>
        <v>112</v>
      </c>
      <c r="AV711" s="36">
        <f>IFERROR(时间!$B$4+AU711,"上周无销量")</f>
        <v>43430</v>
      </c>
    </row>
    <row r="712" spans="1:48">
      <c r="A712" s="20" t="s">
        <v>1610</v>
      </c>
      <c r="B712" t="s">
        <v>1611</v>
      </c>
      <c r="C712" t="s">
        <v>1591</v>
      </c>
      <c r="D712" s="31">
        <v>0</v>
      </c>
      <c r="E712" s="31">
        <v>0</v>
      </c>
      <c r="F712" s="31">
        <v>0</v>
      </c>
      <c r="G712" s="31">
        <v>2</v>
      </c>
      <c r="H712" s="32">
        <v>21.99</v>
      </c>
      <c r="I712">
        <v>20</v>
      </c>
      <c r="J712" s="33">
        <v>0</v>
      </c>
      <c r="K712" s="33">
        <v>0</v>
      </c>
      <c r="L712" s="33">
        <v>0</v>
      </c>
      <c r="M712">
        <v>20</v>
      </c>
      <c r="N712">
        <v>0</v>
      </c>
      <c r="O712">
        <v>20</v>
      </c>
      <c r="P712" t="s">
        <v>53</v>
      </c>
      <c r="Q712" t="s">
        <v>53</v>
      </c>
      <c r="R712" t="s">
        <v>53</v>
      </c>
      <c r="S712" t="s">
        <v>53</v>
      </c>
      <c r="T712" t="s">
        <v>53</v>
      </c>
      <c r="U712" t="s">
        <v>53</v>
      </c>
      <c r="V712" t="s">
        <v>53</v>
      </c>
      <c r="W712" t="s">
        <v>53</v>
      </c>
      <c r="X712" s="22" t="s">
        <v>53</v>
      </c>
      <c r="Y712" s="22" t="s">
        <v>53</v>
      </c>
      <c r="Z712" s="22" t="s">
        <v>53</v>
      </c>
      <c r="AA712" s="22" t="s">
        <v>53</v>
      </c>
      <c r="AB712" t="s">
        <v>53</v>
      </c>
      <c r="AC712" t="s">
        <v>53</v>
      </c>
      <c r="AD712" t="s">
        <v>53</v>
      </c>
      <c r="AE712" t="s">
        <v>53</v>
      </c>
      <c r="AF712" s="22" t="s">
        <v>53</v>
      </c>
      <c r="AG712" s="22" t="s">
        <v>53</v>
      </c>
      <c r="AH712" s="22" t="s">
        <v>53</v>
      </c>
      <c r="AI712" s="22" t="s">
        <v>53</v>
      </c>
      <c r="AJ712">
        <v>9</v>
      </c>
      <c r="AK712">
        <v>16</v>
      </c>
      <c r="AL712">
        <v>13</v>
      </c>
      <c r="AM712">
        <v>10</v>
      </c>
      <c r="AN712" s="22">
        <v>0</v>
      </c>
      <c r="AO712" s="22">
        <v>0</v>
      </c>
      <c r="AP712" s="22">
        <v>0</v>
      </c>
      <c r="AQ712" s="22">
        <v>0.2</v>
      </c>
      <c r="AR712" s="35">
        <v>0</v>
      </c>
      <c r="AS712" s="35">
        <v>0</v>
      </c>
      <c r="AT712" s="35">
        <v>20</v>
      </c>
      <c r="AU712" s="31" t="str">
        <f t="shared" si="15"/>
        <v>库存为20</v>
      </c>
      <c r="AV712" s="36" t="str">
        <f>IFERROR(时间!$B$4+AU712,"上周无销量")</f>
        <v>上周无销量</v>
      </c>
    </row>
    <row r="713" spans="1:48">
      <c r="A713" s="20" t="s">
        <v>1612</v>
      </c>
      <c r="B713" t="s">
        <v>1613</v>
      </c>
      <c r="C713" t="s">
        <v>1591</v>
      </c>
      <c r="D713" s="31">
        <v>0</v>
      </c>
      <c r="E713" s="31">
        <v>1</v>
      </c>
      <c r="F713" s="31">
        <v>1</v>
      </c>
      <c r="G713" s="31">
        <v>0</v>
      </c>
      <c r="H713" s="32">
        <v>23.99</v>
      </c>
      <c r="I713">
        <v>6</v>
      </c>
      <c r="J713" s="33">
        <v>0</v>
      </c>
      <c r="K713" s="33">
        <v>0</v>
      </c>
      <c r="L713" s="33">
        <v>0</v>
      </c>
      <c r="M713">
        <v>6</v>
      </c>
      <c r="N713">
        <v>0</v>
      </c>
      <c r="O713">
        <v>0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6</v>
      </c>
      <c r="AK713">
        <v>10</v>
      </c>
      <c r="AL713">
        <v>4</v>
      </c>
      <c r="AM713">
        <v>7</v>
      </c>
      <c r="AN713" s="22">
        <v>0</v>
      </c>
      <c r="AO713" s="22">
        <v>0.1</v>
      </c>
      <c r="AP713" s="22">
        <v>0.25</v>
      </c>
      <c r="AQ713" s="22">
        <v>0</v>
      </c>
      <c r="AR713" s="35">
        <v>0</v>
      </c>
      <c r="AS713" s="35">
        <v>0</v>
      </c>
      <c r="AT713" s="35">
        <v>6</v>
      </c>
      <c r="AU713" s="31" t="str">
        <f t="shared" si="15"/>
        <v>库存为6</v>
      </c>
      <c r="AV713" s="36" t="str">
        <f>IFERROR(时间!$B$4+AU713,"上周无销量")</f>
        <v>上周无销量</v>
      </c>
    </row>
    <row r="714" spans="1:48">
      <c r="A714" s="20" t="s">
        <v>1614</v>
      </c>
      <c r="B714" t="s">
        <v>1615</v>
      </c>
      <c r="C714" t="s">
        <v>1591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8</v>
      </c>
      <c r="J714" s="33">
        <v>0</v>
      </c>
      <c r="K714" s="33">
        <v>0</v>
      </c>
      <c r="L714" s="33">
        <v>0</v>
      </c>
      <c r="M714">
        <v>8</v>
      </c>
      <c r="N714">
        <v>0</v>
      </c>
      <c r="O714">
        <v>3</v>
      </c>
      <c r="P714" t="s">
        <v>53</v>
      </c>
      <c r="Q714" t="s">
        <v>53</v>
      </c>
      <c r="R714" t="s">
        <v>53</v>
      </c>
      <c r="S714" t="s">
        <v>53</v>
      </c>
      <c r="T714" t="s">
        <v>53</v>
      </c>
      <c r="U714" t="s">
        <v>53</v>
      </c>
      <c r="V714" t="s">
        <v>53</v>
      </c>
      <c r="W714" t="s">
        <v>53</v>
      </c>
      <c r="X714" s="22" t="s">
        <v>53</v>
      </c>
      <c r="Y714" s="22" t="s">
        <v>53</v>
      </c>
      <c r="Z714" s="22" t="s">
        <v>53</v>
      </c>
      <c r="AA714" s="22" t="s">
        <v>53</v>
      </c>
      <c r="AB714" t="s">
        <v>53</v>
      </c>
      <c r="AC714" t="s">
        <v>53</v>
      </c>
      <c r="AD714" t="s">
        <v>53</v>
      </c>
      <c r="AE714" t="s">
        <v>53</v>
      </c>
      <c r="AF714" s="22" t="s">
        <v>53</v>
      </c>
      <c r="AG714" s="22" t="s">
        <v>53</v>
      </c>
      <c r="AH714" s="22" t="s">
        <v>53</v>
      </c>
      <c r="AI714" s="22" t="s">
        <v>53</v>
      </c>
      <c r="AJ714">
        <v>10</v>
      </c>
      <c r="AK714">
        <v>12</v>
      </c>
      <c r="AL714">
        <v>7</v>
      </c>
      <c r="AM714">
        <v>9</v>
      </c>
      <c r="AN714" s="22">
        <v>0</v>
      </c>
      <c r="AO714" s="22">
        <v>0</v>
      </c>
      <c r="AP714" s="22">
        <v>0</v>
      </c>
      <c r="AQ714" s="22">
        <v>0</v>
      </c>
      <c r="AR714" s="35">
        <v>0</v>
      </c>
      <c r="AS714" s="35">
        <v>0</v>
      </c>
      <c r="AT714" s="35">
        <v>8</v>
      </c>
      <c r="AU714" s="31" t="str">
        <f t="shared" si="15"/>
        <v>库存为8</v>
      </c>
      <c r="AV714" s="36" t="str">
        <f>IFERROR(时间!$B$4+AU714,"上周无销量")</f>
        <v>上周无销量</v>
      </c>
    </row>
    <row r="715" spans="1:48">
      <c r="A715" s="20" t="s">
        <v>1616</v>
      </c>
      <c r="B715" t="s">
        <v>1617</v>
      </c>
      <c r="C715" t="s">
        <v>1591</v>
      </c>
      <c r="D715" s="31">
        <v>1</v>
      </c>
      <c r="E715" s="31">
        <v>1</v>
      </c>
      <c r="F715" s="31">
        <v>0</v>
      </c>
      <c r="G715" s="31">
        <v>3</v>
      </c>
      <c r="H715" s="32">
        <v>27.99</v>
      </c>
      <c r="I715">
        <v>6</v>
      </c>
      <c r="J715" s="33">
        <v>0</v>
      </c>
      <c r="K715" s="33">
        <v>0</v>
      </c>
      <c r="L715" s="33">
        <v>0</v>
      </c>
      <c r="M715">
        <v>6</v>
      </c>
      <c r="N715">
        <v>1</v>
      </c>
      <c r="O715">
        <v>6</v>
      </c>
      <c r="P715" t="s">
        <v>53</v>
      </c>
      <c r="Q715" t="s">
        <v>53</v>
      </c>
      <c r="R715" t="s">
        <v>53</v>
      </c>
      <c r="S715" t="s">
        <v>53</v>
      </c>
      <c r="T715" t="s">
        <v>53</v>
      </c>
      <c r="U715" t="s">
        <v>53</v>
      </c>
      <c r="V715" t="s">
        <v>53</v>
      </c>
      <c r="W715" t="s">
        <v>53</v>
      </c>
      <c r="X715" s="22" t="s">
        <v>53</v>
      </c>
      <c r="Y715" s="22" t="s">
        <v>53</v>
      </c>
      <c r="Z715" s="22" t="s">
        <v>53</v>
      </c>
      <c r="AA715" s="22" t="s">
        <v>53</v>
      </c>
      <c r="AB715" t="s">
        <v>53</v>
      </c>
      <c r="AC715" t="s">
        <v>53</v>
      </c>
      <c r="AD715" t="s">
        <v>53</v>
      </c>
      <c r="AE715" t="s">
        <v>53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7</v>
      </c>
      <c r="AK715">
        <v>15</v>
      </c>
      <c r="AL715">
        <v>6</v>
      </c>
      <c r="AM715">
        <v>13</v>
      </c>
      <c r="AN715" s="22">
        <v>0.142857142857143</v>
      </c>
      <c r="AO715" s="22">
        <v>0.0666666666666667</v>
      </c>
      <c r="AP715" s="22">
        <v>0</v>
      </c>
      <c r="AQ715" s="22">
        <v>0.230769230769231</v>
      </c>
      <c r="AR715" s="35">
        <v>0.142857142857143</v>
      </c>
      <c r="AS715" s="35">
        <v>8.57142857142857</v>
      </c>
      <c r="AT715" s="35">
        <v>-2.57142857142857</v>
      </c>
      <c r="AU715" s="31">
        <f t="shared" si="15"/>
        <v>42</v>
      </c>
      <c r="AV715" s="36">
        <f>IFERROR(时间!$B$4+AU715,"上周无销量")</f>
        <v>43360</v>
      </c>
    </row>
    <row r="716" spans="1:48">
      <c r="A716" s="20" t="s">
        <v>1618</v>
      </c>
      <c r="B716" t="s">
        <v>1619</v>
      </c>
      <c r="C716" t="s">
        <v>1591</v>
      </c>
      <c r="D716" s="31">
        <v>0</v>
      </c>
      <c r="E716" s="31">
        <v>0</v>
      </c>
      <c r="F716" s="31">
        <v>1</v>
      </c>
      <c r="G716" s="31">
        <v>0</v>
      </c>
      <c r="H716" s="32">
        <v>30.99</v>
      </c>
      <c r="I716">
        <v>22</v>
      </c>
      <c r="J716" s="33">
        <v>0</v>
      </c>
      <c r="K716" s="33">
        <v>0</v>
      </c>
      <c r="L716" s="33">
        <v>0</v>
      </c>
      <c r="M716">
        <v>22</v>
      </c>
      <c r="N716">
        <v>0</v>
      </c>
      <c r="O716">
        <v>18</v>
      </c>
      <c r="P716" t="s">
        <v>53</v>
      </c>
      <c r="Q716" t="s">
        <v>53</v>
      </c>
      <c r="R716" t="s">
        <v>53</v>
      </c>
      <c r="S716" t="s">
        <v>53</v>
      </c>
      <c r="T716" t="s">
        <v>53</v>
      </c>
      <c r="U716" t="s">
        <v>53</v>
      </c>
      <c r="V716" t="s">
        <v>53</v>
      </c>
      <c r="W716" t="s">
        <v>53</v>
      </c>
      <c r="X716" s="22" t="s">
        <v>53</v>
      </c>
      <c r="Y716" s="22" t="s">
        <v>53</v>
      </c>
      <c r="Z716" s="22" t="s">
        <v>53</v>
      </c>
      <c r="AA716" s="22" t="s">
        <v>53</v>
      </c>
      <c r="AB716" t="s">
        <v>53</v>
      </c>
      <c r="AC716" t="s">
        <v>53</v>
      </c>
      <c r="AD716" t="s">
        <v>53</v>
      </c>
      <c r="AE716" t="s">
        <v>53</v>
      </c>
      <c r="AF716" s="22" t="s">
        <v>53</v>
      </c>
      <c r="AG716" s="22" t="s">
        <v>53</v>
      </c>
      <c r="AH716" s="22" t="s">
        <v>53</v>
      </c>
      <c r="AI716" s="22" t="s">
        <v>53</v>
      </c>
      <c r="AJ716">
        <v>9</v>
      </c>
      <c r="AK716">
        <v>12</v>
      </c>
      <c r="AL716">
        <v>4</v>
      </c>
      <c r="AM716">
        <v>8</v>
      </c>
      <c r="AN716" s="22">
        <v>0</v>
      </c>
      <c r="AO716" s="22">
        <v>0</v>
      </c>
      <c r="AP716" s="22">
        <v>0.25</v>
      </c>
      <c r="AQ716" s="22">
        <v>0</v>
      </c>
      <c r="AR716" s="35">
        <v>0</v>
      </c>
      <c r="AS716" s="35">
        <v>0</v>
      </c>
      <c r="AT716" s="35">
        <v>22</v>
      </c>
      <c r="AU716" s="31" t="str">
        <f t="shared" si="15"/>
        <v>库存为22</v>
      </c>
      <c r="AV716" s="36" t="str">
        <f>IFERROR(时间!$B$4+AU716,"上周无销量")</f>
        <v>上周无销量</v>
      </c>
    </row>
    <row r="717" spans="1:48">
      <c r="A717" s="20" t="s">
        <v>1620</v>
      </c>
      <c r="B717" t="s">
        <v>1621</v>
      </c>
      <c r="C717" t="s">
        <v>1591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37</v>
      </c>
      <c r="J717" s="33">
        <v>0</v>
      </c>
      <c r="K717" s="33">
        <v>0</v>
      </c>
      <c r="L717" s="33">
        <v>0</v>
      </c>
      <c r="M717">
        <v>37</v>
      </c>
      <c r="N717">
        <v>0</v>
      </c>
      <c r="O717">
        <v>37</v>
      </c>
      <c r="P717" t="s">
        <v>53</v>
      </c>
      <c r="Q717" t="s">
        <v>53</v>
      </c>
      <c r="R717" t="s">
        <v>53</v>
      </c>
      <c r="S717" t="s">
        <v>53</v>
      </c>
      <c r="T717" t="s">
        <v>53</v>
      </c>
      <c r="U717" t="s">
        <v>53</v>
      </c>
      <c r="V717" t="s">
        <v>53</v>
      </c>
      <c r="W717" t="s">
        <v>53</v>
      </c>
      <c r="X717" s="22" t="s">
        <v>53</v>
      </c>
      <c r="Y717" s="22" t="s">
        <v>53</v>
      </c>
      <c r="Z717" s="22" t="s">
        <v>53</v>
      </c>
      <c r="AA717" s="22" t="s">
        <v>53</v>
      </c>
      <c r="AB717" t="s">
        <v>53</v>
      </c>
      <c r="AC717" t="s">
        <v>53</v>
      </c>
      <c r="AD717" t="s">
        <v>53</v>
      </c>
      <c r="AE717" t="s">
        <v>53</v>
      </c>
      <c r="AF717" s="22" t="s">
        <v>53</v>
      </c>
      <c r="AG717" s="22" t="s">
        <v>53</v>
      </c>
      <c r="AH717" s="22" t="s">
        <v>53</v>
      </c>
      <c r="AI717" s="22" t="s">
        <v>53</v>
      </c>
      <c r="AJ717">
        <v>12</v>
      </c>
      <c r="AK717">
        <v>7</v>
      </c>
      <c r="AL717">
        <v>8</v>
      </c>
      <c r="AM717">
        <v>2</v>
      </c>
      <c r="AN717" s="22">
        <v>0</v>
      </c>
      <c r="AO717" s="22">
        <v>0</v>
      </c>
      <c r="AP717" s="22">
        <v>0</v>
      </c>
      <c r="AQ717" s="22">
        <v>0</v>
      </c>
      <c r="AR717" s="35">
        <v>0</v>
      </c>
      <c r="AS717" s="35">
        <v>0</v>
      </c>
      <c r="AT717" s="35">
        <v>37</v>
      </c>
      <c r="AU717" s="31" t="str">
        <f t="shared" si="15"/>
        <v>库存为37</v>
      </c>
      <c r="AV717" s="36" t="str">
        <f>IFERROR(时间!$B$4+AU717,"上周无销量")</f>
        <v>上周无销量</v>
      </c>
    </row>
    <row r="718" spans="1:48">
      <c r="A718" s="20" t="s">
        <v>1622</v>
      </c>
      <c r="B718" t="s">
        <v>1623</v>
      </c>
      <c r="C718" t="s">
        <v>1591</v>
      </c>
      <c r="D718" s="31">
        <v>1</v>
      </c>
      <c r="E718" s="31">
        <v>0</v>
      </c>
      <c r="F718" s="31">
        <v>8</v>
      </c>
      <c r="G718" s="31">
        <v>0</v>
      </c>
      <c r="H718" s="32">
        <v>6.62</v>
      </c>
      <c r="I718">
        <v>7</v>
      </c>
      <c r="J718" s="33">
        <v>12</v>
      </c>
      <c r="K718" s="33">
        <v>0</v>
      </c>
      <c r="L718" s="33">
        <v>8</v>
      </c>
      <c r="M718">
        <v>27</v>
      </c>
      <c r="N718">
        <v>0</v>
      </c>
      <c r="O718">
        <v>0</v>
      </c>
      <c r="P718" t="s">
        <v>53</v>
      </c>
      <c r="Q718" t="s">
        <v>53</v>
      </c>
      <c r="R718" t="s">
        <v>53</v>
      </c>
      <c r="S718" t="s">
        <v>53</v>
      </c>
      <c r="T718" t="s">
        <v>53</v>
      </c>
      <c r="U718" t="s">
        <v>53</v>
      </c>
      <c r="V718" t="s">
        <v>53</v>
      </c>
      <c r="W718" t="s">
        <v>53</v>
      </c>
      <c r="X718" s="22" t="s">
        <v>53</v>
      </c>
      <c r="Y718" s="22" t="s">
        <v>53</v>
      </c>
      <c r="Z718" s="22" t="s">
        <v>53</v>
      </c>
      <c r="AA718" s="22" t="s">
        <v>53</v>
      </c>
      <c r="AB718" t="s">
        <v>53</v>
      </c>
      <c r="AC718" t="s">
        <v>53</v>
      </c>
      <c r="AD718" t="s">
        <v>53</v>
      </c>
      <c r="AE718" t="s">
        <v>53</v>
      </c>
      <c r="AF718" s="22" t="s">
        <v>53</v>
      </c>
      <c r="AG718" s="22" t="s">
        <v>53</v>
      </c>
      <c r="AH718" s="22" t="s">
        <v>53</v>
      </c>
      <c r="AI718" s="22" t="s">
        <v>53</v>
      </c>
      <c r="AJ718">
        <v>28</v>
      </c>
      <c r="AK718">
        <v>27</v>
      </c>
      <c r="AL718">
        <v>29</v>
      </c>
      <c r="AM718">
        <v>14</v>
      </c>
      <c r="AN718" s="22">
        <v>0.0357142857142857</v>
      </c>
      <c r="AO718" s="22">
        <v>0</v>
      </c>
      <c r="AP718" s="22">
        <v>0.275862068965517</v>
      </c>
      <c r="AQ718" s="22">
        <v>0</v>
      </c>
      <c r="AR718" s="35">
        <v>0.142857142857143</v>
      </c>
      <c r="AS718" s="35">
        <v>8.57142857142857</v>
      </c>
      <c r="AT718" s="35">
        <v>18.4285714285714</v>
      </c>
      <c r="AU718" s="31">
        <f t="shared" si="15"/>
        <v>189</v>
      </c>
      <c r="AV718" s="36">
        <f>IFERROR(时间!$B$4+AU718,"上周无销量")</f>
        <v>43507</v>
      </c>
    </row>
    <row r="719" spans="1:48">
      <c r="A719" s="20" t="s">
        <v>1624</v>
      </c>
      <c r="B719" t="s">
        <v>1625</v>
      </c>
      <c r="C719" t="s">
        <v>1591</v>
      </c>
      <c r="D719" s="31">
        <v>0</v>
      </c>
      <c r="E719" s="31">
        <v>0</v>
      </c>
      <c r="F719" s="31">
        <v>0</v>
      </c>
      <c r="G719" s="31">
        <v>1</v>
      </c>
      <c r="H719" s="32">
        <v>14.43</v>
      </c>
      <c r="I719">
        <v>9</v>
      </c>
      <c r="J719" s="33">
        <v>0</v>
      </c>
      <c r="K719" s="33">
        <v>0</v>
      </c>
      <c r="L719" s="33">
        <v>0</v>
      </c>
      <c r="M719">
        <v>9</v>
      </c>
      <c r="N719">
        <v>0</v>
      </c>
      <c r="O719">
        <v>9</v>
      </c>
      <c r="P719" t="s">
        <v>53</v>
      </c>
      <c r="Q719" t="s">
        <v>53</v>
      </c>
      <c r="R719" t="s">
        <v>53</v>
      </c>
      <c r="S719" t="s">
        <v>53</v>
      </c>
      <c r="T719" t="s">
        <v>53</v>
      </c>
      <c r="U719" t="s">
        <v>53</v>
      </c>
      <c r="V719" t="s">
        <v>53</v>
      </c>
      <c r="W719" t="s">
        <v>53</v>
      </c>
      <c r="X719" s="22" t="s">
        <v>53</v>
      </c>
      <c r="Y719" s="22" t="s">
        <v>53</v>
      </c>
      <c r="Z719" s="22" t="s">
        <v>53</v>
      </c>
      <c r="AA719" s="22" t="s">
        <v>53</v>
      </c>
      <c r="AB719" t="s">
        <v>53</v>
      </c>
      <c r="AC719" t="s">
        <v>53</v>
      </c>
      <c r="AD719" t="s">
        <v>53</v>
      </c>
      <c r="AE719" t="s">
        <v>53</v>
      </c>
      <c r="AF719" s="22" t="s">
        <v>53</v>
      </c>
      <c r="AG719" s="22" t="s">
        <v>53</v>
      </c>
      <c r="AH719" s="22" t="s">
        <v>53</v>
      </c>
      <c r="AI719" s="22" t="s">
        <v>53</v>
      </c>
      <c r="AJ719">
        <v>4</v>
      </c>
      <c r="AK719">
        <v>2</v>
      </c>
      <c r="AL719">
        <v>6</v>
      </c>
      <c r="AM719">
        <v>9</v>
      </c>
      <c r="AN719" s="22">
        <v>0</v>
      </c>
      <c r="AO719" s="22">
        <v>0</v>
      </c>
      <c r="AP719" s="22">
        <v>0</v>
      </c>
      <c r="AQ719" s="22">
        <v>0.111111111111111</v>
      </c>
      <c r="AR719" s="35">
        <v>0</v>
      </c>
      <c r="AS719" s="35">
        <v>0</v>
      </c>
      <c r="AT719" s="35">
        <v>9</v>
      </c>
      <c r="AU719" s="31" t="str">
        <f t="shared" si="15"/>
        <v>库存为9</v>
      </c>
      <c r="AV719" s="36" t="str">
        <f>IFERROR(时间!$B$4+AU719,"上周无销量")</f>
        <v>上周无销量</v>
      </c>
    </row>
    <row r="720" spans="1:48">
      <c r="A720" s="20" t="s">
        <v>1626</v>
      </c>
      <c r="B720" t="s">
        <v>1627</v>
      </c>
      <c r="C720" t="s">
        <v>1591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8</v>
      </c>
      <c r="J720" s="33">
        <v>0</v>
      </c>
      <c r="K720" s="33">
        <v>0</v>
      </c>
      <c r="L720" s="33">
        <v>0</v>
      </c>
      <c r="M720">
        <v>8</v>
      </c>
      <c r="N720">
        <v>0</v>
      </c>
      <c r="O720">
        <v>7</v>
      </c>
      <c r="P720" t="s">
        <v>53</v>
      </c>
      <c r="Q720" t="s">
        <v>53</v>
      </c>
      <c r="R720" t="s">
        <v>53</v>
      </c>
      <c r="S720" t="s">
        <v>53</v>
      </c>
      <c r="T720" t="s">
        <v>53</v>
      </c>
      <c r="U720" t="s">
        <v>53</v>
      </c>
      <c r="V720" t="s">
        <v>53</v>
      </c>
      <c r="W720" t="s">
        <v>53</v>
      </c>
      <c r="X720" s="22" t="s">
        <v>53</v>
      </c>
      <c r="Y720" s="22" t="s">
        <v>53</v>
      </c>
      <c r="Z720" s="22" t="s">
        <v>53</v>
      </c>
      <c r="AA720" s="22" t="s">
        <v>53</v>
      </c>
      <c r="AB720" t="s">
        <v>53</v>
      </c>
      <c r="AC720" t="s">
        <v>53</v>
      </c>
      <c r="AD720" t="s">
        <v>53</v>
      </c>
      <c r="AE720" t="s">
        <v>53</v>
      </c>
      <c r="AF720" s="22" t="s">
        <v>53</v>
      </c>
      <c r="AG720" s="22" t="s">
        <v>53</v>
      </c>
      <c r="AH720" s="22" t="s">
        <v>53</v>
      </c>
      <c r="AI720" s="22" t="s">
        <v>53</v>
      </c>
      <c r="AJ720">
        <v>5</v>
      </c>
      <c r="AK720">
        <v>3</v>
      </c>
      <c r="AL720">
        <v>5</v>
      </c>
      <c r="AM720">
        <v>12</v>
      </c>
      <c r="AN720" s="22">
        <v>0</v>
      </c>
      <c r="AO720" s="22">
        <v>0</v>
      </c>
      <c r="AP720" s="22">
        <v>0</v>
      </c>
      <c r="AQ720" s="22">
        <v>0</v>
      </c>
      <c r="AR720" s="35">
        <v>0</v>
      </c>
      <c r="AS720" s="35">
        <v>0</v>
      </c>
      <c r="AT720" s="35">
        <v>8</v>
      </c>
      <c r="AU720" s="31" t="str">
        <f t="shared" si="15"/>
        <v>库存为8</v>
      </c>
      <c r="AV720" s="36" t="str">
        <f>IFERROR(时间!$B$4+AU720,"上周无销量")</f>
        <v>上周无销量</v>
      </c>
    </row>
    <row r="721" spans="1:48">
      <c r="A721" s="20" t="s">
        <v>1628</v>
      </c>
      <c r="B721" t="s">
        <v>1629</v>
      </c>
      <c r="C721" t="s">
        <v>1591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13</v>
      </c>
      <c r="J721" s="33">
        <v>0</v>
      </c>
      <c r="K721" s="33">
        <v>0</v>
      </c>
      <c r="L721" s="33">
        <v>0</v>
      </c>
      <c r="M721">
        <v>13</v>
      </c>
      <c r="N721">
        <v>0</v>
      </c>
      <c r="O721">
        <v>13</v>
      </c>
      <c r="P721" t="s">
        <v>53</v>
      </c>
      <c r="Q721" t="s">
        <v>53</v>
      </c>
      <c r="R721" t="s">
        <v>53</v>
      </c>
      <c r="S721" t="s">
        <v>53</v>
      </c>
      <c r="T721" t="s">
        <v>53</v>
      </c>
      <c r="U721" t="s">
        <v>53</v>
      </c>
      <c r="V721" t="s">
        <v>53</v>
      </c>
      <c r="W721" t="s">
        <v>53</v>
      </c>
      <c r="X721" s="22" t="s">
        <v>53</v>
      </c>
      <c r="Y721" s="22" t="s">
        <v>53</v>
      </c>
      <c r="Z721" s="22" t="s">
        <v>53</v>
      </c>
      <c r="AA721" s="22" t="s">
        <v>53</v>
      </c>
      <c r="AB721" t="s">
        <v>53</v>
      </c>
      <c r="AC721" t="s">
        <v>53</v>
      </c>
      <c r="AD721" t="s">
        <v>53</v>
      </c>
      <c r="AE721" t="s">
        <v>53</v>
      </c>
      <c r="AF721" s="22" t="s">
        <v>53</v>
      </c>
      <c r="AG721" s="22" t="s">
        <v>53</v>
      </c>
      <c r="AH721" s="22" t="s">
        <v>53</v>
      </c>
      <c r="AI721" s="22" t="s">
        <v>53</v>
      </c>
      <c r="AJ721">
        <v>5</v>
      </c>
      <c r="AK721">
        <v>5</v>
      </c>
      <c r="AL721">
        <v>3</v>
      </c>
      <c r="AM721">
        <v>8</v>
      </c>
      <c r="AN721" s="22">
        <v>0</v>
      </c>
      <c r="AO721" s="22">
        <v>0</v>
      </c>
      <c r="AP721" s="22">
        <v>0</v>
      </c>
      <c r="AQ721" s="22">
        <v>0</v>
      </c>
      <c r="AR721" s="35">
        <v>0</v>
      </c>
      <c r="AS721" s="35">
        <v>0</v>
      </c>
      <c r="AT721" s="35">
        <v>13</v>
      </c>
      <c r="AU721" s="31" t="str">
        <f t="shared" si="15"/>
        <v>库存为13</v>
      </c>
      <c r="AV721" s="36" t="str">
        <f>IFERROR(时间!$B$4+AU721,"上周无销量")</f>
        <v>上周无销量</v>
      </c>
    </row>
    <row r="722" spans="1:48">
      <c r="A722" s="20" t="s">
        <v>1630</v>
      </c>
      <c r="B722" t="s">
        <v>1631</v>
      </c>
      <c r="C722" t="s">
        <v>1591</v>
      </c>
      <c r="D722" s="31">
        <v>0</v>
      </c>
      <c r="E722" s="31">
        <v>0</v>
      </c>
      <c r="F722" s="31">
        <v>1</v>
      </c>
      <c r="G722" s="31">
        <v>0</v>
      </c>
      <c r="H722" s="32">
        <v>23.99</v>
      </c>
      <c r="I722">
        <v>15</v>
      </c>
      <c r="J722" s="33">
        <v>0</v>
      </c>
      <c r="K722" s="33">
        <v>0</v>
      </c>
      <c r="L722" s="33">
        <v>0</v>
      </c>
      <c r="M722">
        <v>15</v>
      </c>
      <c r="N722">
        <v>0</v>
      </c>
      <c r="O722">
        <v>15</v>
      </c>
      <c r="P722" t="s">
        <v>53</v>
      </c>
      <c r="Q722" t="s">
        <v>53</v>
      </c>
      <c r="R722" t="s">
        <v>53</v>
      </c>
      <c r="S722" t="s">
        <v>53</v>
      </c>
      <c r="T722" t="s">
        <v>53</v>
      </c>
      <c r="U722" t="s">
        <v>53</v>
      </c>
      <c r="V722" t="s">
        <v>53</v>
      </c>
      <c r="W722" t="s">
        <v>53</v>
      </c>
      <c r="X722" s="22" t="s">
        <v>53</v>
      </c>
      <c r="Y722" s="22" t="s">
        <v>53</v>
      </c>
      <c r="Z722" s="22" t="s">
        <v>53</v>
      </c>
      <c r="AA722" s="22" t="s">
        <v>53</v>
      </c>
      <c r="AB722" t="s">
        <v>53</v>
      </c>
      <c r="AC722" t="s">
        <v>53</v>
      </c>
      <c r="AD722" t="s">
        <v>53</v>
      </c>
      <c r="AE722" t="s">
        <v>53</v>
      </c>
      <c r="AF722" s="22" t="s">
        <v>53</v>
      </c>
      <c r="AG722" s="22" t="s">
        <v>53</v>
      </c>
      <c r="AH722" s="22" t="s">
        <v>53</v>
      </c>
      <c r="AI722" s="22" t="s">
        <v>53</v>
      </c>
      <c r="AJ722">
        <v>5</v>
      </c>
      <c r="AK722">
        <v>10</v>
      </c>
      <c r="AL722">
        <v>2</v>
      </c>
      <c r="AM722">
        <v>6</v>
      </c>
      <c r="AN722" s="22">
        <v>0</v>
      </c>
      <c r="AO722" s="22">
        <v>0</v>
      </c>
      <c r="AP722" s="22">
        <v>0.5</v>
      </c>
      <c r="AQ722" s="22">
        <v>0</v>
      </c>
      <c r="AR722" s="35">
        <v>0</v>
      </c>
      <c r="AS722" s="35">
        <v>0</v>
      </c>
      <c r="AT722" s="35">
        <v>15</v>
      </c>
      <c r="AU722" s="31" t="str">
        <f t="shared" si="15"/>
        <v>库存为15</v>
      </c>
      <c r="AV722" s="36" t="str">
        <f>IFERROR(时间!$B$4+AU722,"上周无销量")</f>
        <v>上周无销量</v>
      </c>
    </row>
    <row r="723" spans="1:48">
      <c r="A723" s="20" t="s">
        <v>1632</v>
      </c>
      <c r="B723" t="s">
        <v>1633</v>
      </c>
      <c r="C723" t="s">
        <v>1591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17</v>
      </c>
      <c r="J723" s="33">
        <v>0</v>
      </c>
      <c r="K723" s="33">
        <v>0</v>
      </c>
      <c r="L723" s="33">
        <v>0</v>
      </c>
      <c r="M723">
        <v>17</v>
      </c>
      <c r="N723">
        <v>0</v>
      </c>
      <c r="O723">
        <v>17</v>
      </c>
      <c r="P723" t="s">
        <v>53</v>
      </c>
      <c r="Q723" t="s">
        <v>53</v>
      </c>
      <c r="R723" t="s">
        <v>53</v>
      </c>
      <c r="S723" t="s">
        <v>53</v>
      </c>
      <c r="T723" t="s">
        <v>53</v>
      </c>
      <c r="U723" t="s">
        <v>53</v>
      </c>
      <c r="V723" t="s">
        <v>53</v>
      </c>
      <c r="W723" t="s">
        <v>53</v>
      </c>
      <c r="X723" s="22" t="s">
        <v>53</v>
      </c>
      <c r="Y723" s="22" t="s">
        <v>53</v>
      </c>
      <c r="Z723" s="22" t="s">
        <v>53</v>
      </c>
      <c r="AA723" s="22" t="s">
        <v>53</v>
      </c>
      <c r="AB723" t="s">
        <v>53</v>
      </c>
      <c r="AC723" t="s">
        <v>53</v>
      </c>
      <c r="AD723" t="s">
        <v>53</v>
      </c>
      <c r="AE723" t="s">
        <v>53</v>
      </c>
      <c r="AF723" s="22" t="s">
        <v>53</v>
      </c>
      <c r="AG723" s="22" t="s">
        <v>53</v>
      </c>
      <c r="AH723" s="22" t="s">
        <v>53</v>
      </c>
      <c r="AI723" s="22" t="s">
        <v>53</v>
      </c>
      <c r="AJ723">
        <v>6</v>
      </c>
      <c r="AK723">
        <v>3</v>
      </c>
      <c r="AL723">
        <v>6</v>
      </c>
      <c r="AM723">
        <v>3</v>
      </c>
      <c r="AN723" s="22">
        <v>0</v>
      </c>
      <c r="AO723" s="22">
        <v>0</v>
      </c>
      <c r="AP723" s="22">
        <v>0</v>
      </c>
      <c r="AQ723" s="22">
        <v>0</v>
      </c>
      <c r="AR723" s="35">
        <v>0</v>
      </c>
      <c r="AS723" s="35">
        <v>0</v>
      </c>
      <c r="AT723" s="35">
        <v>17</v>
      </c>
      <c r="AU723" s="31" t="str">
        <f t="shared" si="15"/>
        <v>库存为17</v>
      </c>
      <c r="AV723" s="36" t="str">
        <f>IFERROR(时间!$B$4+AU723,"上周无销量")</f>
        <v>上周无销量</v>
      </c>
    </row>
    <row r="724" spans="1:48">
      <c r="A724" s="20" t="s">
        <v>1634</v>
      </c>
      <c r="B724" t="s">
        <v>1635</v>
      </c>
      <c r="C724" t="s">
        <v>1591</v>
      </c>
      <c r="D724" s="31">
        <v>0</v>
      </c>
      <c r="E724" s="31">
        <v>0</v>
      </c>
      <c r="F724" s="31">
        <v>1</v>
      </c>
      <c r="G724" s="31">
        <v>0</v>
      </c>
      <c r="H724" s="32">
        <v>22.39</v>
      </c>
      <c r="I724">
        <v>11</v>
      </c>
      <c r="J724" s="33">
        <v>0</v>
      </c>
      <c r="K724" s="33">
        <v>0</v>
      </c>
      <c r="L724" s="33">
        <v>0</v>
      </c>
      <c r="M724">
        <v>11</v>
      </c>
      <c r="N724">
        <v>0</v>
      </c>
      <c r="O724">
        <v>10</v>
      </c>
      <c r="P724" t="s">
        <v>53</v>
      </c>
      <c r="Q724" t="s">
        <v>53</v>
      </c>
      <c r="R724" t="s">
        <v>53</v>
      </c>
      <c r="S724" t="s">
        <v>53</v>
      </c>
      <c r="T724" t="s">
        <v>53</v>
      </c>
      <c r="U724" t="s">
        <v>53</v>
      </c>
      <c r="V724" t="s">
        <v>53</v>
      </c>
      <c r="W724" t="s">
        <v>53</v>
      </c>
      <c r="X724" s="22" t="s">
        <v>53</v>
      </c>
      <c r="Y724" s="22" t="s">
        <v>53</v>
      </c>
      <c r="Z724" s="22" t="s">
        <v>53</v>
      </c>
      <c r="AA724" s="22" t="s">
        <v>53</v>
      </c>
      <c r="AB724" t="s">
        <v>53</v>
      </c>
      <c r="AC724" t="s">
        <v>53</v>
      </c>
      <c r="AD724" t="s">
        <v>53</v>
      </c>
      <c r="AE724" t="s">
        <v>53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4</v>
      </c>
      <c r="AK724">
        <v>6</v>
      </c>
      <c r="AL724">
        <v>7</v>
      </c>
      <c r="AM724">
        <v>8</v>
      </c>
      <c r="AN724" s="22">
        <v>0</v>
      </c>
      <c r="AO724" s="22">
        <v>0</v>
      </c>
      <c r="AP724" s="22">
        <v>0.142857142857143</v>
      </c>
      <c r="AQ724" s="22">
        <v>0</v>
      </c>
      <c r="AR724" s="35">
        <v>0</v>
      </c>
      <c r="AS724" s="35">
        <v>0</v>
      </c>
      <c r="AT724" s="35">
        <v>11</v>
      </c>
      <c r="AU724" s="31" t="str">
        <f t="shared" si="15"/>
        <v>库存为11</v>
      </c>
      <c r="AV724" s="36" t="str">
        <f>IFERROR(时间!$B$4+AU724,"上周无销量")</f>
        <v>上周无销量</v>
      </c>
    </row>
    <row r="725" spans="1:48">
      <c r="A725" s="20" t="s">
        <v>1636</v>
      </c>
      <c r="B725" t="s">
        <v>1637</v>
      </c>
      <c r="C725" t="s">
        <v>1591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9</v>
      </c>
      <c r="J725" s="33">
        <v>0</v>
      </c>
      <c r="K725" s="33">
        <v>0</v>
      </c>
      <c r="L725" s="33">
        <v>0</v>
      </c>
      <c r="M725">
        <v>9</v>
      </c>
      <c r="N725">
        <v>0</v>
      </c>
      <c r="O725">
        <v>9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4</v>
      </c>
      <c r="AK725">
        <v>5</v>
      </c>
      <c r="AL725">
        <v>4</v>
      </c>
      <c r="AM725">
        <v>9</v>
      </c>
      <c r="AN725" s="22">
        <v>0</v>
      </c>
      <c r="AO725" s="22">
        <v>0</v>
      </c>
      <c r="AP725" s="22">
        <v>0</v>
      </c>
      <c r="AQ725" s="22">
        <v>0</v>
      </c>
      <c r="AR725" s="35">
        <v>0</v>
      </c>
      <c r="AS725" s="35">
        <v>0</v>
      </c>
      <c r="AT725" s="35">
        <v>9</v>
      </c>
      <c r="AU725" s="31" t="str">
        <f t="shared" si="15"/>
        <v>库存为9</v>
      </c>
      <c r="AV725" s="36" t="str">
        <f>IFERROR(时间!$B$4+AU725,"上周无销量")</f>
        <v>上周无销量</v>
      </c>
    </row>
    <row r="726" spans="1:48">
      <c r="A726" s="20" t="s">
        <v>1638</v>
      </c>
      <c r="B726" t="s">
        <v>1639</v>
      </c>
      <c r="C726" t="s">
        <v>1591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21</v>
      </c>
      <c r="J726" s="33">
        <v>0</v>
      </c>
      <c r="K726" s="33">
        <v>0</v>
      </c>
      <c r="L726" s="33">
        <v>0</v>
      </c>
      <c r="M726">
        <v>21</v>
      </c>
      <c r="N726">
        <v>0</v>
      </c>
      <c r="O726">
        <v>19</v>
      </c>
      <c r="P726" t="s">
        <v>53</v>
      </c>
      <c r="Q726" t="s">
        <v>53</v>
      </c>
      <c r="R726" t="s">
        <v>53</v>
      </c>
      <c r="S726" t="s">
        <v>53</v>
      </c>
      <c r="T726" t="s">
        <v>53</v>
      </c>
      <c r="U726" t="s">
        <v>53</v>
      </c>
      <c r="V726" t="s">
        <v>53</v>
      </c>
      <c r="W726" t="s">
        <v>53</v>
      </c>
      <c r="X726" s="22" t="s">
        <v>53</v>
      </c>
      <c r="Y726" s="22" t="s">
        <v>53</v>
      </c>
      <c r="Z726" s="22" t="s">
        <v>53</v>
      </c>
      <c r="AA726" s="22" t="s">
        <v>53</v>
      </c>
      <c r="AB726" t="s">
        <v>53</v>
      </c>
      <c r="AC726" t="s">
        <v>53</v>
      </c>
      <c r="AD726" t="s">
        <v>53</v>
      </c>
      <c r="AE726" t="s">
        <v>53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1</v>
      </c>
      <c r="AK726">
        <v>7</v>
      </c>
      <c r="AL726">
        <v>6</v>
      </c>
      <c r="AM726">
        <v>4</v>
      </c>
      <c r="AN726" s="22">
        <v>0</v>
      </c>
      <c r="AO726" s="22">
        <v>0</v>
      </c>
      <c r="AP726" s="22">
        <v>0</v>
      </c>
      <c r="AQ726" s="22">
        <v>0</v>
      </c>
      <c r="AR726" s="35">
        <v>0</v>
      </c>
      <c r="AS726" s="35">
        <v>0</v>
      </c>
      <c r="AT726" s="35">
        <v>21</v>
      </c>
      <c r="AU726" s="31" t="str">
        <f t="shared" si="15"/>
        <v>库存为21</v>
      </c>
      <c r="AV726" s="36" t="str">
        <f>IFERROR(时间!$B$4+AU726,"上周无销量")</f>
        <v>上周无销量</v>
      </c>
    </row>
    <row r="727" spans="1:48">
      <c r="A727" s="20" t="s">
        <v>1640</v>
      </c>
      <c r="B727" t="s">
        <v>1641</v>
      </c>
      <c r="C727" t="s">
        <v>1591</v>
      </c>
      <c r="D727" s="31">
        <v>1</v>
      </c>
      <c r="E727" s="31">
        <v>0</v>
      </c>
      <c r="F727" s="31">
        <v>0</v>
      </c>
      <c r="G727" s="31">
        <v>0</v>
      </c>
      <c r="H727" s="32">
        <v>12.99</v>
      </c>
      <c r="I727">
        <v>7</v>
      </c>
      <c r="J727" s="33">
        <v>0</v>
      </c>
      <c r="K727" s="33">
        <v>0</v>
      </c>
      <c r="L727" s="33">
        <v>0</v>
      </c>
      <c r="M727">
        <v>7</v>
      </c>
      <c r="N727">
        <v>0</v>
      </c>
      <c r="O727">
        <v>7</v>
      </c>
      <c r="P727" t="s">
        <v>53</v>
      </c>
      <c r="Q727" t="s">
        <v>53</v>
      </c>
      <c r="R727" t="s">
        <v>53</v>
      </c>
      <c r="S727" t="s">
        <v>53</v>
      </c>
      <c r="T727" t="s">
        <v>53</v>
      </c>
      <c r="U727" t="s">
        <v>53</v>
      </c>
      <c r="V727" t="s">
        <v>53</v>
      </c>
      <c r="W727" t="s">
        <v>53</v>
      </c>
      <c r="X727" s="22" t="s">
        <v>53</v>
      </c>
      <c r="Y727" s="22" t="s">
        <v>53</v>
      </c>
      <c r="Z727" s="22" t="s">
        <v>53</v>
      </c>
      <c r="AA727" s="22" t="s">
        <v>53</v>
      </c>
      <c r="AB727" t="s">
        <v>53</v>
      </c>
      <c r="AC727" t="s">
        <v>53</v>
      </c>
      <c r="AD727" t="s">
        <v>53</v>
      </c>
      <c r="AE727" t="s">
        <v>53</v>
      </c>
      <c r="AF727" s="22" t="s">
        <v>53</v>
      </c>
      <c r="AG727" s="22" t="s">
        <v>53</v>
      </c>
      <c r="AH727" s="22" t="s">
        <v>53</v>
      </c>
      <c r="AI727" s="22" t="s">
        <v>53</v>
      </c>
      <c r="AJ727">
        <v>10</v>
      </c>
      <c r="AK727">
        <v>6</v>
      </c>
      <c r="AL727">
        <v>15</v>
      </c>
      <c r="AM727">
        <v>8</v>
      </c>
      <c r="AN727" s="22">
        <v>0.1</v>
      </c>
      <c r="AO727" s="22">
        <v>0</v>
      </c>
      <c r="AP727" s="22">
        <v>0</v>
      </c>
      <c r="AQ727" s="22">
        <v>0</v>
      </c>
      <c r="AR727" s="35">
        <v>0.142857142857143</v>
      </c>
      <c r="AS727" s="35">
        <v>8.57142857142857</v>
      </c>
      <c r="AT727" s="35">
        <v>-1.57142857142857</v>
      </c>
      <c r="AU727" s="31">
        <f t="shared" si="15"/>
        <v>49</v>
      </c>
      <c r="AV727" s="36">
        <f>IFERROR(时间!$B$4+AU727,"上周无销量")</f>
        <v>43367</v>
      </c>
    </row>
    <row r="728" spans="1:48">
      <c r="A728" s="20" t="s">
        <v>1642</v>
      </c>
      <c r="B728" t="s">
        <v>1643</v>
      </c>
      <c r="C728" t="s">
        <v>1591</v>
      </c>
      <c r="D728" s="31">
        <v>0</v>
      </c>
      <c r="E728" s="31">
        <v>4</v>
      </c>
      <c r="F728" s="31">
        <v>3</v>
      </c>
      <c r="G728" s="31">
        <v>1</v>
      </c>
      <c r="H728" s="32">
        <v>17.99</v>
      </c>
      <c r="I728">
        <v>19</v>
      </c>
      <c r="J728" s="33">
        <v>0</v>
      </c>
      <c r="K728" s="33">
        <v>0</v>
      </c>
      <c r="L728" s="33">
        <v>0</v>
      </c>
      <c r="M728">
        <v>19</v>
      </c>
      <c r="N728">
        <v>1</v>
      </c>
      <c r="O728">
        <v>0</v>
      </c>
      <c r="P728">
        <v>803</v>
      </c>
      <c r="Q728">
        <v>1241</v>
      </c>
      <c r="R728">
        <v>1882</v>
      </c>
      <c r="S728">
        <v>687</v>
      </c>
      <c r="T728">
        <v>4</v>
      </c>
      <c r="U728">
        <v>10</v>
      </c>
      <c r="V728">
        <v>17</v>
      </c>
      <c r="W728">
        <v>4</v>
      </c>
      <c r="X728" s="22">
        <v>0.0049813200498132</v>
      </c>
      <c r="Y728" s="22">
        <v>0.008058017727639</v>
      </c>
      <c r="Z728" s="22">
        <v>0.00903294367693943</v>
      </c>
      <c r="AA728" s="22">
        <v>0.00582241630276565</v>
      </c>
      <c r="AB728">
        <v>0.81</v>
      </c>
      <c r="AC728">
        <v>1.28</v>
      </c>
      <c r="AD728">
        <v>1.91</v>
      </c>
      <c r="AE728">
        <v>0.51</v>
      </c>
      <c r="AF728" s="22" t="s">
        <v>1157</v>
      </c>
      <c r="AG728" s="22">
        <v>0.0177876598110061</v>
      </c>
      <c r="AH728" s="22">
        <v>0.0353900314989809</v>
      </c>
      <c r="AI728" s="22">
        <v>0.028349082823791</v>
      </c>
      <c r="AJ728">
        <v>32</v>
      </c>
      <c r="AK728">
        <v>38</v>
      </c>
      <c r="AL728">
        <v>28</v>
      </c>
      <c r="AM728">
        <v>41</v>
      </c>
      <c r="AN728" s="22">
        <v>0</v>
      </c>
      <c r="AO728" s="22">
        <v>0.105263157894737</v>
      </c>
      <c r="AP728" s="22">
        <v>0.107142857142857</v>
      </c>
      <c r="AQ728" s="22">
        <v>0.024390243902439</v>
      </c>
      <c r="AR728" s="35">
        <v>0</v>
      </c>
      <c r="AS728" s="35">
        <v>0</v>
      </c>
      <c r="AT728" s="35">
        <v>19</v>
      </c>
      <c r="AU728" s="31" t="str">
        <f t="shared" si="15"/>
        <v>库存为19</v>
      </c>
      <c r="AV728" s="36" t="str">
        <f>IFERROR(时间!$B$4+AU728,"上周无销量")</f>
        <v>上周无销量</v>
      </c>
    </row>
    <row r="729" spans="1:48">
      <c r="A729" s="20" t="s">
        <v>1644</v>
      </c>
      <c r="B729" t="s">
        <v>1645</v>
      </c>
      <c r="C729" t="s">
        <v>1591</v>
      </c>
      <c r="D729" s="31">
        <v>3</v>
      </c>
      <c r="E729" s="31">
        <v>0</v>
      </c>
      <c r="F729" s="31">
        <v>2</v>
      </c>
      <c r="G729" s="31">
        <v>2</v>
      </c>
      <c r="H729" s="32">
        <v>19.99</v>
      </c>
      <c r="I729">
        <v>20</v>
      </c>
      <c r="J729" s="33">
        <v>0</v>
      </c>
      <c r="K729" s="33">
        <v>0</v>
      </c>
      <c r="L729" s="33">
        <v>0</v>
      </c>
      <c r="M729">
        <v>20</v>
      </c>
      <c r="N729">
        <v>0</v>
      </c>
      <c r="O729">
        <v>0</v>
      </c>
      <c r="P729" t="s">
        <v>53</v>
      </c>
      <c r="Q729" t="s">
        <v>53</v>
      </c>
      <c r="R729" t="s">
        <v>53</v>
      </c>
      <c r="S729" t="s">
        <v>53</v>
      </c>
      <c r="T729" t="s">
        <v>53</v>
      </c>
      <c r="U729" t="s">
        <v>53</v>
      </c>
      <c r="V729" t="s">
        <v>53</v>
      </c>
      <c r="W729" t="s">
        <v>53</v>
      </c>
      <c r="X729" s="22" t="s">
        <v>53</v>
      </c>
      <c r="Y729" s="22" t="s">
        <v>53</v>
      </c>
      <c r="Z729" s="22" t="s">
        <v>53</v>
      </c>
      <c r="AA729" s="22" t="s">
        <v>53</v>
      </c>
      <c r="AB729" t="s">
        <v>53</v>
      </c>
      <c r="AC729" t="s">
        <v>53</v>
      </c>
      <c r="AD729" t="s">
        <v>53</v>
      </c>
      <c r="AE729" t="s">
        <v>53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30</v>
      </c>
      <c r="AK729">
        <v>32</v>
      </c>
      <c r="AL729">
        <v>19</v>
      </c>
      <c r="AM729">
        <v>19</v>
      </c>
      <c r="AN729" s="22">
        <v>0.1</v>
      </c>
      <c r="AO729" s="22">
        <v>0</v>
      </c>
      <c r="AP729" s="22">
        <v>0.105263157894737</v>
      </c>
      <c r="AQ729" s="22">
        <v>0.105263157894737</v>
      </c>
      <c r="AR729" s="35">
        <v>0.428571428571429</v>
      </c>
      <c r="AS729" s="35">
        <v>25.7142857142857</v>
      </c>
      <c r="AT729" s="35">
        <v>-5.71428571428571</v>
      </c>
      <c r="AU729" s="31">
        <f t="shared" si="15"/>
        <v>46</v>
      </c>
      <c r="AV729" s="36">
        <f>IFERROR(时间!$B$4+AU729,"上周无销量")</f>
        <v>43364</v>
      </c>
    </row>
    <row r="730" spans="1:48">
      <c r="A730" s="20" t="s">
        <v>1646</v>
      </c>
      <c r="B730" t="s">
        <v>1647</v>
      </c>
      <c r="C730" t="s">
        <v>1591</v>
      </c>
      <c r="D730" s="31">
        <v>0</v>
      </c>
      <c r="E730" s="31">
        <v>2</v>
      </c>
      <c r="F730" s="31">
        <v>0</v>
      </c>
      <c r="G730" s="31">
        <v>0</v>
      </c>
      <c r="H730" s="32">
        <v>21.99</v>
      </c>
      <c r="I730">
        <v>41</v>
      </c>
      <c r="J730" s="33">
        <v>0</v>
      </c>
      <c r="K730" s="33">
        <v>0</v>
      </c>
      <c r="L730" s="33">
        <v>0</v>
      </c>
      <c r="M730">
        <v>41</v>
      </c>
      <c r="N730">
        <v>0</v>
      </c>
      <c r="O730">
        <v>41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13</v>
      </c>
      <c r="AK730">
        <v>9</v>
      </c>
      <c r="AL730">
        <v>4</v>
      </c>
      <c r="AM730">
        <v>6</v>
      </c>
      <c r="AN730" s="22">
        <v>0</v>
      </c>
      <c r="AO730" s="22">
        <v>0.222222222222222</v>
      </c>
      <c r="AP730" s="22">
        <v>0</v>
      </c>
      <c r="AQ730" s="22">
        <v>0</v>
      </c>
      <c r="AR730" s="35">
        <v>0</v>
      </c>
      <c r="AS730" s="35">
        <v>0</v>
      </c>
      <c r="AT730" s="35">
        <v>41</v>
      </c>
      <c r="AU730" s="31" t="str">
        <f t="shared" si="15"/>
        <v>库存为41</v>
      </c>
      <c r="AV730" s="36" t="str">
        <f>IFERROR(时间!$B$4+AU730,"上周无销量")</f>
        <v>上周无销量</v>
      </c>
    </row>
    <row r="731" spans="1:48">
      <c r="A731" s="20" t="s">
        <v>1648</v>
      </c>
      <c r="B731" t="s">
        <v>1649</v>
      </c>
      <c r="C731" t="s">
        <v>1591</v>
      </c>
      <c r="D731" s="31">
        <v>2</v>
      </c>
      <c r="E731" s="31">
        <v>2</v>
      </c>
      <c r="F731" s="31">
        <v>1</v>
      </c>
      <c r="G731" s="31">
        <v>0</v>
      </c>
      <c r="H731" s="32">
        <v>22.99</v>
      </c>
      <c r="I731">
        <v>35</v>
      </c>
      <c r="J731" s="33">
        <v>0</v>
      </c>
      <c r="K731" s="33">
        <v>0</v>
      </c>
      <c r="L731" s="33">
        <v>0</v>
      </c>
      <c r="M731">
        <v>35</v>
      </c>
      <c r="N731">
        <v>0</v>
      </c>
      <c r="O731">
        <v>0</v>
      </c>
      <c r="P731">
        <v>1275</v>
      </c>
      <c r="Q731">
        <v>770</v>
      </c>
      <c r="R731">
        <v>516</v>
      </c>
      <c r="S731">
        <v>580</v>
      </c>
      <c r="T731">
        <v>18</v>
      </c>
      <c r="U731">
        <v>10</v>
      </c>
      <c r="V731">
        <v>8</v>
      </c>
      <c r="W731">
        <v>11</v>
      </c>
      <c r="X731" s="22">
        <v>0.0141176470588235</v>
      </c>
      <c r="Y731" s="22">
        <v>0.012987012987013</v>
      </c>
      <c r="Z731" s="22">
        <v>0.0155038759689922</v>
      </c>
      <c r="AA731" s="22">
        <v>0.0189655172413793</v>
      </c>
      <c r="AB731">
        <v>4.73</v>
      </c>
      <c r="AC731">
        <v>1.64</v>
      </c>
      <c r="AD731">
        <v>1.67</v>
      </c>
      <c r="AE731">
        <v>2.19</v>
      </c>
      <c r="AF731" s="22">
        <v>0.102870813397129</v>
      </c>
      <c r="AG731" s="22">
        <v>0.035667681600696</v>
      </c>
      <c r="AH731" s="22">
        <v>0.0726402783819052</v>
      </c>
      <c r="AI731" s="22" t="s">
        <v>1650</v>
      </c>
      <c r="AJ731">
        <v>41</v>
      </c>
      <c r="AK731">
        <v>47</v>
      </c>
      <c r="AL731">
        <v>43</v>
      </c>
      <c r="AM731">
        <v>32</v>
      </c>
      <c r="AN731" s="22">
        <v>0.0487804878048781</v>
      </c>
      <c r="AO731" s="22">
        <v>0.0425531914893617</v>
      </c>
      <c r="AP731" s="22">
        <v>0.0232558139534884</v>
      </c>
      <c r="AQ731" s="22">
        <v>0</v>
      </c>
      <c r="AR731" s="35">
        <v>0.285714285714286</v>
      </c>
      <c r="AS731" s="35">
        <v>17.1428571428571</v>
      </c>
      <c r="AT731" s="35">
        <v>17.8571428571429</v>
      </c>
      <c r="AU731" s="31">
        <f t="shared" si="15"/>
        <v>122</v>
      </c>
      <c r="AV731" s="36">
        <f>IFERROR(时间!$B$4+AU731,"上周无销量")</f>
        <v>43440</v>
      </c>
    </row>
    <row r="732" spans="1:48">
      <c r="A732" s="20" t="s">
        <v>1651</v>
      </c>
      <c r="B732" t="s">
        <v>1652</v>
      </c>
      <c r="C732" t="s">
        <v>1591</v>
      </c>
      <c r="D732" s="31">
        <v>2</v>
      </c>
      <c r="E732" s="31">
        <v>2</v>
      </c>
      <c r="F732" s="31">
        <v>2</v>
      </c>
      <c r="G732" s="31">
        <v>3</v>
      </c>
      <c r="H732" s="32">
        <v>25.99</v>
      </c>
      <c r="I732">
        <v>13</v>
      </c>
      <c r="J732" s="33">
        <v>0</v>
      </c>
      <c r="K732" s="33">
        <v>0</v>
      </c>
      <c r="L732" s="33">
        <v>0</v>
      </c>
      <c r="M732">
        <v>13</v>
      </c>
      <c r="N732">
        <v>0</v>
      </c>
      <c r="O732">
        <v>0</v>
      </c>
      <c r="P732">
        <v>1633</v>
      </c>
      <c r="Q732">
        <v>764</v>
      </c>
      <c r="R732">
        <v>526</v>
      </c>
      <c r="S732">
        <v>469</v>
      </c>
      <c r="T732">
        <v>25</v>
      </c>
      <c r="U732">
        <v>7</v>
      </c>
      <c r="V732">
        <v>8</v>
      </c>
      <c r="W732">
        <v>5</v>
      </c>
      <c r="X732" s="22">
        <v>0.0153092467850582</v>
      </c>
      <c r="Y732" s="22">
        <v>0.00916230366492147</v>
      </c>
      <c r="Z732" s="22">
        <v>0.0152091254752852</v>
      </c>
      <c r="AA732" s="22">
        <v>0.0106609808102345</v>
      </c>
      <c r="AB732">
        <v>7.96</v>
      </c>
      <c r="AC732">
        <v>1.33</v>
      </c>
      <c r="AD732">
        <v>1.49</v>
      </c>
      <c r="AE732">
        <v>0.7</v>
      </c>
      <c r="AF732" s="22">
        <v>0.153135821469796</v>
      </c>
      <c r="AG732" s="22">
        <v>0.0255867641400539</v>
      </c>
      <c r="AH732" s="22">
        <v>0.0286648711042709</v>
      </c>
      <c r="AI732" s="22">
        <v>0.00897781197896627</v>
      </c>
      <c r="AJ732">
        <v>47</v>
      </c>
      <c r="AK732">
        <v>42</v>
      </c>
      <c r="AL732">
        <v>25</v>
      </c>
      <c r="AM732">
        <v>26</v>
      </c>
      <c r="AN732" s="22">
        <v>0.0425531914893617</v>
      </c>
      <c r="AO732" s="22">
        <v>0.0476190476190476</v>
      </c>
      <c r="AP732" s="22">
        <v>0.08</v>
      </c>
      <c r="AQ732" s="22">
        <v>0.115384615384615</v>
      </c>
      <c r="AR732" s="35">
        <v>0.285714285714286</v>
      </c>
      <c r="AS732" s="35">
        <v>17.1428571428571</v>
      </c>
      <c r="AT732" s="35">
        <v>-4.14285714285714</v>
      </c>
      <c r="AU732" s="31">
        <f t="shared" si="15"/>
        <v>45</v>
      </c>
      <c r="AV732" s="36">
        <f>IFERROR(时间!$B$4+AU732,"上周无销量")</f>
        <v>43363</v>
      </c>
    </row>
    <row r="733" spans="1:48">
      <c r="A733" s="20" t="s">
        <v>1653</v>
      </c>
      <c r="B733" t="s">
        <v>1654</v>
      </c>
      <c r="C733" t="s">
        <v>1591</v>
      </c>
      <c r="D733" s="31">
        <v>1</v>
      </c>
      <c r="E733" s="31">
        <v>1</v>
      </c>
      <c r="F733" s="31">
        <v>2</v>
      </c>
      <c r="G733" s="31">
        <v>1</v>
      </c>
      <c r="H733" s="32">
        <v>27.99</v>
      </c>
      <c r="I733">
        <v>21</v>
      </c>
      <c r="J733" s="33">
        <v>0</v>
      </c>
      <c r="K733" s="33">
        <v>0</v>
      </c>
      <c r="L733" s="33">
        <v>0</v>
      </c>
      <c r="M733">
        <v>21</v>
      </c>
      <c r="N733">
        <v>0</v>
      </c>
      <c r="O733">
        <v>0</v>
      </c>
      <c r="P733">
        <v>488</v>
      </c>
      <c r="Q733">
        <v>534</v>
      </c>
      <c r="R733">
        <v>1087</v>
      </c>
      <c r="S733">
        <v>2260</v>
      </c>
      <c r="T733">
        <v>5</v>
      </c>
      <c r="U733">
        <v>8</v>
      </c>
      <c r="V733">
        <v>11</v>
      </c>
      <c r="W733">
        <v>31</v>
      </c>
      <c r="X733" s="22">
        <v>0.0102459016393443</v>
      </c>
      <c r="Y733" s="22">
        <v>0.0149812734082397</v>
      </c>
      <c r="Z733" s="22">
        <v>0.0101195952161914</v>
      </c>
      <c r="AA733" s="22">
        <v>0.013716814159292</v>
      </c>
      <c r="AB733">
        <v>0.79</v>
      </c>
      <c r="AC733">
        <v>1.02</v>
      </c>
      <c r="AD733">
        <v>1.57</v>
      </c>
      <c r="AE733">
        <v>6.11</v>
      </c>
      <c r="AF733" s="22">
        <v>0.0282243658449446</v>
      </c>
      <c r="AG733" s="22">
        <v>0.0364415862808146</v>
      </c>
      <c r="AH733" s="22">
        <v>0.0280457306180779</v>
      </c>
      <c r="AI733" s="22">
        <v>0.218292247231154</v>
      </c>
      <c r="AJ733">
        <v>26</v>
      </c>
      <c r="AK733">
        <v>18</v>
      </c>
      <c r="AL733">
        <v>19</v>
      </c>
      <c r="AM733">
        <v>33</v>
      </c>
      <c r="AN733" s="22">
        <v>0.0384615384615385</v>
      </c>
      <c r="AO733" s="22">
        <v>0.0555555555555556</v>
      </c>
      <c r="AP733" s="22">
        <v>0.105263157894737</v>
      </c>
      <c r="AQ733" s="22">
        <v>0.0303030303030303</v>
      </c>
      <c r="AR733" s="35">
        <v>0.142857142857143</v>
      </c>
      <c r="AS733" s="35">
        <v>8.57142857142857</v>
      </c>
      <c r="AT733" s="35">
        <v>12.4285714285714</v>
      </c>
      <c r="AU733" s="31">
        <f t="shared" si="15"/>
        <v>147</v>
      </c>
      <c r="AV733" s="36">
        <f>IFERROR(时间!$B$4+AU733,"上周无销量")</f>
        <v>43465</v>
      </c>
    </row>
    <row r="734" spans="1:48">
      <c r="A734" s="20" t="s">
        <v>1655</v>
      </c>
      <c r="B734" t="s">
        <v>1656</v>
      </c>
      <c r="C734" t="s">
        <v>1591</v>
      </c>
      <c r="D734" s="31">
        <v>0</v>
      </c>
      <c r="E734" s="31">
        <v>4</v>
      </c>
      <c r="F734" s="31">
        <v>1</v>
      </c>
      <c r="G734" s="31">
        <v>2</v>
      </c>
      <c r="H734" s="32">
        <v>29.99</v>
      </c>
      <c r="I734">
        <v>24</v>
      </c>
      <c r="J734" s="33">
        <v>0</v>
      </c>
      <c r="K734" s="33">
        <v>0</v>
      </c>
      <c r="L734" s="33">
        <v>0</v>
      </c>
      <c r="M734">
        <v>24</v>
      </c>
      <c r="N734">
        <v>0</v>
      </c>
      <c r="O734">
        <v>0</v>
      </c>
      <c r="P734">
        <v>98</v>
      </c>
      <c r="Q734">
        <v>185</v>
      </c>
      <c r="R734">
        <v>203</v>
      </c>
      <c r="S734">
        <v>178</v>
      </c>
      <c r="T734">
        <v>2</v>
      </c>
      <c r="U734">
        <v>2</v>
      </c>
      <c r="V734">
        <v>2</v>
      </c>
      <c r="W734">
        <v>3</v>
      </c>
      <c r="X734" s="22">
        <v>0.0204081632653061</v>
      </c>
      <c r="Y734" s="22">
        <v>0.0108108108108108</v>
      </c>
      <c r="Z734" s="22">
        <v>0.00985221674876847</v>
      </c>
      <c r="AA734" s="22">
        <v>0.0168539325842697</v>
      </c>
      <c r="AB734">
        <v>0.19</v>
      </c>
      <c r="AC734">
        <v>0.33</v>
      </c>
      <c r="AD734">
        <v>0.48</v>
      </c>
      <c r="AE734">
        <v>0.51</v>
      </c>
      <c r="AF734" s="22" t="s">
        <v>1657</v>
      </c>
      <c r="AG734" s="22">
        <v>0.00275091697232411</v>
      </c>
      <c r="AH734" s="22">
        <v>0.0160053351117039</v>
      </c>
      <c r="AI734" s="22">
        <v>0.0085028342780927</v>
      </c>
      <c r="AJ734">
        <v>37</v>
      </c>
      <c r="AK734">
        <v>30</v>
      </c>
      <c r="AL734">
        <v>17</v>
      </c>
      <c r="AM734">
        <v>35</v>
      </c>
      <c r="AN734" s="22">
        <v>0</v>
      </c>
      <c r="AO734" s="22">
        <v>0.133333333333333</v>
      </c>
      <c r="AP734" s="22">
        <v>0.0588235294117647</v>
      </c>
      <c r="AQ734" s="22">
        <v>0.0571428571428571</v>
      </c>
      <c r="AR734" s="35">
        <v>0</v>
      </c>
      <c r="AS734" s="35">
        <v>0</v>
      </c>
      <c r="AT734" s="35">
        <v>24</v>
      </c>
      <c r="AU734" s="31" t="str">
        <f t="shared" si="15"/>
        <v>库存为24</v>
      </c>
      <c r="AV734" s="36" t="str">
        <f>IFERROR(时间!$B$4+AU734,"上周无销量")</f>
        <v>上周无销量</v>
      </c>
    </row>
    <row r="735" spans="1:48">
      <c r="A735" s="20" t="s">
        <v>1658</v>
      </c>
      <c r="B735" t="s">
        <v>1659</v>
      </c>
      <c r="C735" t="s">
        <v>1591</v>
      </c>
      <c r="D735" s="31">
        <v>0</v>
      </c>
      <c r="E735" s="31">
        <v>1</v>
      </c>
      <c r="F735" s="31">
        <v>0</v>
      </c>
      <c r="G735" s="31">
        <v>0</v>
      </c>
      <c r="H735" s="32">
        <v>8.99</v>
      </c>
      <c r="I735">
        <v>46</v>
      </c>
      <c r="J735" s="33">
        <v>0</v>
      </c>
      <c r="K735" s="33">
        <v>0</v>
      </c>
      <c r="L735" s="33">
        <v>0</v>
      </c>
      <c r="M735">
        <v>46</v>
      </c>
      <c r="N735">
        <v>0</v>
      </c>
      <c r="O735">
        <v>44</v>
      </c>
      <c r="P735" t="s">
        <v>53</v>
      </c>
      <c r="Q735" t="s">
        <v>53</v>
      </c>
      <c r="R735" t="s">
        <v>53</v>
      </c>
      <c r="S735" t="s">
        <v>53</v>
      </c>
      <c r="T735" t="s">
        <v>53</v>
      </c>
      <c r="U735" t="s">
        <v>53</v>
      </c>
      <c r="V735" t="s">
        <v>53</v>
      </c>
      <c r="W735" t="s">
        <v>53</v>
      </c>
      <c r="X735" s="22" t="s">
        <v>53</v>
      </c>
      <c r="Y735" s="22" t="s">
        <v>53</v>
      </c>
      <c r="Z735" s="22" t="s">
        <v>53</v>
      </c>
      <c r="AA735" s="22" t="s">
        <v>53</v>
      </c>
      <c r="AB735" t="s">
        <v>53</v>
      </c>
      <c r="AC735" t="s">
        <v>53</v>
      </c>
      <c r="AD735" t="s">
        <v>53</v>
      </c>
      <c r="AE735" t="s">
        <v>53</v>
      </c>
      <c r="AF735" s="22" t="s">
        <v>53</v>
      </c>
      <c r="AG735" s="22" t="s">
        <v>53</v>
      </c>
      <c r="AH735" s="22" t="s">
        <v>53</v>
      </c>
      <c r="AI735" s="22" t="s">
        <v>53</v>
      </c>
      <c r="AJ735">
        <v>64</v>
      </c>
      <c r="AK735">
        <v>48</v>
      </c>
      <c r="AL735">
        <v>46</v>
      </c>
      <c r="AM735">
        <v>30</v>
      </c>
      <c r="AN735" s="22">
        <v>0</v>
      </c>
      <c r="AO735" s="22">
        <v>0.0208333333333333</v>
      </c>
      <c r="AP735" s="22">
        <v>0</v>
      </c>
      <c r="AQ735" s="22">
        <v>0</v>
      </c>
      <c r="AR735" s="35">
        <v>0</v>
      </c>
      <c r="AS735" s="35">
        <v>0</v>
      </c>
      <c r="AT735" s="35">
        <v>46</v>
      </c>
      <c r="AU735" s="31" t="str">
        <f t="shared" si="15"/>
        <v>库存为46</v>
      </c>
      <c r="AV735" s="36" t="str">
        <f>IFERROR(时间!$B$4+AU735,"上周无销量")</f>
        <v>上周无销量</v>
      </c>
    </row>
    <row r="736" spans="1:48">
      <c r="A736" s="20" t="s">
        <v>1660</v>
      </c>
      <c r="B736" t="s">
        <v>1661</v>
      </c>
      <c r="C736" t="s">
        <v>1591</v>
      </c>
      <c r="D736" s="31">
        <v>6</v>
      </c>
      <c r="E736" s="31">
        <v>2</v>
      </c>
      <c r="F736" s="31">
        <v>2</v>
      </c>
      <c r="G736" s="31">
        <v>1</v>
      </c>
      <c r="H736" s="32">
        <v>11.8090909090909</v>
      </c>
      <c r="I736">
        <v>4</v>
      </c>
      <c r="J736" s="33">
        <v>0</v>
      </c>
      <c r="K736" s="33">
        <v>0</v>
      </c>
      <c r="L736" s="33">
        <v>0</v>
      </c>
      <c r="M736">
        <v>4</v>
      </c>
      <c r="N736">
        <v>0</v>
      </c>
      <c r="O736">
        <v>0</v>
      </c>
      <c r="P736" t="s">
        <v>53</v>
      </c>
      <c r="Q736" t="s">
        <v>53</v>
      </c>
      <c r="R736" t="s">
        <v>53</v>
      </c>
      <c r="S736" t="s">
        <v>53</v>
      </c>
      <c r="T736" t="s">
        <v>53</v>
      </c>
      <c r="U736" t="s">
        <v>53</v>
      </c>
      <c r="V736" t="s">
        <v>53</v>
      </c>
      <c r="W736" t="s">
        <v>53</v>
      </c>
      <c r="X736" s="22" t="s">
        <v>53</v>
      </c>
      <c r="Y736" s="22" t="s">
        <v>53</v>
      </c>
      <c r="Z736" s="22" t="s">
        <v>53</v>
      </c>
      <c r="AA736" s="22" t="s">
        <v>53</v>
      </c>
      <c r="AB736" t="s">
        <v>53</v>
      </c>
      <c r="AC736" t="s">
        <v>53</v>
      </c>
      <c r="AD736" t="s">
        <v>53</v>
      </c>
      <c r="AE736" t="s">
        <v>53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111</v>
      </c>
      <c r="AK736">
        <v>92</v>
      </c>
      <c r="AL736">
        <v>115</v>
      </c>
      <c r="AM736">
        <v>87</v>
      </c>
      <c r="AN736" s="22">
        <v>0.0540540540540541</v>
      </c>
      <c r="AO736" s="22">
        <v>0.0217391304347826</v>
      </c>
      <c r="AP736" s="22">
        <v>0.0173913043478261</v>
      </c>
      <c r="AQ736" s="22">
        <v>0.0114942528735632</v>
      </c>
      <c r="AR736" s="35">
        <v>0.857142857142857</v>
      </c>
      <c r="AS736" s="35">
        <v>51.4285714285714</v>
      </c>
      <c r="AT736" s="35">
        <v>-47.4285714285714</v>
      </c>
      <c r="AU736" s="31">
        <f t="shared" si="15"/>
        <v>4</v>
      </c>
      <c r="AV736" s="36">
        <f>IFERROR(时间!$B$4+AU736,"上周无销量")</f>
        <v>43322</v>
      </c>
    </row>
    <row r="737" spans="1:48">
      <c r="A737" s="20" t="s">
        <v>1662</v>
      </c>
      <c r="B737" t="s">
        <v>1663</v>
      </c>
      <c r="C737" t="s">
        <v>1591</v>
      </c>
      <c r="D737" s="31">
        <v>0</v>
      </c>
      <c r="E737" s="31">
        <v>0</v>
      </c>
      <c r="F737" s="31">
        <v>1</v>
      </c>
      <c r="G737" s="31">
        <v>1</v>
      </c>
      <c r="H737" s="32">
        <v>16.99</v>
      </c>
      <c r="I737">
        <v>10</v>
      </c>
      <c r="J737" s="33">
        <v>0</v>
      </c>
      <c r="K737" s="33">
        <v>0</v>
      </c>
      <c r="L737" s="33">
        <v>1</v>
      </c>
      <c r="M737">
        <v>11</v>
      </c>
      <c r="N737">
        <v>0</v>
      </c>
      <c r="O737">
        <v>1</v>
      </c>
      <c r="P737" t="s">
        <v>53</v>
      </c>
      <c r="Q737" t="s">
        <v>53</v>
      </c>
      <c r="R737" t="s">
        <v>53</v>
      </c>
      <c r="S737" t="s">
        <v>53</v>
      </c>
      <c r="T737" t="s">
        <v>53</v>
      </c>
      <c r="U737" t="s">
        <v>53</v>
      </c>
      <c r="V737" t="s">
        <v>53</v>
      </c>
      <c r="W737" t="s">
        <v>53</v>
      </c>
      <c r="X737" s="22" t="s">
        <v>53</v>
      </c>
      <c r="Y737" s="22" t="s">
        <v>53</v>
      </c>
      <c r="Z737" s="22" t="s">
        <v>53</v>
      </c>
      <c r="AA737" s="22" t="s">
        <v>53</v>
      </c>
      <c r="AB737" t="s">
        <v>53</v>
      </c>
      <c r="AC737" t="s">
        <v>53</v>
      </c>
      <c r="AD737" t="s">
        <v>53</v>
      </c>
      <c r="AE737" t="s">
        <v>53</v>
      </c>
      <c r="AF737" s="22" t="s">
        <v>53</v>
      </c>
      <c r="AG737" s="22" t="s">
        <v>53</v>
      </c>
      <c r="AH737" s="22" t="s">
        <v>53</v>
      </c>
      <c r="AI737" s="22" t="s">
        <v>53</v>
      </c>
      <c r="AJ737">
        <v>10</v>
      </c>
      <c r="AK737">
        <v>13</v>
      </c>
      <c r="AL737">
        <v>14</v>
      </c>
      <c r="AM737">
        <v>18</v>
      </c>
      <c r="AN737" s="22">
        <v>0</v>
      </c>
      <c r="AO737" s="22">
        <v>0</v>
      </c>
      <c r="AP737" s="22">
        <v>0.0714285714285714</v>
      </c>
      <c r="AQ737" s="22">
        <v>0.0555555555555556</v>
      </c>
      <c r="AR737" s="35">
        <v>0</v>
      </c>
      <c r="AS737" s="35">
        <v>0</v>
      </c>
      <c r="AT737" s="35">
        <v>11</v>
      </c>
      <c r="AU737" s="31" t="str">
        <f t="shared" si="15"/>
        <v>库存为11</v>
      </c>
      <c r="AV737" s="36" t="str">
        <f>IFERROR(时间!$B$4+AU737,"上周无销量")</f>
        <v>上周无销量</v>
      </c>
    </row>
    <row r="738" spans="1:48">
      <c r="A738" s="20" t="s">
        <v>1664</v>
      </c>
      <c r="B738" t="s">
        <v>1665</v>
      </c>
      <c r="C738" t="s">
        <v>1591</v>
      </c>
      <c r="D738" s="31">
        <v>1</v>
      </c>
      <c r="E738" s="31">
        <v>1</v>
      </c>
      <c r="F738" s="31">
        <v>0</v>
      </c>
      <c r="G738" s="31">
        <v>1</v>
      </c>
      <c r="H738" s="32">
        <v>20.99</v>
      </c>
      <c r="I738">
        <v>19</v>
      </c>
      <c r="J738" s="33">
        <v>0</v>
      </c>
      <c r="K738" s="33">
        <v>0</v>
      </c>
      <c r="L738" s="33">
        <v>4</v>
      </c>
      <c r="M738">
        <v>23</v>
      </c>
      <c r="N738">
        <v>0</v>
      </c>
      <c r="O738">
        <v>0</v>
      </c>
      <c r="P738" t="s">
        <v>53</v>
      </c>
      <c r="Q738" t="s">
        <v>53</v>
      </c>
      <c r="R738" t="s">
        <v>53</v>
      </c>
      <c r="S738" t="s">
        <v>53</v>
      </c>
      <c r="T738" t="s">
        <v>53</v>
      </c>
      <c r="U738" t="s">
        <v>53</v>
      </c>
      <c r="V738" t="s">
        <v>53</v>
      </c>
      <c r="W738" t="s">
        <v>53</v>
      </c>
      <c r="X738" s="22" t="s">
        <v>53</v>
      </c>
      <c r="Y738" s="22" t="s">
        <v>53</v>
      </c>
      <c r="Z738" s="22" t="s">
        <v>53</v>
      </c>
      <c r="AA738" s="22" t="s">
        <v>53</v>
      </c>
      <c r="AB738" t="s">
        <v>53</v>
      </c>
      <c r="AC738" t="s">
        <v>53</v>
      </c>
      <c r="AD738" t="s">
        <v>53</v>
      </c>
      <c r="AE738" t="s">
        <v>53</v>
      </c>
      <c r="AF738" s="22" t="s">
        <v>53</v>
      </c>
      <c r="AG738" s="22" t="s">
        <v>53</v>
      </c>
      <c r="AH738" s="22" t="s">
        <v>53</v>
      </c>
      <c r="AI738" s="22" t="s">
        <v>53</v>
      </c>
      <c r="AJ738">
        <v>12</v>
      </c>
      <c r="AK738">
        <v>11</v>
      </c>
      <c r="AL738">
        <v>7</v>
      </c>
      <c r="AM738">
        <v>8</v>
      </c>
      <c r="AN738" s="22">
        <v>0.0833333333333333</v>
      </c>
      <c r="AO738" s="22">
        <v>0.0909090909090909</v>
      </c>
      <c r="AP738" s="22">
        <v>0</v>
      </c>
      <c r="AQ738" s="22">
        <v>0.125</v>
      </c>
      <c r="AR738" s="35">
        <v>0.142857142857143</v>
      </c>
      <c r="AS738" s="35">
        <v>8.57142857142857</v>
      </c>
      <c r="AT738" s="35">
        <v>14.4285714285714</v>
      </c>
      <c r="AU738" s="31">
        <f t="shared" si="15"/>
        <v>161</v>
      </c>
      <c r="AV738" s="36">
        <f>IFERROR(时间!$B$4+AU738,"上周无销量")</f>
        <v>43479</v>
      </c>
    </row>
    <row r="739" spans="1:48">
      <c r="A739" s="20" t="s">
        <v>1666</v>
      </c>
      <c r="B739" t="s">
        <v>1667</v>
      </c>
      <c r="C739" t="s">
        <v>1591</v>
      </c>
      <c r="D739" s="31">
        <v>1</v>
      </c>
      <c r="E739" s="31">
        <v>0</v>
      </c>
      <c r="F739" s="31">
        <v>0</v>
      </c>
      <c r="G739" s="31">
        <v>0</v>
      </c>
      <c r="H739" s="32">
        <v>26.99</v>
      </c>
      <c r="I739">
        <v>5</v>
      </c>
      <c r="J739" s="33">
        <v>0</v>
      </c>
      <c r="K739" s="33">
        <v>0</v>
      </c>
      <c r="L739" s="33">
        <v>0</v>
      </c>
      <c r="M739">
        <v>5</v>
      </c>
      <c r="N739">
        <v>0</v>
      </c>
      <c r="O739">
        <v>0</v>
      </c>
      <c r="P739" t="s">
        <v>53</v>
      </c>
      <c r="Q739" t="s">
        <v>53</v>
      </c>
      <c r="R739" t="s">
        <v>53</v>
      </c>
      <c r="S739" t="s">
        <v>53</v>
      </c>
      <c r="T739" t="s">
        <v>53</v>
      </c>
      <c r="U739" t="s">
        <v>53</v>
      </c>
      <c r="V739" t="s">
        <v>53</v>
      </c>
      <c r="W739" t="s">
        <v>53</v>
      </c>
      <c r="X739" s="22" t="s">
        <v>53</v>
      </c>
      <c r="Y739" s="22" t="s">
        <v>53</v>
      </c>
      <c r="Z739" s="22" t="s">
        <v>53</v>
      </c>
      <c r="AA739" s="22" t="s">
        <v>53</v>
      </c>
      <c r="AB739" t="s">
        <v>53</v>
      </c>
      <c r="AC739" t="s">
        <v>53</v>
      </c>
      <c r="AD739" t="s">
        <v>53</v>
      </c>
      <c r="AE739" t="s">
        <v>53</v>
      </c>
      <c r="AF739" s="22" t="s">
        <v>53</v>
      </c>
      <c r="AG739" s="22" t="s">
        <v>53</v>
      </c>
      <c r="AH739" s="22" t="s">
        <v>53</v>
      </c>
      <c r="AI739" s="22" t="s">
        <v>53</v>
      </c>
      <c r="AJ739">
        <v>11</v>
      </c>
      <c r="AK739">
        <v>8</v>
      </c>
      <c r="AL739">
        <v>4</v>
      </c>
      <c r="AM739">
        <v>8</v>
      </c>
      <c r="AN739" s="22">
        <v>0.0909090909090909</v>
      </c>
      <c r="AO739" s="22">
        <v>0</v>
      </c>
      <c r="AP739" s="22">
        <v>0</v>
      </c>
      <c r="AQ739" s="22">
        <v>0</v>
      </c>
      <c r="AR739" s="35">
        <v>0.142857142857143</v>
      </c>
      <c r="AS739" s="35">
        <v>8.57142857142857</v>
      </c>
      <c r="AT739" s="35">
        <v>-3.57142857142857</v>
      </c>
      <c r="AU739" s="31">
        <f t="shared" si="15"/>
        <v>35</v>
      </c>
      <c r="AV739" s="36">
        <f>IFERROR(时间!$B$4+AU739,"上周无销量")</f>
        <v>43353</v>
      </c>
    </row>
    <row r="740" spans="1:48">
      <c r="A740" s="20" t="s">
        <v>1668</v>
      </c>
      <c r="B740" t="s">
        <v>1669</v>
      </c>
      <c r="C740" t="s">
        <v>1591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10</v>
      </c>
      <c r="J740" s="33">
        <v>0</v>
      </c>
      <c r="K740" s="33">
        <v>0</v>
      </c>
      <c r="L740" s="33">
        <v>0</v>
      </c>
      <c r="M740">
        <v>10</v>
      </c>
      <c r="N740">
        <v>0</v>
      </c>
      <c r="O740">
        <v>0</v>
      </c>
      <c r="P740" t="s">
        <v>53</v>
      </c>
      <c r="Q740" t="s">
        <v>53</v>
      </c>
      <c r="R740" t="s">
        <v>53</v>
      </c>
      <c r="S740" t="s">
        <v>53</v>
      </c>
      <c r="T740" t="s">
        <v>53</v>
      </c>
      <c r="U740" t="s">
        <v>53</v>
      </c>
      <c r="V740" t="s">
        <v>53</v>
      </c>
      <c r="W740" t="s">
        <v>53</v>
      </c>
      <c r="X740" s="22" t="s">
        <v>53</v>
      </c>
      <c r="Y740" s="22" t="s">
        <v>53</v>
      </c>
      <c r="Z740" s="22" t="s">
        <v>53</v>
      </c>
      <c r="AA740" s="22" t="s">
        <v>53</v>
      </c>
      <c r="AB740" t="s">
        <v>53</v>
      </c>
      <c r="AC740" t="s">
        <v>53</v>
      </c>
      <c r="AD740" t="s">
        <v>53</v>
      </c>
      <c r="AE740" t="s">
        <v>53</v>
      </c>
      <c r="AF740" s="22" t="s">
        <v>53</v>
      </c>
      <c r="AG740" s="22" t="s">
        <v>53</v>
      </c>
      <c r="AH740" s="22" t="s">
        <v>53</v>
      </c>
      <c r="AI740" s="22" t="s">
        <v>53</v>
      </c>
      <c r="AJ740">
        <v>14</v>
      </c>
      <c r="AK740">
        <v>6</v>
      </c>
      <c r="AL740">
        <v>7</v>
      </c>
      <c r="AM740">
        <v>8</v>
      </c>
      <c r="AN740" s="22">
        <v>0</v>
      </c>
      <c r="AO740" s="22">
        <v>0</v>
      </c>
      <c r="AP740" s="22">
        <v>0</v>
      </c>
      <c r="AQ740" s="22">
        <v>0</v>
      </c>
      <c r="AR740" s="35">
        <v>0</v>
      </c>
      <c r="AS740" s="35">
        <v>0</v>
      </c>
      <c r="AT740" s="35">
        <v>10</v>
      </c>
      <c r="AU740" s="31" t="str">
        <f t="shared" si="15"/>
        <v>库存为10</v>
      </c>
      <c r="AV740" s="36" t="str">
        <f>IFERROR(时间!$B$4+AU740,"上周无销量")</f>
        <v>上周无销量</v>
      </c>
    </row>
    <row r="741" spans="1:48">
      <c r="A741" s="20" t="s">
        <v>1670</v>
      </c>
      <c r="B741" t="s">
        <v>1671</v>
      </c>
      <c r="C741" t="s">
        <v>1591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8</v>
      </c>
      <c r="J741" s="33">
        <v>0</v>
      </c>
      <c r="K741" s="33">
        <v>0</v>
      </c>
      <c r="L741" s="33">
        <v>0</v>
      </c>
      <c r="M741">
        <v>8</v>
      </c>
      <c r="N741">
        <v>0</v>
      </c>
      <c r="O741">
        <v>2</v>
      </c>
      <c r="P741" t="s">
        <v>53</v>
      </c>
      <c r="Q741" t="s">
        <v>53</v>
      </c>
      <c r="R741" t="s">
        <v>53</v>
      </c>
      <c r="S741" t="s">
        <v>53</v>
      </c>
      <c r="T741" t="s">
        <v>53</v>
      </c>
      <c r="U741" t="s">
        <v>53</v>
      </c>
      <c r="V741" t="s">
        <v>53</v>
      </c>
      <c r="W741" t="s">
        <v>53</v>
      </c>
      <c r="X741" s="22" t="s">
        <v>53</v>
      </c>
      <c r="Y741" s="22" t="s">
        <v>53</v>
      </c>
      <c r="Z741" s="22" t="s">
        <v>53</v>
      </c>
      <c r="AA741" s="22" t="s">
        <v>53</v>
      </c>
      <c r="AB741" t="s">
        <v>53</v>
      </c>
      <c r="AC741" t="s">
        <v>53</v>
      </c>
      <c r="AD741" t="s">
        <v>53</v>
      </c>
      <c r="AE741" t="s">
        <v>53</v>
      </c>
      <c r="AF741" s="22" t="s">
        <v>53</v>
      </c>
      <c r="AG741" s="22" t="s">
        <v>53</v>
      </c>
      <c r="AH741" s="22" t="s">
        <v>53</v>
      </c>
      <c r="AI741" s="22" t="s">
        <v>53</v>
      </c>
      <c r="AJ741">
        <v>5</v>
      </c>
      <c r="AK741">
        <v>4</v>
      </c>
      <c r="AL741">
        <v>7</v>
      </c>
      <c r="AM741">
        <v>5</v>
      </c>
      <c r="AN741" s="22">
        <v>0</v>
      </c>
      <c r="AO741" s="22">
        <v>0</v>
      </c>
      <c r="AP741" s="22">
        <v>0</v>
      </c>
      <c r="AQ741" s="22">
        <v>0</v>
      </c>
      <c r="AR741" s="35">
        <v>0</v>
      </c>
      <c r="AS741" s="35">
        <v>0</v>
      </c>
      <c r="AT741" s="35">
        <v>8</v>
      </c>
      <c r="AU741" s="31" t="str">
        <f t="shared" si="15"/>
        <v>库存为8</v>
      </c>
      <c r="AV741" s="36" t="str">
        <f>IFERROR(时间!$B$4+AU741,"上周无销量")</f>
        <v>上周无销量</v>
      </c>
    </row>
    <row r="742" spans="1:48">
      <c r="A742" s="20" t="s">
        <v>1672</v>
      </c>
      <c r="B742" t="s">
        <v>1673</v>
      </c>
      <c r="C742" t="s">
        <v>1591</v>
      </c>
      <c r="D742" s="31">
        <v>0</v>
      </c>
      <c r="E742" s="31">
        <v>0</v>
      </c>
      <c r="F742" s="31">
        <v>0</v>
      </c>
      <c r="G742" s="31">
        <v>1</v>
      </c>
      <c r="H742" s="32">
        <v>40.99</v>
      </c>
      <c r="I742">
        <v>13</v>
      </c>
      <c r="J742" s="33">
        <v>0</v>
      </c>
      <c r="K742" s="33">
        <v>0</v>
      </c>
      <c r="L742" s="33">
        <v>0</v>
      </c>
      <c r="M742">
        <v>13</v>
      </c>
      <c r="N742">
        <v>0</v>
      </c>
      <c r="O742">
        <v>0</v>
      </c>
      <c r="P742" t="s">
        <v>53</v>
      </c>
      <c r="Q742" t="s">
        <v>53</v>
      </c>
      <c r="R742" t="s">
        <v>53</v>
      </c>
      <c r="S742" t="s">
        <v>53</v>
      </c>
      <c r="T742" t="s">
        <v>53</v>
      </c>
      <c r="U742" t="s">
        <v>53</v>
      </c>
      <c r="V742" t="s">
        <v>53</v>
      </c>
      <c r="W742" t="s">
        <v>53</v>
      </c>
      <c r="X742" s="22" t="s">
        <v>53</v>
      </c>
      <c r="Y742" s="22" t="s">
        <v>53</v>
      </c>
      <c r="Z742" s="22" t="s">
        <v>53</v>
      </c>
      <c r="AA742" s="22" t="s">
        <v>53</v>
      </c>
      <c r="AB742" t="s">
        <v>53</v>
      </c>
      <c r="AC742" t="s">
        <v>53</v>
      </c>
      <c r="AD742" t="s">
        <v>53</v>
      </c>
      <c r="AE742" t="s">
        <v>53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6</v>
      </c>
      <c r="AK742">
        <v>7</v>
      </c>
      <c r="AL742">
        <v>4</v>
      </c>
      <c r="AM742">
        <v>11</v>
      </c>
      <c r="AN742" s="22">
        <v>0</v>
      </c>
      <c r="AO742" s="22">
        <v>0</v>
      </c>
      <c r="AP742" s="22">
        <v>0</v>
      </c>
      <c r="AQ742" s="22">
        <v>0.0909090909090909</v>
      </c>
      <c r="AR742" s="35">
        <v>0</v>
      </c>
      <c r="AS742" s="35">
        <v>0</v>
      </c>
      <c r="AT742" s="35">
        <v>13</v>
      </c>
      <c r="AU742" s="31" t="str">
        <f t="shared" si="15"/>
        <v>库存为13</v>
      </c>
      <c r="AV742" s="36" t="str">
        <f>IFERROR(时间!$B$4+AU742,"上周无销量")</f>
        <v>上周无销量</v>
      </c>
    </row>
    <row r="743" spans="1:48">
      <c r="A743" s="20" t="s">
        <v>1674</v>
      </c>
      <c r="B743" t="s">
        <v>1675</v>
      </c>
      <c r="C743" t="s">
        <v>1591</v>
      </c>
      <c r="D743" s="31">
        <v>1</v>
      </c>
      <c r="E743" s="31">
        <v>0</v>
      </c>
      <c r="F743" s="31">
        <v>1</v>
      </c>
      <c r="G743" s="31">
        <v>0</v>
      </c>
      <c r="H743" s="32">
        <v>7.99</v>
      </c>
      <c r="I743">
        <v>2</v>
      </c>
      <c r="J743" s="33">
        <v>0</v>
      </c>
      <c r="K743" s="33">
        <v>0</v>
      </c>
      <c r="L743" s="33">
        <v>0</v>
      </c>
      <c r="M743">
        <v>2</v>
      </c>
      <c r="N743">
        <v>0</v>
      </c>
      <c r="O743">
        <v>0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10</v>
      </c>
      <c r="AK743">
        <v>8</v>
      </c>
      <c r="AL743">
        <v>10</v>
      </c>
      <c r="AM743">
        <v>7</v>
      </c>
      <c r="AN743" s="22">
        <v>0.1</v>
      </c>
      <c r="AO743" s="22">
        <v>0</v>
      </c>
      <c r="AP743" s="22">
        <v>0.1</v>
      </c>
      <c r="AQ743" s="22">
        <v>0</v>
      </c>
      <c r="AR743" s="35">
        <v>0.142857142857143</v>
      </c>
      <c r="AS743" s="35">
        <v>8.57142857142857</v>
      </c>
      <c r="AT743" s="35">
        <v>-6.57142857142857</v>
      </c>
      <c r="AU743" s="31">
        <f t="shared" si="15"/>
        <v>14</v>
      </c>
      <c r="AV743" s="36">
        <f>IFERROR(时间!$B$4+AU743,"上周无销量")</f>
        <v>43332</v>
      </c>
    </row>
    <row r="744" spans="1:48">
      <c r="A744" s="20" t="s">
        <v>1676</v>
      </c>
      <c r="B744" t="s">
        <v>1677</v>
      </c>
      <c r="C744" t="s">
        <v>1591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4</v>
      </c>
      <c r="J744" s="33">
        <v>0</v>
      </c>
      <c r="K744" s="33">
        <v>0</v>
      </c>
      <c r="L744" s="33">
        <v>0</v>
      </c>
      <c r="M744">
        <v>4</v>
      </c>
      <c r="N744">
        <v>0</v>
      </c>
      <c r="O744">
        <v>0</v>
      </c>
      <c r="P744" t="s">
        <v>53</v>
      </c>
      <c r="Q744" t="s">
        <v>53</v>
      </c>
      <c r="R744" t="s">
        <v>53</v>
      </c>
      <c r="S744" t="s">
        <v>53</v>
      </c>
      <c r="T744" t="s">
        <v>53</v>
      </c>
      <c r="U744" t="s">
        <v>53</v>
      </c>
      <c r="V744" t="s">
        <v>53</v>
      </c>
      <c r="W744" t="s">
        <v>53</v>
      </c>
      <c r="X744" s="22" t="s">
        <v>53</v>
      </c>
      <c r="Y744" s="22" t="s">
        <v>53</v>
      </c>
      <c r="Z744" s="22" t="s">
        <v>53</v>
      </c>
      <c r="AA744" s="22" t="s">
        <v>53</v>
      </c>
      <c r="AB744" t="s">
        <v>53</v>
      </c>
      <c r="AC744" t="s">
        <v>53</v>
      </c>
      <c r="AD744" t="s">
        <v>53</v>
      </c>
      <c r="AE744" t="s">
        <v>53</v>
      </c>
      <c r="AF744" s="22" t="s">
        <v>53</v>
      </c>
      <c r="AG744" s="22" t="s">
        <v>53</v>
      </c>
      <c r="AH744" s="22" t="s">
        <v>53</v>
      </c>
      <c r="AI744" s="22" t="s">
        <v>53</v>
      </c>
      <c r="AJ744">
        <v>12</v>
      </c>
      <c r="AK744">
        <v>9</v>
      </c>
      <c r="AL744">
        <v>9</v>
      </c>
      <c r="AM744">
        <v>5</v>
      </c>
      <c r="AN744" s="22">
        <v>0</v>
      </c>
      <c r="AO744" s="22">
        <v>0</v>
      </c>
      <c r="AP744" s="22">
        <v>0</v>
      </c>
      <c r="AQ744" s="22">
        <v>0</v>
      </c>
      <c r="AR744" s="35">
        <v>0</v>
      </c>
      <c r="AS744" s="35">
        <v>0</v>
      </c>
      <c r="AT744" s="35">
        <v>4</v>
      </c>
      <c r="AU744" s="31" t="str">
        <f t="shared" si="15"/>
        <v>库存为4</v>
      </c>
      <c r="AV744" s="36" t="str">
        <f>IFERROR(时间!$B$4+AU744,"上周无销量")</f>
        <v>上周无销量</v>
      </c>
    </row>
    <row r="745" spans="1:48">
      <c r="A745" s="20" t="s">
        <v>1678</v>
      </c>
      <c r="B745" t="s">
        <v>1679</v>
      </c>
      <c r="C745" t="s">
        <v>1680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2</v>
      </c>
      <c r="J745" s="33">
        <v>0</v>
      </c>
      <c r="K745" s="33">
        <v>0</v>
      </c>
      <c r="L745" s="33">
        <v>0</v>
      </c>
      <c r="M745">
        <v>2</v>
      </c>
      <c r="N745">
        <v>0</v>
      </c>
      <c r="O745">
        <v>2</v>
      </c>
      <c r="P745" t="s">
        <v>53</v>
      </c>
      <c r="Q745" t="s">
        <v>53</v>
      </c>
      <c r="R745" t="s">
        <v>53</v>
      </c>
      <c r="S745" t="s">
        <v>53</v>
      </c>
      <c r="T745" t="s">
        <v>53</v>
      </c>
      <c r="U745" t="s">
        <v>53</v>
      </c>
      <c r="V745" t="s">
        <v>53</v>
      </c>
      <c r="W745" t="s">
        <v>53</v>
      </c>
      <c r="X745" s="22" t="s">
        <v>53</v>
      </c>
      <c r="Y745" s="22" t="s">
        <v>53</v>
      </c>
      <c r="Z745" s="22" t="s">
        <v>53</v>
      </c>
      <c r="AA745" s="22" t="s">
        <v>53</v>
      </c>
      <c r="AB745" t="s">
        <v>53</v>
      </c>
      <c r="AC745" t="s">
        <v>53</v>
      </c>
      <c r="AD745" t="s">
        <v>53</v>
      </c>
      <c r="AE745" t="s">
        <v>53</v>
      </c>
      <c r="AF745" s="22" t="s">
        <v>53</v>
      </c>
      <c r="AG745" s="22" t="s">
        <v>53</v>
      </c>
      <c r="AH745" s="22" t="s">
        <v>53</v>
      </c>
      <c r="AI745" s="22" t="s">
        <v>53</v>
      </c>
      <c r="AJ745">
        <v>1</v>
      </c>
      <c r="AK745">
        <v>2</v>
      </c>
      <c r="AL745">
        <v>3</v>
      </c>
      <c r="AM745">
        <v>2</v>
      </c>
      <c r="AN745" s="22">
        <v>0</v>
      </c>
      <c r="AO745" s="22">
        <v>0</v>
      </c>
      <c r="AP745" s="22">
        <v>0</v>
      </c>
      <c r="AQ745" s="22">
        <v>0</v>
      </c>
      <c r="AR745" s="35">
        <v>0</v>
      </c>
      <c r="AS745" s="35">
        <v>0</v>
      </c>
      <c r="AT745" s="35">
        <v>2</v>
      </c>
      <c r="AU745" s="31" t="str">
        <f t="shared" si="15"/>
        <v>库存为2</v>
      </c>
      <c r="AV745" s="36" t="str">
        <f>IFERROR(时间!$B$4+AU745,"上周无销量")</f>
        <v>上周无销量</v>
      </c>
    </row>
    <row r="746" spans="1:48">
      <c r="A746" s="20" t="s">
        <v>1681</v>
      </c>
      <c r="B746" t="s">
        <v>1682</v>
      </c>
      <c r="C746" t="s">
        <v>1680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2</v>
      </c>
      <c r="J746" s="33">
        <v>0</v>
      </c>
      <c r="K746" s="33">
        <v>0</v>
      </c>
      <c r="L746" s="33">
        <v>0</v>
      </c>
      <c r="M746">
        <v>2</v>
      </c>
      <c r="N746">
        <v>0</v>
      </c>
      <c r="O746">
        <v>2</v>
      </c>
      <c r="P746" t="s">
        <v>53</v>
      </c>
      <c r="Q746" t="s">
        <v>53</v>
      </c>
      <c r="R746" t="s">
        <v>53</v>
      </c>
      <c r="S746" t="s">
        <v>53</v>
      </c>
      <c r="T746" t="s">
        <v>53</v>
      </c>
      <c r="U746" t="s">
        <v>53</v>
      </c>
      <c r="V746" t="s">
        <v>53</v>
      </c>
      <c r="W746" t="s">
        <v>53</v>
      </c>
      <c r="X746" s="22" t="s">
        <v>53</v>
      </c>
      <c r="Y746" s="22" t="s">
        <v>53</v>
      </c>
      <c r="Z746" s="22" t="s">
        <v>53</v>
      </c>
      <c r="AA746" s="22" t="s">
        <v>53</v>
      </c>
      <c r="AB746" t="s">
        <v>53</v>
      </c>
      <c r="AC746" t="s">
        <v>53</v>
      </c>
      <c r="AD746" t="s">
        <v>53</v>
      </c>
      <c r="AE746" t="s">
        <v>53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0</v>
      </c>
      <c r="AK746">
        <v>5</v>
      </c>
      <c r="AL746">
        <v>2</v>
      </c>
      <c r="AM746">
        <v>2</v>
      </c>
      <c r="AN746" s="22" t="s">
        <v>53</v>
      </c>
      <c r="AO746" s="22">
        <v>0</v>
      </c>
      <c r="AP746" s="22">
        <v>0</v>
      </c>
      <c r="AQ746" s="22">
        <v>0</v>
      </c>
      <c r="AR746" s="35">
        <v>0</v>
      </c>
      <c r="AS746" s="35">
        <v>0</v>
      </c>
      <c r="AT746" s="35">
        <v>2</v>
      </c>
      <c r="AU746" s="31" t="str">
        <f t="shared" si="15"/>
        <v>库存为2</v>
      </c>
      <c r="AV746" s="36" t="str">
        <f>IFERROR(时间!$B$4+AU746,"上周无销量")</f>
        <v>上周无销量</v>
      </c>
    </row>
    <row r="747" spans="1:48">
      <c r="A747" s="20" t="s">
        <v>1683</v>
      </c>
      <c r="B747" t="s">
        <v>1684</v>
      </c>
      <c r="C747" t="s">
        <v>1680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7</v>
      </c>
      <c r="J747" s="33">
        <v>0</v>
      </c>
      <c r="K747" s="33">
        <v>0</v>
      </c>
      <c r="L747" s="33">
        <v>0</v>
      </c>
      <c r="M747">
        <v>7</v>
      </c>
      <c r="N747">
        <v>0</v>
      </c>
      <c r="O747">
        <v>7</v>
      </c>
      <c r="P747" t="s">
        <v>53</v>
      </c>
      <c r="Q747" t="s">
        <v>53</v>
      </c>
      <c r="R747" t="s">
        <v>53</v>
      </c>
      <c r="S747" t="s">
        <v>53</v>
      </c>
      <c r="T747" t="s">
        <v>53</v>
      </c>
      <c r="U747" t="s">
        <v>53</v>
      </c>
      <c r="V747" t="s">
        <v>53</v>
      </c>
      <c r="W747" t="s">
        <v>53</v>
      </c>
      <c r="X747" s="22" t="s">
        <v>53</v>
      </c>
      <c r="Y747" s="22" t="s">
        <v>53</v>
      </c>
      <c r="Z747" s="22" t="s">
        <v>53</v>
      </c>
      <c r="AA747" s="22" t="s">
        <v>53</v>
      </c>
      <c r="AB747" t="s">
        <v>53</v>
      </c>
      <c r="AC747" t="s">
        <v>53</v>
      </c>
      <c r="AD747" t="s">
        <v>53</v>
      </c>
      <c r="AE747" t="s">
        <v>53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1</v>
      </c>
      <c r="AK747">
        <v>3</v>
      </c>
      <c r="AL747">
        <v>0</v>
      </c>
      <c r="AM747">
        <v>2</v>
      </c>
      <c r="AN747" s="22">
        <v>0</v>
      </c>
      <c r="AO747" s="22">
        <v>0</v>
      </c>
      <c r="AP747" s="22" t="s">
        <v>53</v>
      </c>
      <c r="AQ747" s="22">
        <v>0</v>
      </c>
      <c r="AR747" s="35">
        <v>0</v>
      </c>
      <c r="AS747" s="35">
        <v>0</v>
      </c>
      <c r="AT747" s="35">
        <v>7</v>
      </c>
      <c r="AU747" s="31" t="str">
        <f t="shared" si="15"/>
        <v>库存为7</v>
      </c>
      <c r="AV747" s="36" t="str">
        <f>IFERROR(时间!$B$4+AU747,"上周无销量")</f>
        <v>上周无销量</v>
      </c>
    </row>
    <row r="748" spans="1:48">
      <c r="A748" s="20" t="s">
        <v>1685</v>
      </c>
      <c r="B748" t="s">
        <v>1686</v>
      </c>
      <c r="C748" t="s">
        <v>1680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6</v>
      </c>
      <c r="J748" s="33">
        <v>0</v>
      </c>
      <c r="K748" s="33">
        <v>0</v>
      </c>
      <c r="L748" s="33">
        <v>0</v>
      </c>
      <c r="M748">
        <v>6</v>
      </c>
      <c r="N748">
        <v>0</v>
      </c>
      <c r="O748">
        <v>6</v>
      </c>
      <c r="P748" t="s">
        <v>53</v>
      </c>
      <c r="Q748" t="s">
        <v>53</v>
      </c>
      <c r="R748" t="s">
        <v>53</v>
      </c>
      <c r="S748" t="s">
        <v>53</v>
      </c>
      <c r="T748" t="s">
        <v>53</v>
      </c>
      <c r="U748" t="s">
        <v>53</v>
      </c>
      <c r="V748" t="s">
        <v>53</v>
      </c>
      <c r="W748" t="s">
        <v>53</v>
      </c>
      <c r="X748" s="22" t="s">
        <v>53</v>
      </c>
      <c r="Y748" s="22" t="s">
        <v>53</v>
      </c>
      <c r="Z748" s="22" t="s">
        <v>53</v>
      </c>
      <c r="AA748" s="22" t="s">
        <v>53</v>
      </c>
      <c r="AB748" t="s">
        <v>53</v>
      </c>
      <c r="AC748" t="s">
        <v>53</v>
      </c>
      <c r="AD748" t="s">
        <v>53</v>
      </c>
      <c r="AE748" t="s">
        <v>53</v>
      </c>
      <c r="AF748" s="22" t="s">
        <v>53</v>
      </c>
      <c r="AG748" s="22" t="s">
        <v>53</v>
      </c>
      <c r="AH748" s="22" t="s">
        <v>53</v>
      </c>
      <c r="AI748" s="22" t="s">
        <v>53</v>
      </c>
      <c r="AJ748">
        <v>0</v>
      </c>
      <c r="AK748">
        <v>0</v>
      </c>
      <c r="AL748">
        <v>0</v>
      </c>
      <c r="AM748">
        <v>0</v>
      </c>
      <c r="AN748" s="22" t="s">
        <v>53</v>
      </c>
      <c r="AO748" s="22" t="s">
        <v>53</v>
      </c>
      <c r="AP748" s="22" t="s">
        <v>53</v>
      </c>
      <c r="AQ748" s="22" t="s">
        <v>53</v>
      </c>
      <c r="AR748" s="35">
        <v>0</v>
      </c>
      <c r="AS748" s="35">
        <v>0</v>
      </c>
      <c r="AT748" s="35">
        <v>6</v>
      </c>
      <c r="AU748" s="31" t="str">
        <f t="shared" si="15"/>
        <v>库存为6</v>
      </c>
      <c r="AV748" s="36" t="str">
        <f>IFERROR(时间!$B$4+AU748,"上周无销量")</f>
        <v>上周无销量</v>
      </c>
    </row>
    <row r="749" spans="1:48">
      <c r="A749" s="20" t="s">
        <v>1687</v>
      </c>
      <c r="B749" t="s">
        <v>1688</v>
      </c>
      <c r="C749" t="s">
        <v>1680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2</v>
      </c>
      <c r="J749" s="33">
        <v>0</v>
      </c>
      <c r="K749" s="33">
        <v>0</v>
      </c>
      <c r="L749" s="33">
        <v>0</v>
      </c>
      <c r="M749">
        <v>2</v>
      </c>
      <c r="N749">
        <v>0</v>
      </c>
      <c r="O749">
        <v>2</v>
      </c>
      <c r="P749" t="s">
        <v>53</v>
      </c>
      <c r="Q749" t="s">
        <v>53</v>
      </c>
      <c r="R749" t="s">
        <v>53</v>
      </c>
      <c r="S749" t="s">
        <v>53</v>
      </c>
      <c r="T749" t="s">
        <v>53</v>
      </c>
      <c r="U749" t="s">
        <v>53</v>
      </c>
      <c r="V749" t="s">
        <v>53</v>
      </c>
      <c r="W749" t="s">
        <v>53</v>
      </c>
      <c r="X749" s="22" t="s">
        <v>53</v>
      </c>
      <c r="Y749" s="22" t="s">
        <v>53</v>
      </c>
      <c r="Z749" s="22" t="s">
        <v>53</v>
      </c>
      <c r="AA749" s="22" t="s">
        <v>53</v>
      </c>
      <c r="AB749" t="s">
        <v>53</v>
      </c>
      <c r="AC749" t="s">
        <v>53</v>
      </c>
      <c r="AD749" t="s">
        <v>53</v>
      </c>
      <c r="AE749" t="s">
        <v>53</v>
      </c>
      <c r="AF749" s="22" t="s">
        <v>53</v>
      </c>
      <c r="AG749" s="22" t="s">
        <v>53</v>
      </c>
      <c r="AH749" s="22" t="s">
        <v>53</v>
      </c>
      <c r="AI749" s="22" t="s">
        <v>53</v>
      </c>
      <c r="AJ749">
        <v>14</v>
      </c>
      <c r="AK749">
        <v>2</v>
      </c>
      <c r="AL749">
        <v>3</v>
      </c>
      <c r="AM749">
        <v>5</v>
      </c>
      <c r="AN749" s="22">
        <v>0</v>
      </c>
      <c r="AO749" s="22">
        <v>0</v>
      </c>
      <c r="AP749" s="22">
        <v>0</v>
      </c>
      <c r="AQ749" s="22">
        <v>0</v>
      </c>
      <c r="AR749" s="35">
        <v>0</v>
      </c>
      <c r="AS749" s="35">
        <v>0</v>
      </c>
      <c r="AT749" s="35">
        <v>2</v>
      </c>
      <c r="AU749" s="31" t="str">
        <f t="shared" si="15"/>
        <v>库存为2</v>
      </c>
      <c r="AV749" s="36" t="str">
        <f>IFERROR(时间!$B$4+AU749,"上周无销量")</f>
        <v>上周无销量</v>
      </c>
    </row>
    <row r="750" spans="1:48">
      <c r="A750" s="20" t="s">
        <v>1689</v>
      </c>
      <c r="B750" t="s">
        <v>1690</v>
      </c>
      <c r="C750" t="s">
        <v>1691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4</v>
      </c>
      <c r="J750" s="33">
        <v>0</v>
      </c>
      <c r="K750" s="33">
        <v>0</v>
      </c>
      <c r="L750" s="33">
        <v>0</v>
      </c>
      <c r="M750">
        <v>4</v>
      </c>
      <c r="N750">
        <v>0</v>
      </c>
      <c r="O750">
        <v>4</v>
      </c>
      <c r="P750" t="s">
        <v>53</v>
      </c>
      <c r="Q750" t="s">
        <v>53</v>
      </c>
      <c r="R750" t="s">
        <v>53</v>
      </c>
      <c r="S750" t="s">
        <v>53</v>
      </c>
      <c r="T750" t="s">
        <v>53</v>
      </c>
      <c r="U750" t="s">
        <v>53</v>
      </c>
      <c r="V750" t="s">
        <v>53</v>
      </c>
      <c r="W750" t="s">
        <v>53</v>
      </c>
      <c r="X750" s="22" t="s">
        <v>53</v>
      </c>
      <c r="Y750" s="22" t="s">
        <v>53</v>
      </c>
      <c r="Z750" s="22" t="s">
        <v>53</v>
      </c>
      <c r="AA750" s="22" t="s">
        <v>53</v>
      </c>
      <c r="AB750" t="s">
        <v>53</v>
      </c>
      <c r="AC750" t="s">
        <v>53</v>
      </c>
      <c r="AD750" t="s">
        <v>53</v>
      </c>
      <c r="AE750" t="s">
        <v>53</v>
      </c>
      <c r="AF750" s="22" t="s">
        <v>53</v>
      </c>
      <c r="AG750" s="22" t="s">
        <v>53</v>
      </c>
      <c r="AH750" s="22" t="s">
        <v>53</v>
      </c>
      <c r="AI750" s="22" t="s">
        <v>53</v>
      </c>
      <c r="AJ750">
        <v>9</v>
      </c>
      <c r="AK750">
        <v>6</v>
      </c>
      <c r="AL750">
        <v>0</v>
      </c>
      <c r="AM750">
        <v>4</v>
      </c>
      <c r="AN750" s="22">
        <v>0</v>
      </c>
      <c r="AO750" s="22">
        <v>0</v>
      </c>
      <c r="AP750" s="22" t="s">
        <v>53</v>
      </c>
      <c r="AQ750" s="22">
        <v>0</v>
      </c>
      <c r="AR750" s="35">
        <v>0</v>
      </c>
      <c r="AS750" s="35">
        <v>0</v>
      </c>
      <c r="AT750" s="35">
        <v>4</v>
      </c>
      <c r="AU750" s="31" t="str">
        <f t="shared" si="15"/>
        <v>库存为4</v>
      </c>
      <c r="AV750" s="36" t="str">
        <f>IFERROR(时间!$B$4+AU750,"上周无销量")</f>
        <v>上周无销量</v>
      </c>
    </row>
    <row r="751" spans="1:48">
      <c r="A751" s="20" t="s">
        <v>1692</v>
      </c>
      <c r="B751" t="s">
        <v>1693</v>
      </c>
      <c r="C751" t="s">
        <v>1691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0</v>
      </c>
      <c r="AK751">
        <v>0</v>
      </c>
      <c r="AL751">
        <v>0</v>
      </c>
      <c r="AM751">
        <v>0</v>
      </c>
      <c r="AN751" s="22" t="s">
        <v>53</v>
      </c>
      <c r="AO751" s="22" t="s">
        <v>53</v>
      </c>
      <c r="AP751" s="22" t="s">
        <v>53</v>
      </c>
      <c r="AQ751" s="22" t="s">
        <v>53</v>
      </c>
      <c r="AR751" s="35">
        <v>0</v>
      </c>
      <c r="AS751" s="35">
        <v>0</v>
      </c>
      <c r="AT751" s="35">
        <v>0</v>
      </c>
      <c r="AU751" s="31" t="str">
        <f t="shared" si="15"/>
        <v>库存为0</v>
      </c>
      <c r="AV751" s="36" t="str">
        <f>IFERROR(时间!$B$4+AU751,"上周无销量")</f>
        <v>上周无销量</v>
      </c>
    </row>
    <row r="752" spans="1:48">
      <c r="A752" s="20" t="s">
        <v>1694</v>
      </c>
      <c r="B752" t="s">
        <v>1695</v>
      </c>
      <c r="C752" t="s">
        <v>1691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3</v>
      </c>
      <c r="J752" s="33">
        <v>0</v>
      </c>
      <c r="K752" s="33">
        <v>0</v>
      </c>
      <c r="L752" s="33">
        <v>0</v>
      </c>
      <c r="M752">
        <v>3</v>
      </c>
      <c r="N752">
        <v>0</v>
      </c>
      <c r="O752">
        <v>3</v>
      </c>
      <c r="P752" t="s">
        <v>53</v>
      </c>
      <c r="Q752" t="s">
        <v>53</v>
      </c>
      <c r="R752" t="s">
        <v>53</v>
      </c>
      <c r="S752" t="s">
        <v>53</v>
      </c>
      <c r="T752" t="s">
        <v>53</v>
      </c>
      <c r="U752" t="s">
        <v>53</v>
      </c>
      <c r="V752" t="s">
        <v>53</v>
      </c>
      <c r="W752" t="s">
        <v>53</v>
      </c>
      <c r="X752" s="22" t="s">
        <v>53</v>
      </c>
      <c r="Y752" s="22" t="s">
        <v>53</v>
      </c>
      <c r="Z752" s="22" t="s">
        <v>53</v>
      </c>
      <c r="AA752" s="22" t="s">
        <v>53</v>
      </c>
      <c r="AB752" t="s">
        <v>53</v>
      </c>
      <c r="AC752" t="s">
        <v>53</v>
      </c>
      <c r="AD752" t="s">
        <v>53</v>
      </c>
      <c r="AE752" t="s">
        <v>53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7</v>
      </c>
      <c r="AK752">
        <v>5</v>
      </c>
      <c r="AL752">
        <v>2</v>
      </c>
      <c r="AM752">
        <v>7</v>
      </c>
      <c r="AN752" s="22">
        <v>0</v>
      </c>
      <c r="AO752" s="22">
        <v>0</v>
      </c>
      <c r="AP752" s="22">
        <v>0</v>
      </c>
      <c r="AQ752" s="22">
        <v>0</v>
      </c>
      <c r="AR752" s="35">
        <v>0</v>
      </c>
      <c r="AS752" s="35">
        <v>0</v>
      </c>
      <c r="AT752" s="35">
        <v>3</v>
      </c>
      <c r="AU752" s="31" t="str">
        <f t="shared" si="15"/>
        <v>库存为3</v>
      </c>
      <c r="AV752" s="36" t="str">
        <f>IFERROR(时间!$B$4+AU752,"上周无销量")</f>
        <v>上周无销量</v>
      </c>
    </row>
    <row r="753" spans="1:48">
      <c r="A753" s="20" t="s">
        <v>1696</v>
      </c>
      <c r="B753" t="s">
        <v>1697</v>
      </c>
      <c r="C753" t="s">
        <v>1698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4</v>
      </c>
      <c r="J753" s="33">
        <v>0</v>
      </c>
      <c r="K753" s="33">
        <v>0</v>
      </c>
      <c r="L753" s="33">
        <v>0</v>
      </c>
      <c r="M753">
        <v>4</v>
      </c>
      <c r="N753">
        <v>0</v>
      </c>
      <c r="O753">
        <v>4</v>
      </c>
      <c r="P753" t="s">
        <v>53</v>
      </c>
      <c r="Q753" t="s">
        <v>53</v>
      </c>
      <c r="R753" t="s">
        <v>53</v>
      </c>
      <c r="S753" t="s">
        <v>53</v>
      </c>
      <c r="T753" t="s">
        <v>53</v>
      </c>
      <c r="U753" t="s">
        <v>53</v>
      </c>
      <c r="V753" t="s">
        <v>53</v>
      </c>
      <c r="W753" t="s">
        <v>53</v>
      </c>
      <c r="X753" s="22" t="s">
        <v>53</v>
      </c>
      <c r="Y753" s="22" t="s">
        <v>53</v>
      </c>
      <c r="Z753" s="22" t="s">
        <v>53</v>
      </c>
      <c r="AA753" s="22" t="s">
        <v>53</v>
      </c>
      <c r="AB753" t="s">
        <v>53</v>
      </c>
      <c r="AC753" t="s">
        <v>53</v>
      </c>
      <c r="AD753" t="s">
        <v>53</v>
      </c>
      <c r="AE753" t="s">
        <v>53</v>
      </c>
      <c r="AF753" s="22" t="s">
        <v>53</v>
      </c>
      <c r="AG753" s="22" t="s">
        <v>53</v>
      </c>
      <c r="AH753" s="22" t="s">
        <v>53</v>
      </c>
      <c r="AI753" s="22" t="s">
        <v>53</v>
      </c>
      <c r="AJ753">
        <v>3</v>
      </c>
      <c r="AK753">
        <v>3</v>
      </c>
      <c r="AL753">
        <v>2</v>
      </c>
      <c r="AM753">
        <v>5</v>
      </c>
      <c r="AN753" s="22">
        <v>0</v>
      </c>
      <c r="AO753" s="22">
        <v>0</v>
      </c>
      <c r="AP753" s="22">
        <v>0</v>
      </c>
      <c r="AQ753" s="22">
        <v>0</v>
      </c>
      <c r="AR753" s="35">
        <v>0</v>
      </c>
      <c r="AS753" s="35">
        <v>0</v>
      </c>
      <c r="AT753" s="35">
        <v>4</v>
      </c>
      <c r="AU753" s="31" t="str">
        <f t="shared" si="15"/>
        <v>库存为4</v>
      </c>
      <c r="AV753" s="36" t="str">
        <f>IFERROR(时间!$B$4+AU753,"上周无销量")</f>
        <v>上周无销量</v>
      </c>
    </row>
    <row r="754" spans="1:48">
      <c r="A754" s="20" t="s">
        <v>1699</v>
      </c>
      <c r="B754" t="s">
        <v>1700</v>
      </c>
      <c r="C754" t="s">
        <v>1698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5</v>
      </c>
      <c r="J754" s="33">
        <v>0</v>
      </c>
      <c r="K754" s="33">
        <v>0</v>
      </c>
      <c r="L754" s="33">
        <v>0</v>
      </c>
      <c r="M754">
        <v>5</v>
      </c>
      <c r="N754">
        <v>0</v>
      </c>
      <c r="O754">
        <v>5</v>
      </c>
      <c r="P754" t="s">
        <v>53</v>
      </c>
      <c r="Q754" t="s">
        <v>53</v>
      </c>
      <c r="R754" t="s">
        <v>53</v>
      </c>
      <c r="S754" t="s">
        <v>53</v>
      </c>
      <c r="T754" t="s">
        <v>53</v>
      </c>
      <c r="U754" t="s">
        <v>53</v>
      </c>
      <c r="V754" t="s">
        <v>53</v>
      </c>
      <c r="W754" t="s">
        <v>53</v>
      </c>
      <c r="X754" s="22" t="s">
        <v>53</v>
      </c>
      <c r="Y754" s="22" t="s">
        <v>53</v>
      </c>
      <c r="Z754" s="22" t="s">
        <v>53</v>
      </c>
      <c r="AA754" s="22" t="s">
        <v>53</v>
      </c>
      <c r="AB754" t="s">
        <v>53</v>
      </c>
      <c r="AC754" t="s">
        <v>53</v>
      </c>
      <c r="AD754" t="s">
        <v>53</v>
      </c>
      <c r="AE754" t="s">
        <v>53</v>
      </c>
      <c r="AF754" s="22" t="s">
        <v>53</v>
      </c>
      <c r="AG754" s="22" t="s">
        <v>53</v>
      </c>
      <c r="AH754" s="22" t="s">
        <v>53</v>
      </c>
      <c r="AI754" s="22" t="s">
        <v>53</v>
      </c>
      <c r="AJ754">
        <v>2</v>
      </c>
      <c r="AK754">
        <v>4</v>
      </c>
      <c r="AL754">
        <v>2</v>
      </c>
      <c r="AM754">
        <v>4</v>
      </c>
      <c r="AN754" s="22">
        <v>0</v>
      </c>
      <c r="AO754" s="22">
        <v>0</v>
      </c>
      <c r="AP754" s="22">
        <v>0</v>
      </c>
      <c r="AQ754" s="22">
        <v>0</v>
      </c>
      <c r="AR754" s="35">
        <v>0</v>
      </c>
      <c r="AS754" s="35">
        <v>0</v>
      </c>
      <c r="AT754" s="35">
        <v>5</v>
      </c>
      <c r="AU754" s="31" t="str">
        <f t="shared" si="15"/>
        <v>库存为5</v>
      </c>
      <c r="AV754" s="36" t="str">
        <f>IFERROR(时间!$B$4+AU754,"上周无销量")</f>
        <v>上周无销量</v>
      </c>
    </row>
    <row r="755" spans="1:48">
      <c r="A755" s="20" t="s">
        <v>1701</v>
      </c>
      <c r="B755" t="s">
        <v>1702</v>
      </c>
      <c r="C755" t="s">
        <v>1698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53</v>
      </c>
      <c r="Q755" t="s">
        <v>53</v>
      </c>
      <c r="R755" t="s">
        <v>53</v>
      </c>
      <c r="S755" t="s">
        <v>53</v>
      </c>
      <c r="T755" t="s">
        <v>53</v>
      </c>
      <c r="U755" t="s">
        <v>53</v>
      </c>
      <c r="V755" t="s">
        <v>53</v>
      </c>
      <c r="W755" t="s">
        <v>53</v>
      </c>
      <c r="X755" s="22" t="s">
        <v>53</v>
      </c>
      <c r="Y755" s="22" t="s">
        <v>53</v>
      </c>
      <c r="Z755" s="22" t="s">
        <v>53</v>
      </c>
      <c r="AA755" s="22" t="s">
        <v>53</v>
      </c>
      <c r="AB755" t="s">
        <v>53</v>
      </c>
      <c r="AC755" t="s">
        <v>53</v>
      </c>
      <c r="AD755" t="s">
        <v>53</v>
      </c>
      <c r="AE755" t="s">
        <v>53</v>
      </c>
      <c r="AF755" s="22" t="s">
        <v>53</v>
      </c>
      <c r="AG755" s="22" t="s">
        <v>53</v>
      </c>
      <c r="AH755" s="22" t="s">
        <v>53</v>
      </c>
      <c r="AI755" s="22" t="s">
        <v>53</v>
      </c>
      <c r="AJ755">
        <v>0</v>
      </c>
      <c r="AK755">
        <v>0</v>
      </c>
      <c r="AL755">
        <v>0</v>
      </c>
      <c r="AM755">
        <v>0</v>
      </c>
      <c r="AN755" s="22" t="s">
        <v>53</v>
      </c>
      <c r="AO755" s="22" t="s">
        <v>53</v>
      </c>
      <c r="AP755" s="22" t="s">
        <v>53</v>
      </c>
      <c r="AQ755" s="22" t="s">
        <v>53</v>
      </c>
      <c r="AR755" s="35">
        <v>0</v>
      </c>
      <c r="AS755" s="35">
        <v>0</v>
      </c>
      <c r="AT755" s="35">
        <v>0</v>
      </c>
      <c r="AU755" s="31" t="str">
        <f t="shared" si="15"/>
        <v>库存为0</v>
      </c>
      <c r="AV755" s="36" t="str">
        <f>IFERROR(时间!$B$4+AU755,"上周无销量")</f>
        <v>上周无销量</v>
      </c>
    </row>
    <row r="756" spans="1:48">
      <c r="A756" s="20" t="s">
        <v>1703</v>
      </c>
      <c r="B756" t="s">
        <v>1704</v>
      </c>
      <c r="C756" t="s">
        <v>1698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5</v>
      </c>
      <c r="J756" s="33">
        <v>0</v>
      </c>
      <c r="K756" s="33">
        <v>0</v>
      </c>
      <c r="L756" s="33">
        <v>0</v>
      </c>
      <c r="M756">
        <v>5</v>
      </c>
      <c r="N756">
        <v>0</v>
      </c>
      <c r="O756">
        <v>5</v>
      </c>
      <c r="P756" t="s">
        <v>53</v>
      </c>
      <c r="Q756" t="s">
        <v>53</v>
      </c>
      <c r="R756" t="s">
        <v>53</v>
      </c>
      <c r="S756" t="s">
        <v>53</v>
      </c>
      <c r="T756" t="s">
        <v>53</v>
      </c>
      <c r="U756" t="s">
        <v>53</v>
      </c>
      <c r="V756" t="s">
        <v>53</v>
      </c>
      <c r="W756" t="s">
        <v>53</v>
      </c>
      <c r="X756" s="22" t="s">
        <v>53</v>
      </c>
      <c r="Y756" s="22" t="s">
        <v>53</v>
      </c>
      <c r="Z756" s="22" t="s">
        <v>53</v>
      </c>
      <c r="AA756" s="22" t="s">
        <v>53</v>
      </c>
      <c r="AB756" t="s">
        <v>53</v>
      </c>
      <c r="AC756" t="s">
        <v>53</v>
      </c>
      <c r="AD756" t="s">
        <v>53</v>
      </c>
      <c r="AE756" t="s">
        <v>53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2</v>
      </c>
      <c r="AK756">
        <v>3</v>
      </c>
      <c r="AL756">
        <v>2</v>
      </c>
      <c r="AM756">
        <v>3</v>
      </c>
      <c r="AN756" s="22">
        <v>0</v>
      </c>
      <c r="AO756" s="22">
        <v>0</v>
      </c>
      <c r="AP756" s="22">
        <v>0</v>
      </c>
      <c r="AQ756" s="22">
        <v>0</v>
      </c>
      <c r="AR756" s="35">
        <v>0</v>
      </c>
      <c r="AS756" s="35">
        <v>0</v>
      </c>
      <c r="AT756" s="35">
        <v>5</v>
      </c>
      <c r="AU756" s="31" t="str">
        <f t="shared" si="15"/>
        <v>库存为5</v>
      </c>
      <c r="AV756" s="36" t="str">
        <f>IFERROR(时间!$B$4+AU756,"上周无销量")</f>
        <v>上周无销量</v>
      </c>
    </row>
    <row r="757" spans="1:48">
      <c r="A757" s="20" t="s">
        <v>1705</v>
      </c>
      <c r="B757" t="s">
        <v>1706</v>
      </c>
      <c r="C757" t="s">
        <v>1698</v>
      </c>
      <c r="D757" s="31">
        <v>1</v>
      </c>
      <c r="E757" s="31">
        <v>0</v>
      </c>
      <c r="F757" s="31">
        <v>0</v>
      </c>
      <c r="G757" s="31">
        <v>0</v>
      </c>
      <c r="H757" s="32">
        <v>10.9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53</v>
      </c>
      <c r="Q757" t="s">
        <v>53</v>
      </c>
      <c r="R757" t="s">
        <v>53</v>
      </c>
      <c r="S757" t="s">
        <v>53</v>
      </c>
      <c r="T757" t="s">
        <v>53</v>
      </c>
      <c r="U757" t="s">
        <v>53</v>
      </c>
      <c r="V757" t="s">
        <v>53</v>
      </c>
      <c r="W757" t="s">
        <v>53</v>
      </c>
      <c r="X757" s="22" t="s">
        <v>53</v>
      </c>
      <c r="Y757" s="22" t="s">
        <v>53</v>
      </c>
      <c r="Z757" s="22" t="s">
        <v>53</v>
      </c>
      <c r="AA757" s="22" t="s">
        <v>53</v>
      </c>
      <c r="AB757" t="s">
        <v>53</v>
      </c>
      <c r="AC757" t="s">
        <v>53</v>
      </c>
      <c r="AD757" t="s">
        <v>53</v>
      </c>
      <c r="AE757" t="s">
        <v>53</v>
      </c>
      <c r="AF757" s="22" t="s">
        <v>53</v>
      </c>
      <c r="AG757" s="22" t="s">
        <v>53</v>
      </c>
      <c r="AH757" s="22" t="s">
        <v>53</v>
      </c>
      <c r="AI757" s="22" t="s">
        <v>53</v>
      </c>
      <c r="AJ757">
        <v>2</v>
      </c>
      <c r="AK757">
        <v>2</v>
      </c>
      <c r="AL757">
        <v>3</v>
      </c>
      <c r="AM757">
        <v>5</v>
      </c>
      <c r="AN757" s="22">
        <v>0.5</v>
      </c>
      <c r="AO757" s="22">
        <v>0</v>
      </c>
      <c r="AP757" s="22">
        <v>0</v>
      </c>
      <c r="AQ757" s="22">
        <v>0</v>
      </c>
      <c r="AR757" s="35">
        <v>0.142857142857143</v>
      </c>
      <c r="AS757" s="35">
        <v>8.57142857142857</v>
      </c>
      <c r="AT757" s="35">
        <v>-8.57142857142857</v>
      </c>
      <c r="AU757" s="31">
        <f t="shared" si="15"/>
        <v>0</v>
      </c>
      <c r="AV757" s="36">
        <f>IFERROR(时间!$B$4+AU757,"上周无销量")</f>
        <v>43318</v>
      </c>
    </row>
    <row r="758" spans="1:48">
      <c r="A758" s="20" t="s">
        <v>1707</v>
      </c>
      <c r="B758" t="s">
        <v>1708</v>
      </c>
      <c r="C758" t="s">
        <v>1709</v>
      </c>
      <c r="D758" s="31">
        <v>0</v>
      </c>
      <c r="E758" s="31">
        <v>0</v>
      </c>
      <c r="F758" s="31">
        <v>1</v>
      </c>
      <c r="G758" s="31">
        <v>0</v>
      </c>
      <c r="H758" s="32">
        <v>9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19</v>
      </c>
      <c r="S758">
        <v>0</v>
      </c>
      <c r="T758">
        <v>0</v>
      </c>
      <c r="U758">
        <v>0</v>
      </c>
      <c r="V758">
        <v>0</v>
      </c>
      <c r="W758">
        <v>0</v>
      </c>
      <c r="X758" s="22" t="s">
        <v>53</v>
      </c>
      <c r="Y758" s="22" t="s">
        <v>53</v>
      </c>
      <c r="Z758" s="22">
        <v>0</v>
      </c>
      <c r="AA758" s="22" t="s">
        <v>53</v>
      </c>
      <c r="AB758">
        <v>0</v>
      </c>
      <c r="AC758">
        <v>0</v>
      </c>
      <c r="AD758">
        <v>0</v>
      </c>
      <c r="AE758">
        <v>0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0</v>
      </c>
      <c r="AK758">
        <v>0</v>
      </c>
      <c r="AL758">
        <v>2</v>
      </c>
      <c r="AM758">
        <v>3</v>
      </c>
      <c r="AN758" s="22" t="s">
        <v>53</v>
      </c>
      <c r="AO758" s="22" t="s">
        <v>53</v>
      </c>
      <c r="AP758" s="22">
        <v>0.5</v>
      </c>
      <c r="AQ758" s="22">
        <v>0</v>
      </c>
      <c r="AR758" s="35">
        <v>0</v>
      </c>
      <c r="AS758" s="35">
        <v>0</v>
      </c>
      <c r="AT758" s="35">
        <v>0</v>
      </c>
      <c r="AU758" s="31" t="str">
        <f t="shared" si="15"/>
        <v>库存为0</v>
      </c>
      <c r="AV758" s="36" t="str">
        <f>IFERROR(时间!$B$4+AU758,"上周无销量")</f>
        <v>上周无销量</v>
      </c>
    </row>
    <row r="759" spans="1:48">
      <c r="A759" s="20" t="s">
        <v>1710</v>
      </c>
      <c r="B759" t="s">
        <v>1711</v>
      </c>
      <c r="C759" t="s">
        <v>1709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1</v>
      </c>
      <c r="J759" s="33">
        <v>0</v>
      </c>
      <c r="K759" s="33">
        <v>0</v>
      </c>
      <c r="L759" s="33">
        <v>0</v>
      </c>
      <c r="M759">
        <v>1</v>
      </c>
      <c r="N759">
        <v>0</v>
      </c>
      <c r="O759">
        <v>1</v>
      </c>
      <c r="P759" t="s">
        <v>53</v>
      </c>
      <c r="Q759" t="s">
        <v>53</v>
      </c>
      <c r="R759" t="s">
        <v>53</v>
      </c>
      <c r="S759" t="s">
        <v>53</v>
      </c>
      <c r="T759" t="s">
        <v>53</v>
      </c>
      <c r="U759" t="s">
        <v>53</v>
      </c>
      <c r="V759" t="s">
        <v>53</v>
      </c>
      <c r="W759" t="s">
        <v>53</v>
      </c>
      <c r="X759" s="22" t="s">
        <v>53</v>
      </c>
      <c r="Y759" s="22" t="s">
        <v>53</v>
      </c>
      <c r="Z759" s="22" t="s">
        <v>53</v>
      </c>
      <c r="AA759" s="22" t="s">
        <v>53</v>
      </c>
      <c r="AB759" t="s">
        <v>53</v>
      </c>
      <c r="AC759" t="s">
        <v>53</v>
      </c>
      <c r="AD759" t="s">
        <v>53</v>
      </c>
      <c r="AE759" t="s">
        <v>53</v>
      </c>
      <c r="AF759" s="22" t="s">
        <v>53</v>
      </c>
      <c r="AG759" s="22" t="s">
        <v>53</v>
      </c>
      <c r="AH759" s="22" t="s">
        <v>53</v>
      </c>
      <c r="AI759" s="22" t="s">
        <v>53</v>
      </c>
      <c r="AJ759">
        <v>2</v>
      </c>
      <c r="AK759">
        <v>2</v>
      </c>
      <c r="AL759">
        <v>3</v>
      </c>
      <c r="AM759">
        <v>2</v>
      </c>
      <c r="AN759" s="22">
        <v>0</v>
      </c>
      <c r="AO759" s="22">
        <v>0</v>
      </c>
      <c r="AP759" s="22">
        <v>0</v>
      </c>
      <c r="AQ759" s="22">
        <v>0</v>
      </c>
      <c r="AR759" s="35">
        <v>0</v>
      </c>
      <c r="AS759" s="35">
        <v>0</v>
      </c>
      <c r="AT759" s="35">
        <v>1</v>
      </c>
      <c r="AU759" s="31" t="str">
        <f t="shared" si="15"/>
        <v>库存为1</v>
      </c>
      <c r="AV759" s="36" t="str">
        <f>IFERROR(时间!$B$4+AU759,"上周无销量")</f>
        <v>上周无销量</v>
      </c>
    </row>
    <row r="760" spans="1:48">
      <c r="A760" s="20" t="s">
        <v>1712</v>
      </c>
      <c r="B760" t="s">
        <v>1713</v>
      </c>
      <c r="C760" t="s">
        <v>1709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53</v>
      </c>
      <c r="Q760" t="s">
        <v>53</v>
      </c>
      <c r="R760" t="s">
        <v>53</v>
      </c>
      <c r="S760" t="s">
        <v>53</v>
      </c>
      <c r="T760" t="s">
        <v>53</v>
      </c>
      <c r="U760" t="s">
        <v>53</v>
      </c>
      <c r="V760" t="s">
        <v>53</v>
      </c>
      <c r="W760" t="s">
        <v>53</v>
      </c>
      <c r="X760" s="22" t="s">
        <v>53</v>
      </c>
      <c r="Y760" s="22" t="s">
        <v>53</v>
      </c>
      <c r="Z760" s="22" t="s">
        <v>53</v>
      </c>
      <c r="AA760" s="22" t="s">
        <v>53</v>
      </c>
      <c r="AB760" t="s">
        <v>53</v>
      </c>
      <c r="AC760" t="s">
        <v>53</v>
      </c>
      <c r="AD760" t="s">
        <v>53</v>
      </c>
      <c r="AE760" t="s">
        <v>53</v>
      </c>
      <c r="AF760" s="22" t="s">
        <v>53</v>
      </c>
      <c r="AG760" s="22" t="s">
        <v>53</v>
      </c>
      <c r="AH760" s="22" t="s">
        <v>53</v>
      </c>
      <c r="AI760" s="22" t="s">
        <v>53</v>
      </c>
      <c r="AJ760">
        <v>0</v>
      </c>
      <c r="AK760">
        <v>0</v>
      </c>
      <c r="AL760">
        <v>0</v>
      </c>
      <c r="AM760">
        <v>0</v>
      </c>
      <c r="AN760" s="22" t="s">
        <v>53</v>
      </c>
      <c r="AO760" s="22" t="s">
        <v>53</v>
      </c>
      <c r="AP760" s="22" t="s">
        <v>53</v>
      </c>
      <c r="AQ760" s="22" t="s">
        <v>53</v>
      </c>
      <c r="AR760" s="35">
        <v>0</v>
      </c>
      <c r="AS760" s="35">
        <v>0</v>
      </c>
      <c r="AT760" s="35">
        <v>0</v>
      </c>
      <c r="AU760" s="31" t="str">
        <f t="shared" si="15"/>
        <v>库存为0</v>
      </c>
      <c r="AV760" s="36" t="str">
        <f>IFERROR(时间!$B$4+AU760,"上周无销量")</f>
        <v>上周无销量</v>
      </c>
    </row>
    <row r="761" spans="1:48">
      <c r="A761" s="20" t="s">
        <v>1714</v>
      </c>
      <c r="B761" t="s">
        <v>1715</v>
      </c>
      <c r="C761" t="s">
        <v>1716</v>
      </c>
      <c r="D761" s="31">
        <v>1</v>
      </c>
      <c r="E761" s="31">
        <v>3</v>
      </c>
      <c r="F761" s="31">
        <v>3</v>
      </c>
      <c r="G761" s="31">
        <v>1</v>
      </c>
      <c r="H761" s="32">
        <v>19.99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53</v>
      </c>
      <c r="Q761" t="s">
        <v>53</v>
      </c>
      <c r="R761" t="s">
        <v>53</v>
      </c>
      <c r="S761" t="s">
        <v>53</v>
      </c>
      <c r="T761" t="s">
        <v>53</v>
      </c>
      <c r="U761" t="s">
        <v>53</v>
      </c>
      <c r="V761" t="s">
        <v>53</v>
      </c>
      <c r="W761" t="s">
        <v>53</v>
      </c>
      <c r="X761" s="22" t="s">
        <v>53</v>
      </c>
      <c r="Y761" s="22" t="s">
        <v>53</v>
      </c>
      <c r="Z761" s="22" t="s">
        <v>53</v>
      </c>
      <c r="AA761" s="22" t="s">
        <v>53</v>
      </c>
      <c r="AB761" t="s">
        <v>53</v>
      </c>
      <c r="AC761" t="s">
        <v>53</v>
      </c>
      <c r="AD761" t="s">
        <v>53</v>
      </c>
      <c r="AE761" t="s">
        <v>53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0</v>
      </c>
      <c r="AK761">
        <v>14</v>
      </c>
      <c r="AL761">
        <v>23</v>
      </c>
      <c r="AM761">
        <v>8</v>
      </c>
      <c r="AN761" s="22" t="s">
        <v>53</v>
      </c>
      <c r="AO761" s="22">
        <v>0.214285714285714</v>
      </c>
      <c r="AP761" s="22">
        <v>0.130434782608696</v>
      </c>
      <c r="AQ761" s="22">
        <v>0.125</v>
      </c>
      <c r="AR761" s="35">
        <v>0.142857142857143</v>
      </c>
      <c r="AS761" s="35">
        <v>8.57142857142857</v>
      </c>
      <c r="AT761" s="35">
        <v>-8.57142857142857</v>
      </c>
      <c r="AU761" s="31">
        <f t="shared" si="15"/>
        <v>0</v>
      </c>
      <c r="AV761" s="36">
        <f>IFERROR(时间!$B$4+AU761,"上周无销量")</f>
        <v>43318</v>
      </c>
    </row>
    <row r="762" spans="1:48">
      <c r="A762" s="20" t="s">
        <v>1717</v>
      </c>
      <c r="B762" t="s">
        <v>1718</v>
      </c>
      <c r="C762" t="s">
        <v>1716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3</v>
      </c>
      <c r="J762" s="33">
        <v>0</v>
      </c>
      <c r="K762" s="33">
        <v>0</v>
      </c>
      <c r="L762" s="33">
        <v>0</v>
      </c>
      <c r="M762">
        <v>3</v>
      </c>
      <c r="N762">
        <v>0</v>
      </c>
      <c r="O762">
        <v>0</v>
      </c>
      <c r="P762" t="s">
        <v>53</v>
      </c>
      <c r="Q762" t="s">
        <v>53</v>
      </c>
      <c r="R762" t="s">
        <v>53</v>
      </c>
      <c r="S762" t="s">
        <v>53</v>
      </c>
      <c r="T762" t="s">
        <v>53</v>
      </c>
      <c r="U762" t="s">
        <v>53</v>
      </c>
      <c r="V762" t="s">
        <v>53</v>
      </c>
      <c r="W762" t="s">
        <v>53</v>
      </c>
      <c r="X762" s="22" t="s">
        <v>53</v>
      </c>
      <c r="Y762" s="22" t="s">
        <v>53</v>
      </c>
      <c r="Z762" s="22" t="s">
        <v>53</v>
      </c>
      <c r="AA762" s="22" t="s">
        <v>53</v>
      </c>
      <c r="AB762" t="s">
        <v>53</v>
      </c>
      <c r="AC762" t="s">
        <v>53</v>
      </c>
      <c r="AD762" t="s">
        <v>53</v>
      </c>
      <c r="AE762" t="s">
        <v>53</v>
      </c>
      <c r="AF762" s="22" t="s">
        <v>53</v>
      </c>
      <c r="AG762" s="22" t="s">
        <v>53</v>
      </c>
      <c r="AH762" s="22" t="s">
        <v>53</v>
      </c>
      <c r="AI762" s="22" t="s">
        <v>53</v>
      </c>
      <c r="AJ762">
        <v>20</v>
      </c>
      <c r="AK762">
        <v>18</v>
      </c>
      <c r="AL762">
        <v>15</v>
      </c>
      <c r="AM762">
        <v>4</v>
      </c>
      <c r="AN762" s="22">
        <v>0</v>
      </c>
      <c r="AO762" s="22">
        <v>0</v>
      </c>
      <c r="AP762" s="22">
        <v>0</v>
      </c>
      <c r="AQ762" s="22">
        <v>0</v>
      </c>
      <c r="AR762" s="35">
        <v>0</v>
      </c>
      <c r="AS762" s="35">
        <v>0</v>
      </c>
      <c r="AT762" s="35">
        <v>3</v>
      </c>
      <c r="AU762" s="31" t="str">
        <f t="shared" si="15"/>
        <v>库存为3</v>
      </c>
      <c r="AV762" s="36" t="str">
        <f>IFERROR(时间!$B$4+AU762,"上周无销量")</f>
        <v>上周无销量</v>
      </c>
    </row>
    <row r="763" spans="1:48">
      <c r="A763" s="20" t="s">
        <v>1719</v>
      </c>
      <c r="B763" t="s">
        <v>1720</v>
      </c>
      <c r="C763" t="s">
        <v>1716</v>
      </c>
      <c r="D763" s="31">
        <v>0</v>
      </c>
      <c r="E763" s="31">
        <v>1</v>
      </c>
      <c r="F763" s="31">
        <v>0</v>
      </c>
      <c r="G763" s="31">
        <v>0</v>
      </c>
      <c r="H763" s="32">
        <v>22.99</v>
      </c>
      <c r="I763">
        <v>12</v>
      </c>
      <c r="J763" s="33">
        <v>0</v>
      </c>
      <c r="K763" s="33">
        <v>0</v>
      </c>
      <c r="L763" s="33">
        <v>0</v>
      </c>
      <c r="M763">
        <v>12</v>
      </c>
      <c r="N763">
        <v>0</v>
      </c>
      <c r="O763">
        <v>11</v>
      </c>
      <c r="P763" t="s">
        <v>53</v>
      </c>
      <c r="Q763" t="s">
        <v>53</v>
      </c>
      <c r="R763" t="s">
        <v>53</v>
      </c>
      <c r="S763" t="s">
        <v>53</v>
      </c>
      <c r="T763" t="s">
        <v>53</v>
      </c>
      <c r="U763" t="s">
        <v>53</v>
      </c>
      <c r="V763" t="s">
        <v>53</v>
      </c>
      <c r="W763" t="s">
        <v>53</v>
      </c>
      <c r="X763" s="22" t="s">
        <v>53</v>
      </c>
      <c r="Y763" s="22" t="s">
        <v>53</v>
      </c>
      <c r="Z763" s="22" t="s">
        <v>53</v>
      </c>
      <c r="AA763" s="22" t="s">
        <v>53</v>
      </c>
      <c r="AB763" t="s">
        <v>53</v>
      </c>
      <c r="AC763" t="s">
        <v>53</v>
      </c>
      <c r="AD763" t="s">
        <v>53</v>
      </c>
      <c r="AE763" t="s">
        <v>53</v>
      </c>
      <c r="AF763" s="22" t="s">
        <v>53</v>
      </c>
      <c r="AG763" s="22" t="s">
        <v>53</v>
      </c>
      <c r="AH763" s="22" t="s">
        <v>53</v>
      </c>
      <c r="AI763" s="22" t="s">
        <v>53</v>
      </c>
      <c r="AJ763">
        <v>11</v>
      </c>
      <c r="AK763">
        <v>7</v>
      </c>
      <c r="AL763">
        <v>5</v>
      </c>
      <c r="AM763">
        <v>2</v>
      </c>
      <c r="AN763" s="22">
        <v>0</v>
      </c>
      <c r="AO763" s="22">
        <v>0.142857142857143</v>
      </c>
      <c r="AP763" s="22">
        <v>0</v>
      </c>
      <c r="AQ763" s="22">
        <v>0</v>
      </c>
      <c r="AR763" s="35">
        <v>0</v>
      </c>
      <c r="AS763" s="35">
        <v>0</v>
      </c>
      <c r="AT763" s="35">
        <v>12</v>
      </c>
      <c r="AU763" s="31" t="str">
        <f t="shared" si="15"/>
        <v>库存为12</v>
      </c>
      <c r="AV763" s="36" t="str">
        <f>IFERROR(时间!$B$4+AU763,"上周无销量")</f>
        <v>上周无销量</v>
      </c>
    </row>
    <row r="764" spans="1:48">
      <c r="A764" s="20" t="s">
        <v>1721</v>
      </c>
      <c r="B764" t="s">
        <v>1722</v>
      </c>
      <c r="C764" t="s">
        <v>1716</v>
      </c>
      <c r="D764" s="31">
        <v>1</v>
      </c>
      <c r="E764" s="31">
        <v>0</v>
      </c>
      <c r="F764" s="31">
        <v>0</v>
      </c>
      <c r="G764" s="31">
        <v>0</v>
      </c>
      <c r="H764" s="32">
        <v>25.99</v>
      </c>
      <c r="I764">
        <v>28</v>
      </c>
      <c r="J764" s="33">
        <v>0</v>
      </c>
      <c r="K764" s="33">
        <v>0</v>
      </c>
      <c r="L764" s="33">
        <v>0</v>
      </c>
      <c r="M764">
        <v>28</v>
      </c>
      <c r="N764">
        <v>0</v>
      </c>
      <c r="O764">
        <v>28</v>
      </c>
      <c r="P764" t="s">
        <v>53</v>
      </c>
      <c r="Q764" t="s">
        <v>53</v>
      </c>
      <c r="R764" t="s">
        <v>53</v>
      </c>
      <c r="S764" t="s">
        <v>53</v>
      </c>
      <c r="T764" t="s">
        <v>53</v>
      </c>
      <c r="U764" t="s">
        <v>53</v>
      </c>
      <c r="V764" t="s">
        <v>53</v>
      </c>
      <c r="W764" t="s">
        <v>53</v>
      </c>
      <c r="X764" s="22" t="s">
        <v>53</v>
      </c>
      <c r="Y764" s="22" t="s">
        <v>53</v>
      </c>
      <c r="Z764" s="22" t="s">
        <v>53</v>
      </c>
      <c r="AA764" s="22" t="s">
        <v>53</v>
      </c>
      <c r="AB764" t="s">
        <v>53</v>
      </c>
      <c r="AC764" t="s">
        <v>53</v>
      </c>
      <c r="AD764" t="s">
        <v>53</v>
      </c>
      <c r="AE764" t="s">
        <v>53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8</v>
      </c>
      <c r="AK764">
        <v>10</v>
      </c>
      <c r="AL764">
        <v>10</v>
      </c>
      <c r="AM764">
        <v>1</v>
      </c>
      <c r="AN764" s="22">
        <v>0.125</v>
      </c>
      <c r="AO764" s="22">
        <v>0</v>
      </c>
      <c r="AP764" s="22">
        <v>0</v>
      </c>
      <c r="AQ764" s="22">
        <v>0</v>
      </c>
      <c r="AR764" s="35">
        <v>0.142857142857143</v>
      </c>
      <c r="AS764" s="35">
        <v>8.57142857142857</v>
      </c>
      <c r="AT764" s="35">
        <v>19.4285714285714</v>
      </c>
      <c r="AU764" s="31">
        <f t="shared" si="15"/>
        <v>196</v>
      </c>
      <c r="AV764" s="36">
        <f>IFERROR(时间!$B$4+AU764,"上周无销量")</f>
        <v>43514</v>
      </c>
    </row>
    <row r="765" spans="1:48">
      <c r="A765" s="20" t="s">
        <v>1723</v>
      </c>
      <c r="B765" t="s">
        <v>1724</v>
      </c>
      <c r="C765" t="s">
        <v>1716</v>
      </c>
      <c r="D765" s="31">
        <v>1</v>
      </c>
      <c r="E765" s="31">
        <v>1</v>
      </c>
      <c r="F765" s="31">
        <v>1</v>
      </c>
      <c r="G765" s="31">
        <v>0</v>
      </c>
      <c r="H765" s="32">
        <v>25.7</v>
      </c>
      <c r="I765">
        <v>16</v>
      </c>
      <c r="J765" s="33">
        <v>0</v>
      </c>
      <c r="K765" s="33">
        <v>0</v>
      </c>
      <c r="L765" s="33">
        <v>0</v>
      </c>
      <c r="M765">
        <v>16</v>
      </c>
      <c r="N765">
        <v>0</v>
      </c>
      <c r="O765">
        <v>16</v>
      </c>
      <c r="P765" t="s">
        <v>53</v>
      </c>
      <c r="Q765" t="s">
        <v>53</v>
      </c>
      <c r="R765" t="s">
        <v>53</v>
      </c>
      <c r="S765" t="s">
        <v>53</v>
      </c>
      <c r="T765" t="s">
        <v>53</v>
      </c>
      <c r="U765" t="s">
        <v>53</v>
      </c>
      <c r="V765" t="s">
        <v>53</v>
      </c>
      <c r="W765" t="s">
        <v>53</v>
      </c>
      <c r="X765" s="22" t="s">
        <v>53</v>
      </c>
      <c r="Y765" s="22" t="s">
        <v>53</v>
      </c>
      <c r="Z765" s="22" t="s">
        <v>53</v>
      </c>
      <c r="AA765" s="22" t="s">
        <v>53</v>
      </c>
      <c r="AB765" t="s">
        <v>53</v>
      </c>
      <c r="AC765" t="s">
        <v>53</v>
      </c>
      <c r="AD765" t="s">
        <v>53</v>
      </c>
      <c r="AE765" t="s">
        <v>53</v>
      </c>
      <c r="AF765" s="22" t="s">
        <v>53</v>
      </c>
      <c r="AG765" s="22" t="s">
        <v>53</v>
      </c>
      <c r="AH765" s="22" t="s">
        <v>53</v>
      </c>
      <c r="AI765" s="22" t="s">
        <v>53</v>
      </c>
      <c r="AJ765">
        <v>5</v>
      </c>
      <c r="AK765">
        <v>11</v>
      </c>
      <c r="AL765">
        <v>9</v>
      </c>
      <c r="AM765">
        <v>1</v>
      </c>
      <c r="AN765" s="22">
        <v>0.2</v>
      </c>
      <c r="AO765" s="22">
        <v>0.0909090909090909</v>
      </c>
      <c r="AP765" s="22">
        <v>0.111111111111111</v>
      </c>
      <c r="AQ765" s="22">
        <v>0</v>
      </c>
      <c r="AR765" s="35">
        <v>0.142857142857143</v>
      </c>
      <c r="AS765" s="35">
        <v>8.57142857142857</v>
      </c>
      <c r="AT765" s="35">
        <v>7.42857142857143</v>
      </c>
      <c r="AU765" s="31">
        <f t="shared" si="15"/>
        <v>112</v>
      </c>
      <c r="AV765" s="36">
        <f>IFERROR(时间!$B$4+AU765,"上周无销量")</f>
        <v>43430</v>
      </c>
    </row>
    <row r="766" spans="1:48">
      <c r="A766" s="20" t="s">
        <v>1725</v>
      </c>
      <c r="B766" t="s">
        <v>1726</v>
      </c>
      <c r="C766" t="s">
        <v>1716</v>
      </c>
      <c r="D766" s="31">
        <v>0</v>
      </c>
      <c r="E766" s="31">
        <v>1</v>
      </c>
      <c r="F766" s="31">
        <v>0</v>
      </c>
      <c r="G766" s="31">
        <v>0</v>
      </c>
      <c r="H766" s="32">
        <v>32.99</v>
      </c>
      <c r="I766">
        <v>3</v>
      </c>
      <c r="J766" s="33">
        <v>0</v>
      </c>
      <c r="K766" s="33">
        <v>0</v>
      </c>
      <c r="L766" s="33">
        <v>0</v>
      </c>
      <c r="M766">
        <v>3</v>
      </c>
      <c r="N766">
        <v>0</v>
      </c>
      <c r="O766">
        <v>4</v>
      </c>
      <c r="P766" t="s">
        <v>53</v>
      </c>
      <c r="Q766" t="s">
        <v>53</v>
      </c>
      <c r="R766" t="s">
        <v>53</v>
      </c>
      <c r="S766" t="s">
        <v>53</v>
      </c>
      <c r="T766" t="s">
        <v>53</v>
      </c>
      <c r="U766" t="s">
        <v>53</v>
      </c>
      <c r="V766" t="s">
        <v>53</v>
      </c>
      <c r="W766" t="s">
        <v>53</v>
      </c>
      <c r="X766" s="22" t="s">
        <v>53</v>
      </c>
      <c r="Y766" s="22" t="s">
        <v>53</v>
      </c>
      <c r="Z766" s="22" t="s">
        <v>53</v>
      </c>
      <c r="AA766" s="22" t="s">
        <v>53</v>
      </c>
      <c r="AB766" t="s">
        <v>53</v>
      </c>
      <c r="AC766" t="s">
        <v>53</v>
      </c>
      <c r="AD766" t="s">
        <v>53</v>
      </c>
      <c r="AE766" t="s">
        <v>53</v>
      </c>
      <c r="AF766" s="22" t="s">
        <v>53</v>
      </c>
      <c r="AG766" s="22" t="s">
        <v>53</v>
      </c>
      <c r="AH766" s="22" t="s">
        <v>53</v>
      </c>
      <c r="AI766" s="22" t="s">
        <v>53</v>
      </c>
      <c r="AJ766">
        <v>4</v>
      </c>
      <c r="AK766">
        <v>11</v>
      </c>
      <c r="AL766">
        <v>14</v>
      </c>
      <c r="AM766">
        <v>1</v>
      </c>
      <c r="AN766" s="22">
        <v>0</v>
      </c>
      <c r="AO766" s="22">
        <v>0.0909090909090909</v>
      </c>
      <c r="AP766" s="22">
        <v>0</v>
      </c>
      <c r="AQ766" s="22">
        <v>0</v>
      </c>
      <c r="AR766" s="35">
        <v>0</v>
      </c>
      <c r="AS766" s="35">
        <v>0</v>
      </c>
      <c r="AT766" s="35">
        <v>3</v>
      </c>
      <c r="AU766" s="31" t="str">
        <f t="shared" si="15"/>
        <v>库存为3</v>
      </c>
      <c r="AV766" s="36" t="str">
        <f>IFERROR(时间!$B$4+AU766,"上周无销量")</f>
        <v>上周无销量</v>
      </c>
    </row>
    <row r="767" spans="1:48">
      <c r="A767" s="20" t="s">
        <v>1727</v>
      </c>
      <c r="B767" t="s">
        <v>1728</v>
      </c>
      <c r="C767" t="s">
        <v>1716</v>
      </c>
      <c r="D767" s="31">
        <v>1</v>
      </c>
      <c r="E767" s="31">
        <v>4</v>
      </c>
      <c r="F767" s="31">
        <v>0</v>
      </c>
      <c r="G767" s="31">
        <v>0</v>
      </c>
      <c r="H767" s="32">
        <v>39.99</v>
      </c>
      <c r="I767">
        <v>2</v>
      </c>
      <c r="J767" s="33">
        <v>0</v>
      </c>
      <c r="K767" s="33">
        <v>0</v>
      </c>
      <c r="L767" s="33">
        <v>0</v>
      </c>
      <c r="M767">
        <v>2</v>
      </c>
      <c r="N767">
        <v>0</v>
      </c>
      <c r="O767">
        <v>2</v>
      </c>
      <c r="P767" t="s">
        <v>53</v>
      </c>
      <c r="Q767" t="s">
        <v>53</v>
      </c>
      <c r="R767" t="s">
        <v>53</v>
      </c>
      <c r="S767" t="s">
        <v>53</v>
      </c>
      <c r="T767" t="s">
        <v>53</v>
      </c>
      <c r="U767" t="s">
        <v>53</v>
      </c>
      <c r="V767" t="s">
        <v>53</v>
      </c>
      <c r="W767" t="s">
        <v>53</v>
      </c>
      <c r="X767" s="22" t="s">
        <v>53</v>
      </c>
      <c r="Y767" s="22" t="s">
        <v>53</v>
      </c>
      <c r="Z767" s="22" t="s">
        <v>53</v>
      </c>
      <c r="AA767" s="22" t="s">
        <v>53</v>
      </c>
      <c r="AB767" t="s">
        <v>53</v>
      </c>
      <c r="AC767" t="s">
        <v>53</v>
      </c>
      <c r="AD767" t="s">
        <v>53</v>
      </c>
      <c r="AE767" t="s">
        <v>53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17</v>
      </c>
      <c r="AK767">
        <v>11</v>
      </c>
      <c r="AL767">
        <v>10</v>
      </c>
      <c r="AM767">
        <v>2</v>
      </c>
      <c r="AN767" s="22">
        <v>0.0588235294117647</v>
      </c>
      <c r="AO767" s="22">
        <v>0.363636363636364</v>
      </c>
      <c r="AP767" s="22">
        <v>0</v>
      </c>
      <c r="AQ767" s="22">
        <v>0</v>
      </c>
      <c r="AR767" s="35">
        <v>0.142857142857143</v>
      </c>
      <c r="AS767" s="35">
        <v>8.57142857142857</v>
      </c>
      <c r="AT767" s="35">
        <v>-6.57142857142857</v>
      </c>
      <c r="AU767" s="31">
        <f t="shared" si="15"/>
        <v>14</v>
      </c>
      <c r="AV767" s="36">
        <f>IFERROR(时间!$B$4+AU767,"上周无销量")</f>
        <v>43332</v>
      </c>
    </row>
    <row r="768" spans="1:48">
      <c r="A768" s="20" t="s">
        <v>1729</v>
      </c>
      <c r="B768" t="s">
        <v>1730</v>
      </c>
      <c r="C768" t="s">
        <v>1716</v>
      </c>
      <c r="D768" s="31">
        <v>1</v>
      </c>
      <c r="E768" s="31">
        <v>1</v>
      </c>
      <c r="F768" s="31">
        <v>0</v>
      </c>
      <c r="G768" s="31">
        <v>1</v>
      </c>
      <c r="H768" s="32">
        <v>8.99</v>
      </c>
      <c r="I768">
        <v>26</v>
      </c>
      <c r="J768" s="33">
        <v>0</v>
      </c>
      <c r="K768" s="33">
        <v>0</v>
      </c>
      <c r="L768" s="33">
        <v>0</v>
      </c>
      <c r="M768">
        <v>26</v>
      </c>
      <c r="N768">
        <v>0</v>
      </c>
      <c r="O768">
        <v>26</v>
      </c>
      <c r="P768" t="s">
        <v>53</v>
      </c>
      <c r="Q768" t="s">
        <v>53</v>
      </c>
      <c r="R768" t="s">
        <v>53</v>
      </c>
      <c r="S768" t="s">
        <v>53</v>
      </c>
      <c r="T768" t="s">
        <v>53</v>
      </c>
      <c r="U768" t="s">
        <v>53</v>
      </c>
      <c r="V768" t="s">
        <v>53</v>
      </c>
      <c r="W768" t="s">
        <v>53</v>
      </c>
      <c r="X768" s="22" t="s">
        <v>53</v>
      </c>
      <c r="Y768" s="22" t="s">
        <v>53</v>
      </c>
      <c r="Z768" s="22" t="s">
        <v>53</v>
      </c>
      <c r="AA768" s="22" t="s">
        <v>53</v>
      </c>
      <c r="AB768" t="s">
        <v>53</v>
      </c>
      <c r="AC768" t="s">
        <v>53</v>
      </c>
      <c r="AD768" t="s">
        <v>53</v>
      </c>
      <c r="AE768" t="s">
        <v>53</v>
      </c>
      <c r="AF768" s="22" t="s">
        <v>53</v>
      </c>
      <c r="AG768" s="22" t="s">
        <v>53</v>
      </c>
      <c r="AH768" s="22" t="s">
        <v>53</v>
      </c>
      <c r="AI768" s="22" t="s">
        <v>53</v>
      </c>
      <c r="AJ768">
        <v>50</v>
      </c>
      <c r="AK768">
        <v>44</v>
      </c>
      <c r="AL768">
        <v>21</v>
      </c>
      <c r="AM768">
        <v>10</v>
      </c>
      <c r="AN768" s="22">
        <v>0.02</v>
      </c>
      <c r="AO768" s="22">
        <v>0.0227272727272727</v>
      </c>
      <c r="AP768" s="22">
        <v>0</v>
      </c>
      <c r="AQ768" s="22">
        <v>0.1</v>
      </c>
      <c r="AR768" s="35">
        <v>0.142857142857143</v>
      </c>
      <c r="AS768" s="35">
        <v>8.57142857142857</v>
      </c>
      <c r="AT768" s="35">
        <v>17.4285714285714</v>
      </c>
      <c r="AU768" s="31">
        <f t="shared" si="15"/>
        <v>182</v>
      </c>
      <c r="AV768" s="36">
        <f>IFERROR(时间!$B$4+AU768,"上周无销量")</f>
        <v>43500</v>
      </c>
    </row>
    <row r="769" spans="1:48">
      <c r="A769" s="20" t="s">
        <v>1731</v>
      </c>
      <c r="B769" t="s">
        <v>1732</v>
      </c>
      <c r="C769" t="s">
        <v>1716</v>
      </c>
      <c r="D769" s="31">
        <v>2</v>
      </c>
      <c r="E769" s="31">
        <v>2</v>
      </c>
      <c r="F769" s="31">
        <v>0</v>
      </c>
      <c r="G769" s="31">
        <v>0</v>
      </c>
      <c r="H769" s="32">
        <v>13.99</v>
      </c>
      <c r="I769">
        <v>3</v>
      </c>
      <c r="J769" s="33">
        <v>0</v>
      </c>
      <c r="K769" s="33">
        <v>0</v>
      </c>
      <c r="L769" s="33">
        <v>0</v>
      </c>
      <c r="M769">
        <v>3</v>
      </c>
      <c r="N769">
        <v>0</v>
      </c>
      <c r="O769">
        <v>0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28</v>
      </c>
      <c r="AK769">
        <v>20</v>
      </c>
      <c r="AL769">
        <v>27</v>
      </c>
      <c r="AM769">
        <v>6</v>
      </c>
      <c r="AN769" s="22">
        <v>0.0714285714285714</v>
      </c>
      <c r="AO769" s="22">
        <v>0.1</v>
      </c>
      <c r="AP769" s="22">
        <v>0</v>
      </c>
      <c r="AQ769" s="22">
        <v>0</v>
      </c>
      <c r="AR769" s="35">
        <v>0.285714285714286</v>
      </c>
      <c r="AS769" s="35">
        <v>17.1428571428571</v>
      </c>
      <c r="AT769" s="35">
        <v>-14.1428571428571</v>
      </c>
      <c r="AU769" s="31">
        <f t="shared" si="15"/>
        <v>10</v>
      </c>
      <c r="AV769" s="36">
        <f>IFERROR(时间!$B$4+AU769,"上周无销量")</f>
        <v>43328</v>
      </c>
    </row>
    <row r="770" spans="1:48">
      <c r="A770" s="20" t="s">
        <v>1733</v>
      </c>
      <c r="B770" t="s">
        <v>1734</v>
      </c>
      <c r="C770" t="s">
        <v>1735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53</v>
      </c>
      <c r="Q770" t="s">
        <v>53</v>
      </c>
      <c r="R770" t="s">
        <v>53</v>
      </c>
      <c r="S770" t="s">
        <v>53</v>
      </c>
      <c r="T770" t="s">
        <v>53</v>
      </c>
      <c r="U770" t="s">
        <v>53</v>
      </c>
      <c r="V770" t="s">
        <v>53</v>
      </c>
      <c r="W770" t="s">
        <v>53</v>
      </c>
      <c r="X770" s="22" t="s">
        <v>53</v>
      </c>
      <c r="Y770" s="22" t="s">
        <v>53</v>
      </c>
      <c r="Z770" s="22" t="s">
        <v>53</v>
      </c>
      <c r="AA770" s="22" t="s">
        <v>53</v>
      </c>
      <c r="AB770" t="s">
        <v>53</v>
      </c>
      <c r="AC770" t="s">
        <v>53</v>
      </c>
      <c r="AD770" t="s">
        <v>53</v>
      </c>
      <c r="AE770" t="s">
        <v>53</v>
      </c>
      <c r="AF770" s="22" t="s">
        <v>53</v>
      </c>
      <c r="AG770" s="22" t="s">
        <v>53</v>
      </c>
      <c r="AH770" s="22" t="s">
        <v>53</v>
      </c>
      <c r="AI770" s="22" t="s">
        <v>53</v>
      </c>
      <c r="AJ770">
        <v>0</v>
      </c>
      <c r="AK770">
        <v>0</v>
      </c>
      <c r="AL770">
        <v>0</v>
      </c>
      <c r="AM770">
        <v>0</v>
      </c>
      <c r="AN770" s="22" t="s">
        <v>53</v>
      </c>
      <c r="AO770" s="22" t="s">
        <v>53</v>
      </c>
      <c r="AP770" s="22" t="s">
        <v>53</v>
      </c>
      <c r="AQ770" s="22" t="s">
        <v>53</v>
      </c>
      <c r="AR770" s="35">
        <v>0</v>
      </c>
      <c r="AS770" s="35">
        <v>0</v>
      </c>
      <c r="AT770" s="35">
        <v>0</v>
      </c>
      <c r="AU770" s="31" t="str">
        <f t="shared" si="15"/>
        <v>库存为0</v>
      </c>
      <c r="AV770" s="36" t="str">
        <f>IFERROR(时间!$B$4+AU770,"上周无销量")</f>
        <v>上周无销量</v>
      </c>
    </row>
    <row r="771" spans="1:48">
      <c r="A771" s="20" t="s">
        <v>1736</v>
      </c>
      <c r="B771" t="s">
        <v>1737</v>
      </c>
      <c r="C771" t="s">
        <v>1735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0</v>
      </c>
      <c r="O771">
        <v>0</v>
      </c>
      <c r="P771" t="s">
        <v>53</v>
      </c>
      <c r="Q771" t="s">
        <v>53</v>
      </c>
      <c r="R771" t="s">
        <v>53</v>
      </c>
      <c r="S771" t="s">
        <v>53</v>
      </c>
      <c r="T771" t="s">
        <v>53</v>
      </c>
      <c r="U771" t="s">
        <v>53</v>
      </c>
      <c r="V771" t="s">
        <v>53</v>
      </c>
      <c r="W771" t="s">
        <v>53</v>
      </c>
      <c r="X771" s="22" t="s">
        <v>53</v>
      </c>
      <c r="Y771" s="22" t="s">
        <v>53</v>
      </c>
      <c r="Z771" s="22" t="s">
        <v>53</v>
      </c>
      <c r="AA771" s="22" t="s">
        <v>53</v>
      </c>
      <c r="AB771" t="s">
        <v>53</v>
      </c>
      <c r="AC771" t="s">
        <v>53</v>
      </c>
      <c r="AD771" t="s">
        <v>53</v>
      </c>
      <c r="AE771" t="s">
        <v>53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0</v>
      </c>
      <c r="AK771">
        <v>0</v>
      </c>
      <c r="AL771">
        <v>0</v>
      </c>
      <c r="AM771">
        <v>0</v>
      </c>
      <c r="AN771" s="22" t="s">
        <v>53</v>
      </c>
      <c r="AO771" s="22" t="s">
        <v>53</v>
      </c>
      <c r="AP771" s="22" t="s">
        <v>53</v>
      </c>
      <c r="AQ771" s="22" t="s">
        <v>53</v>
      </c>
      <c r="AR771" s="35">
        <v>0</v>
      </c>
      <c r="AS771" s="35">
        <v>0</v>
      </c>
      <c r="AT771" s="35">
        <v>0</v>
      </c>
      <c r="AU771" s="31" t="str">
        <f t="shared" si="15"/>
        <v>库存为0</v>
      </c>
      <c r="AV771" s="36" t="str">
        <f>IFERROR(时间!$B$4+AU771,"上周无销量")</f>
        <v>上周无销量</v>
      </c>
    </row>
    <row r="772" spans="1:48">
      <c r="A772" s="20" t="s">
        <v>1738</v>
      </c>
      <c r="B772" t="s">
        <v>1739</v>
      </c>
      <c r="C772" t="s">
        <v>1735</v>
      </c>
      <c r="D772" s="31">
        <v>2</v>
      </c>
      <c r="E772" s="31">
        <v>0</v>
      </c>
      <c r="F772" s="31">
        <v>0</v>
      </c>
      <c r="G772" s="31">
        <v>0</v>
      </c>
      <c r="H772" s="32">
        <v>24.5</v>
      </c>
      <c r="I772">
        <v>15</v>
      </c>
      <c r="J772" s="33">
        <v>0</v>
      </c>
      <c r="K772" s="33">
        <v>0</v>
      </c>
      <c r="L772" s="33">
        <v>0</v>
      </c>
      <c r="M772">
        <v>15</v>
      </c>
      <c r="N772">
        <v>0</v>
      </c>
      <c r="O772">
        <v>15</v>
      </c>
      <c r="P772" t="s">
        <v>53</v>
      </c>
      <c r="Q772" t="s">
        <v>53</v>
      </c>
      <c r="R772" t="s">
        <v>53</v>
      </c>
      <c r="S772" t="s">
        <v>53</v>
      </c>
      <c r="T772" t="s">
        <v>53</v>
      </c>
      <c r="U772" t="s">
        <v>53</v>
      </c>
      <c r="V772" t="s">
        <v>53</v>
      </c>
      <c r="W772" t="s">
        <v>53</v>
      </c>
      <c r="X772" s="22" t="s">
        <v>53</v>
      </c>
      <c r="Y772" s="22" t="s">
        <v>53</v>
      </c>
      <c r="Z772" s="22" t="s">
        <v>53</v>
      </c>
      <c r="AA772" s="22" t="s">
        <v>53</v>
      </c>
      <c r="AB772" t="s">
        <v>53</v>
      </c>
      <c r="AC772" t="s">
        <v>53</v>
      </c>
      <c r="AD772" t="s">
        <v>53</v>
      </c>
      <c r="AE772" t="s">
        <v>53</v>
      </c>
      <c r="AF772" s="22" t="s">
        <v>53</v>
      </c>
      <c r="AG772" s="22" t="s">
        <v>53</v>
      </c>
      <c r="AH772" s="22" t="s">
        <v>53</v>
      </c>
      <c r="AI772" s="22" t="s">
        <v>53</v>
      </c>
      <c r="AJ772">
        <v>4</v>
      </c>
      <c r="AK772">
        <v>7</v>
      </c>
      <c r="AL772">
        <v>14</v>
      </c>
      <c r="AM772">
        <v>5</v>
      </c>
      <c r="AN772" s="22">
        <v>0.5</v>
      </c>
      <c r="AO772" s="22">
        <v>0</v>
      </c>
      <c r="AP772" s="22">
        <v>0</v>
      </c>
      <c r="AQ772" s="22">
        <v>0</v>
      </c>
      <c r="AR772" s="35">
        <v>0.285714285714286</v>
      </c>
      <c r="AS772" s="35">
        <v>17.1428571428571</v>
      </c>
      <c r="AT772" s="35">
        <v>-2.14285714285714</v>
      </c>
      <c r="AU772" s="31">
        <f t="shared" si="15"/>
        <v>52</v>
      </c>
      <c r="AV772" s="36">
        <f>IFERROR(时间!$B$4+AU772,"上周无销量")</f>
        <v>43370</v>
      </c>
    </row>
    <row r="773" spans="1:48">
      <c r="A773" s="20" t="s">
        <v>1740</v>
      </c>
      <c r="B773" t="s">
        <v>1741</v>
      </c>
      <c r="C773" t="s">
        <v>1735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13</v>
      </c>
      <c r="J773" s="33">
        <v>0</v>
      </c>
      <c r="K773" s="33">
        <v>0</v>
      </c>
      <c r="L773" s="33">
        <v>0</v>
      </c>
      <c r="M773">
        <v>13</v>
      </c>
      <c r="N773">
        <v>0</v>
      </c>
      <c r="O773">
        <v>13</v>
      </c>
      <c r="P773" t="s">
        <v>53</v>
      </c>
      <c r="Q773" t="s">
        <v>53</v>
      </c>
      <c r="R773" t="s">
        <v>53</v>
      </c>
      <c r="S773" t="s">
        <v>53</v>
      </c>
      <c r="T773" t="s">
        <v>53</v>
      </c>
      <c r="U773" t="s">
        <v>53</v>
      </c>
      <c r="V773" t="s">
        <v>53</v>
      </c>
      <c r="W773" t="s">
        <v>53</v>
      </c>
      <c r="X773" s="22" t="s">
        <v>53</v>
      </c>
      <c r="Y773" s="22" t="s">
        <v>53</v>
      </c>
      <c r="Z773" s="22" t="s">
        <v>53</v>
      </c>
      <c r="AA773" s="22" t="s">
        <v>53</v>
      </c>
      <c r="AB773" t="s">
        <v>53</v>
      </c>
      <c r="AC773" t="s">
        <v>53</v>
      </c>
      <c r="AD773" t="s">
        <v>53</v>
      </c>
      <c r="AE773" t="s">
        <v>53</v>
      </c>
      <c r="AF773" s="22" t="s">
        <v>53</v>
      </c>
      <c r="AG773" s="22" t="s">
        <v>53</v>
      </c>
      <c r="AH773" s="22" t="s">
        <v>53</v>
      </c>
      <c r="AI773" s="22" t="s">
        <v>53</v>
      </c>
      <c r="AJ773">
        <v>6</v>
      </c>
      <c r="AK773">
        <v>8</v>
      </c>
      <c r="AL773">
        <v>20</v>
      </c>
      <c r="AM773">
        <v>5</v>
      </c>
      <c r="AN773" s="22">
        <v>0</v>
      </c>
      <c r="AO773" s="22">
        <v>0</v>
      </c>
      <c r="AP773" s="22">
        <v>0</v>
      </c>
      <c r="AQ773" s="22">
        <v>0</v>
      </c>
      <c r="AR773" s="35">
        <v>0</v>
      </c>
      <c r="AS773" s="35">
        <v>0</v>
      </c>
      <c r="AT773" s="35">
        <v>13</v>
      </c>
      <c r="AU773" s="31" t="str">
        <f t="shared" ref="AU773:AU836" si="16">IF(AR773="","库存为"&amp;M773,IF(AS773=0,"库存为"&amp;M773,INT(M773/AR773)))</f>
        <v>库存为13</v>
      </c>
      <c r="AV773" s="36" t="str">
        <f>IFERROR(时间!$B$4+AU773,"上周无销量")</f>
        <v>上周无销量</v>
      </c>
    </row>
    <row r="774" spans="1:48">
      <c r="A774" s="20" t="s">
        <v>1742</v>
      </c>
      <c r="B774" t="s">
        <v>1743</v>
      </c>
      <c r="C774" t="s">
        <v>1735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12</v>
      </c>
      <c r="J774" s="33">
        <v>0</v>
      </c>
      <c r="K774" s="33">
        <v>0</v>
      </c>
      <c r="L774" s="33">
        <v>0</v>
      </c>
      <c r="M774">
        <v>12</v>
      </c>
      <c r="N774">
        <v>0</v>
      </c>
      <c r="O774">
        <v>11</v>
      </c>
      <c r="P774" t="s">
        <v>53</v>
      </c>
      <c r="Q774" t="s">
        <v>53</v>
      </c>
      <c r="R774" t="s">
        <v>53</v>
      </c>
      <c r="S774" t="s">
        <v>53</v>
      </c>
      <c r="T774" t="s">
        <v>53</v>
      </c>
      <c r="U774" t="s">
        <v>53</v>
      </c>
      <c r="V774" t="s">
        <v>53</v>
      </c>
      <c r="W774" t="s">
        <v>53</v>
      </c>
      <c r="X774" s="22" t="s">
        <v>53</v>
      </c>
      <c r="Y774" s="22" t="s">
        <v>53</v>
      </c>
      <c r="Z774" s="22" t="s">
        <v>53</v>
      </c>
      <c r="AA774" s="22" t="s">
        <v>53</v>
      </c>
      <c r="AB774" t="s">
        <v>53</v>
      </c>
      <c r="AC774" t="s">
        <v>53</v>
      </c>
      <c r="AD774" t="s">
        <v>53</v>
      </c>
      <c r="AE774" t="s">
        <v>53</v>
      </c>
      <c r="AF774" s="22" t="s">
        <v>53</v>
      </c>
      <c r="AG774" s="22" t="s">
        <v>53</v>
      </c>
      <c r="AH774" s="22" t="s">
        <v>53</v>
      </c>
      <c r="AI774" s="22" t="s">
        <v>53</v>
      </c>
      <c r="AJ774">
        <v>5</v>
      </c>
      <c r="AK774">
        <v>6</v>
      </c>
      <c r="AL774">
        <v>6</v>
      </c>
      <c r="AM774">
        <v>3</v>
      </c>
      <c r="AN774" s="22">
        <v>0</v>
      </c>
      <c r="AO774" s="22">
        <v>0</v>
      </c>
      <c r="AP774" s="22">
        <v>0</v>
      </c>
      <c r="AQ774" s="22">
        <v>0</v>
      </c>
      <c r="AR774" s="35">
        <v>0</v>
      </c>
      <c r="AS774" s="35">
        <v>0</v>
      </c>
      <c r="AT774" s="35">
        <v>12</v>
      </c>
      <c r="AU774" s="31" t="str">
        <f t="shared" si="16"/>
        <v>库存为12</v>
      </c>
      <c r="AV774" s="36" t="str">
        <f>IFERROR(时间!$B$4+AU774,"上周无销量")</f>
        <v>上周无销量</v>
      </c>
    </row>
    <row r="775" spans="1:48">
      <c r="A775" s="20" t="s">
        <v>1744</v>
      </c>
      <c r="B775" t="s">
        <v>1745</v>
      </c>
      <c r="C775" t="s">
        <v>1735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22</v>
      </c>
      <c r="J775" s="33">
        <v>0</v>
      </c>
      <c r="K775" s="33">
        <v>0</v>
      </c>
      <c r="L775" s="33">
        <v>0</v>
      </c>
      <c r="M775">
        <v>22</v>
      </c>
      <c r="N775">
        <v>0</v>
      </c>
      <c r="O775">
        <v>22</v>
      </c>
      <c r="P775">
        <v>1412</v>
      </c>
      <c r="Q775">
        <v>944</v>
      </c>
      <c r="R775">
        <v>0</v>
      </c>
      <c r="S775">
        <v>0</v>
      </c>
      <c r="T775">
        <v>10</v>
      </c>
      <c r="U775">
        <v>3</v>
      </c>
      <c r="V775">
        <v>0</v>
      </c>
      <c r="W775">
        <v>0</v>
      </c>
      <c r="X775" s="22">
        <v>0.00708215297450425</v>
      </c>
      <c r="Y775" s="22">
        <v>0.00317796610169492</v>
      </c>
      <c r="Z775" s="22" t="s">
        <v>53</v>
      </c>
      <c r="AA775" s="22" t="s">
        <v>53</v>
      </c>
      <c r="AB775">
        <v>3.86</v>
      </c>
      <c r="AC775">
        <v>1.42</v>
      </c>
      <c r="AD775">
        <v>0</v>
      </c>
      <c r="AE775">
        <v>0</v>
      </c>
      <c r="AF775" s="22" t="s">
        <v>1746</v>
      </c>
      <c r="AG775" s="22" t="s">
        <v>1747</v>
      </c>
      <c r="AH775" s="22" t="s">
        <v>53</v>
      </c>
      <c r="AI775" s="22" t="s">
        <v>53</v>
      </c>
      <c r="AJ775">
        <v>7</v>
      </c>
      <c r="AK775">
        <v>4</v>
      </c>
      <c r="AL775">
        <v>7</v>
      </c>
      <c r="AM775">
        <v>2</v>
      </c>
      <c r="AN775" s="22">
        <v>0</v>
      </c>
      <c r="AO775" s="22">
        <v>0</v>
      </c>
      <c r="AP775" s="22">
        <v>0</v>
      </c>
      <c r="AQ775" s="22">
        <v>0</v>
      </c>
      <c r="AR775" s="35">
        <v>0</v>
      </c>
      <c r="AS775" s="35">
        <v>0</v>
      </c>
      <c r="AT775" s="35">
        <v>22</v>
      </c>
      <c r="AU775" s="31" t="str">
        <f t="shared" si="16"/>
        <v>库存为22</v>
      </c>
      <c r="AV775" s="36" t="str">
        <f>IFERROR(时间!$B$4+AU775,"上周无销量")</f>
        <v>上周无销量</v>
      </c>
    </row>
    <row r="776" spans="1:48">
      <c r="A776" s="20" t="s">
        <v>1748</v>
      </c>
      <c r="B776" t="s">
        <v>1749</v>
      </c>
      <c r="C776" t="s">
        <v>1735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53</v>
      </c>
      <c r="Q776" t="s">
        <v>53</v>
      </c>
      <c r="R776" t="s">
        <v>53</v>
      </c>
      <c r="S776" t="s">
        <v>53</v>
      </c>
      <c r="T776" t="s">
        <v>53</v>
      </c>
      <c r="U776" t="s">
        <v>53</v>
      </c>
      <c r="V776" t="s">
        <v>53</v>
      </c>
      <c r="W776" t="s">
        <v>53</v>
      </c>
      <c r="X776" s="22" t="s">
        <v>53</v>
      </c>
      <c r="Y776" s="22" t="s">
        <v>53</v>
      </c>
      <c r="Z776" s="22" t="s">
        <v>53</v>
      </c>
      <c r="AA776" s="22" t="s">
        <v>53</v>
      </c>
      <c r="AB776" t="s">
        <v>53</v>
      </c>
      <c r="AC776" t="s">
        <v>53</v>
      </c>
      <c r="AD776" t="s">
        <v>53</v>
      </c>
      <c r="AE776" t="s">
        <v>53</v>
      </c>
      <c r="AF776" s="22" t="s">
        <v>53</v>
      </c>
      <c r="AG776" s="22" t="s">
        <v>53</v>
      </c>
      <c r="AH776" s="22" t="s">
        <v>53</v>
      </c>
      <c r="AI776" s="22" t="s">
        <v>53</v>
      </c>
      <c r="AJ776">
        <v>0</v>
      </c>
      <c r="AK776">
        <v>0</v>
      </c>
      <c r="AL776">
        <v>0</v>
      </c>
      <c r="AM776">
        <v>0</v>
      </c>
      <c r="AN776" s="22" t="s">
        <v>53</v>
      </c>
      <c r="AO776" s="22" t="s">
        <v>53</v>
      </c>
      <c r="AP776" s="22" t="s">
        <v>53</v>
      </c>
      <c r="AQ776" s="22" t="s">
        <v>53</v>
      </c>
      <c r="AR776" s="35">
        <v>0</v>
      </c>
      <c r="AS776" s="35">
        <v>0</v>
      </c>
      <c r="AT776" s="35">
        <v>0</v>
      </c>
      <c r="AU776" s="31" t="str">
        <f t="shared" si="16"/>
        <v>库存为0</v>
      </c>
      <c r="AV776" s="36" t="str">
        <f>IFERROR(时间!$B$4+AU776,"上周无销量")</f>
        <v>上周无销量</v>
      </c>
    </row>
    <row r="777" spans="1:48">
      <c r="A777" s="20" t="s">
        <v>1750</v>
      </c>
      <c r="B777" t="s">
        <v>1751</v>
      </c>
      <c r="C777" t="s">
        <v>1735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1</v>
      </c>
      <c r="O777">
        <v>0</v>
      </c>
      <c r="P777" t="s">
        <v>53</v>
      </c>
      <c r="Q777" t="s">
        <v>53</v>
      </c>
      <c r="R777" t="s">
        <v>53</v>
      </c>
      <c r="S777" t="s">
        <v>53</v>
      </c>
      <c r="T777" t="s">
        <v>53</v>
      </c>
      <c r="U777" t="s">
        <v>53</v>
      </c>
      <c r="V777" t="s">
        <v>53</v>
      </c>
      <c r="W777" t="s">
        <v>53</v>
      </c>
      <c r="X777" s="22" t="s">
        <v>53</v>
      </c>
      <c r="Y777" s="22" t="s">
        <v>53</v>
      </c>
      <c r="Z777" s="22" t="s">
        <v>53</v>
      </c>
      <c r="AA777" s="22" t="s">
        <v>53</v>
      </c>
      <c r="AB777" t="s">
        <v>53</v>
      </c>
      <c r="AC777" t="s">
        <v>53</v>
      </c>
      <c r="AD777" t="s">
        <v>53</v>
      </c>
      <c r="AE777" t="s">
        <v>53</v>
      </c>
      <c r="AF777" s="22" t="s">
        <v>53</v>
      </c>
      <c r="AG777" s="22" t="s">
        <v>53</v>
      </c>
      <c r="AH777" s="22" t="s">
        <v>53</v>
      </c>
      <c r="AI777" s="22" t="s">
        <v>53</v>
      </c>
      <c r="AJ777">
        <v>0</v>
      </c>
      <c r="AK777">
        <v>0</v>
      </c>
      <c r="AL777">
        <v>0</v>
      </c>
      <c r="AM777">
        <v>0</v>
      </c>
      <c r="AN777" s="22" t="s">
        <v>53</v>
      </c>
      <c r="AO777" s="22" t="s">
        <v>53</v>
      </c>
      <c r="AP777" s="22" t="s">
        <v>53</v>
      </c>
      <c r="AQ777" s="22" t="s">
        <v>53</v>
      </c>
      <c r="AR777" s="35">
        <v>0</v>
      </c>
      <c r="AS777" s="35">
        <v>0</v>
      </c>
      <c r="AT777" s="35">
        <v>0</v>
      </c>
      <c r="AU777" s="31" t="str">
        <f t="shared" si="16"/>
        <v>库存为0</v>
      </c>
      <c r="AV777" s="36" t="str">
        <f>IFERROR(时间!$B$4+AU777,"上周无销量")</f>
        <v>上周无销量</v>
      </c>
    </row>
    <row r="778" spans="1:48">
      <c r="A778" s="20" t="s">
        <v>1752</v>
      </c>
      <c r="B778" t="s">
        <v>1753</v>
      </c>
      <c r="C778" t="s">
        <v>1754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0</v>
      </c>
      <c r="AK778">
        <v>0</v>
      </c>
      <c r="AL778">
        <v>0</v>
      </c>
      <c r="AM778">
        <v>0</v>
      </c>
      <c r="AN778" s="22" t="s">
        <v>53</v>
      </c>
      <c r="AO778" s="22" t="s">
        <v>53</v>
      </c>
      <c r="AP778" s="22" t="s">
        <v>53</v>
      </c>
      <c r="AQ778" s="22" t="s">
        <v>53</v>
      </c>
      <c r="AR778" s="35">
        <v>0</v>
      </c>
      <c r="AS778" s="35">
        <v>0</v>
      </c>
      <c r="AT778" s="35">
        <v>0</v>
      </c>
      <c r="AU778" s="31" t="str">
        <f t="shared" si="16"/>
        <v>库存为0</v>
      </c>
      <c r="AV778" s="36" t="str">
        <f>IFERROR(时间!$B$4+AU778,"上周无销量")</f>
        <v>上周无销量</v>
      </c>
    </row>
    <row r="779" spans="1:48">
      <c r="A779" s="20" t="s">
        <v>1755</v>
      </c>
      <c r="B779" t="s">
        <v>1756</v>
      </c>
      <c r="C779" t="s">
        <v>1754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53</v>
      </c>
      <c r="Q779" t="s">
        <v>53</v>
      </c>
      <c r="R779" t="s">
        <v>53</v>
      </c>
      <c r="S779" t="s">
        <v>53</v>
      </c>
      <c r="T779" t="s">
        <v>53</v>
      </c>
      <c r="U779" t="s">
        <v>53</v>
      </c>
      <c r="V779" t="s">
        <v>53</v>
      </c>
      <c r="W779" t="s">
        <v>53</v>
      </c>
      <c r="X779" s="22" t="s">
        <v>53</v>
      </c>
      <c r="Y779" s="22" t="s">
        <v>53</v>
      </c>
      <c r="Z779" s="22" t="s">
        <v>53</v>
      </c>
      <c r="AA779" s="22" t="s">
        <v>53</v>
      </c>
      <c r="AB779" t="s">
        <v>53</v>
      </c>
      <c r="AC779" t="s">
        <v>53</v>
      </c>
      <c r="AD779" t="s">
        <v>53</v>
      </c>
      <c r="AE779" t="s">
        <v>53</v>
      </c>
      <c r="AF779" s="22" t="s">
        <v>53</v>
      </c>
      <c r="AG779" s="22" t="s">
        <v>53</v>
      </c>
      <c r="AH779" s="22" t="s">
        <v>53</v>
      </c>
      <c r="AI779" s="22" t="s">
        <v>53</v>
      </c>
      <c r="AJ779">
        <v>0</v>
      </c>
      <c r="AK779">
        <v>0</v>
      </c>
      <c r="AL779">
        <v>0</v>
      </c>
      <c r="AM779">
        <v>0</v>
      </c>
      <c r="AN779" s="22" t="s">
        <v>53</v>
      </c>
      <c r="AO779" s="22" t="s">
        <v>53</v>
      </c>
      <c r="AP779" s="22" t="s">
        <v>53</v>
      </c>
      <c r="AQ779" s="22" t="s">
        <v>53</v>
      </c>
      <c r="AR779" s="35">
        <v>0</v>
      </c>
      <c r="AS779" s="35">
        <v>0</v>
      </c>
      <c r="AT779" s="35">
        <v>0</v>
      </c>
      <c r="AU779" s="31" t="str">
        <f t="shared" si="16"/>
        <v>库存为0</v>
      </c>
      <c r="AV779" s="36" t="str">
        <f>IFERROR(时间!$B$4+AU779,"上周无销量")</f>
        <v>上周无销量</v>
      </c>
    </row>
    <row r="780" spans="1:48">
      <c r="A780" s="20" t="s">
        <v>1757</v>
      </c>
      <c r="B780" t="s">
        <v>1758</v>
      </c>
      <c r="C780" t="s">
        <v>1754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53</v>
      </c>
      <c r="Q780" t="s">
        <v>53</v>
      </c>
      <c r="R780" t="s">
        <v>53</v>
      </c>
      <c r="S780" t="s">
        <v>53</v>
      </c>
      <c r="T780" t="s">
        <v>53</v>
      </c>
      <c r="U780" t="s">
        <v>53</v>
      </c>
      <c r="V780" t="s">
        <v>53</v>
      </c>
      <c r="W780" t="s">
        <v>53</v>
      </c>
      <c r="X780" s="22" t="s">
        <v>53</v>
      </c>
      <c r="Y780" s="22" t="s">
        <v>53</v>
      </c>
      <c r="Z780" s="22" t="s">
        <v>53</v>
      </c>
      <c r="AA780" s="22" t="s">
        <v>53</v>
      </c>
      <c r="AB780" t="s">
        <v>53</v>
      </c>
      <c r="AC780" t="s">
        <v>53</v>
      </c>
      <c r="AD780" t="s">
        <v>53</v>
      </c>
      <c r="AE780" t="s">
        <v>53</v>
      </c>
      <c r="AF780" s="22" t="s">
        <v>53</v>
      </c>
      <c r="AG780" s="22" t="s">
        <v>53</v>
      </c>
      <c r="AH780" s="22" t="s">
        <v>53</v>
      </c>
      <c r="AI780" s="22" t="s">
        <v>53</v>
      </c>
      <c r="AJ780">
        <v>0</v>
      </c>
      <c r="AK780">
        <v>0</v>
      </c>
      <c r="AL780">
        <v>0</v>
      </c>
      <c r="AM780">
        <v>0</v>
      </c>
      <c r="AN780" s="22" t="s">
        <v>53</v>
      </c>
      <c r="AO780" s="22" t="s">
        <v>53</v>
      </c>
      <c r="AP780" s="22" t="s">
        <v>53</v>
      </c>
      <c r="AQ780" s="22" t="s">
        <v>53</v>
      </c>
      <c r="AR780" s="35">
        <v>0</v>
      </c>
      <c r="AS780" s="35">
        <v>0</v>
      </c>
      <c r="AT780" s="35">
        <v>0</v>
      </c>
      <c r="AU780" s="31" t="str">
        <f t="shared" si="16"/>
        <v>库存为0</v>
      </c>
      <c r="AV780" s="36" t="str">
        <f>IFERROR(时间!$B$4+AU780,"上周无销量")</f>
        <v>上周无销量</v>
      </c>
    </row>
    <row r="781" spans="1:48">
      <c r="A781" s="20" t="s">
        <v>1759</v>
      </c>
      <c r="B781" t="s">
        <v>1760</v>
      </c>
      <c r="C781" t="s">
        <v>1761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3</v>
      </c>
      <c r="J781" s="33">
        <v>0</v>
      </c>
      <c r="K781" s="33">
        <v>0</v>
      </c>
      <c r="L781" s="33">
        <v>0</v>
      </c>
      <c r="M781">
        <v>3</v>
      </c>
      <c r="N781">
        <v>0</v>
      </c>
      <c r="O781">
        <v>3</v>
      </c>
      <c r="P781" t="s">
        <v>53</v>
      </c>
      <c r="Q781" t="s">
        <v>53</v>
      </c>
      <c r="R781" t="s">
        <v>53</v>
      </c>
      <c r="S781" t="s">
        <v>53</v>
      </c>
      <c r="T781" t="s">
        <v>53</v>
      </c>
      <c r="U781" t="s">
        <v>53</v>
      </c>
      <c r="V781" t="s">
        <v>53</v>
      </c>
      <c r="W781" t="s">
        <v>53</v>
      </c>
      <c r="X781" s="22" t="s">
        <v>53</v>
      </c>
      <c r="Y781" s="22" t="s">
        <v>53</v>
      </c>
      <c r="Z781" s="22" t="s">
        <v>53</v>
      </c>
      <c r="AA781" s="22" t="s">
        <v>53</v>
      </c>
      <c r="AB781" t="s">
        <v>53</v>
      </c>
      <c r="AC781" t="s">
        <v>53</v>
      </c>
      <c r="AD781" t="s">
        <v>53</v>
      </c>
      <c r="AE781" t="s">
        <v>53</v>
      </c>
      <c r="AF781" s="22" t="s">
        <v>53</v>
      </c>
      <c r="AG781" s="22" t="s">
        <v>53</v>
      </c>
      <c r="AH781" s="22" t="s">
        <v>53</v>
      </c>
      <c r="AI781" s="22" t="s">
        <v>53</v>
      </c>
      <c r="AJ781">
        <v>2</v>
      </c>
      <c r="AK781">
        <v>5</v>
      </c>
      <c r="AL781">
        <v>4</v>
      </c>
      <c r="AM781">
        <v>3</v>
      </c>
      <c r="AN781" s="22">
        <v>0</v>
      </c>
      <c r="AO781" s="22">
        <v>0</v>
      </c>
      <c r="AP781" s="22">
        <v>0</v>
      </c>
      <c r="AQ781" s="22">
        <v>0</v>
      </c>
      <c r="AR781" s="35">
        <v>0</v>
      </c>
      <c r="AS781" s="35">
        <v>0</v>
      </c>
      <c r="AT781" s="35">
        <v>3</v>
      </c>
      <c r="AU781" s="31" t="str">
        <f t="shared" si="16"/>
        <v>库存为3</v>
      </c>
      <c r="AV781" s="36" t="str">
        <f>IFERROR(时间!$B$4+AU781,"上周无销量")</f>
        <v>上周无销量</v>
      </c>
    </row>
    <row r="782" spans="1:48">
      <c r="A782" s="20" t="s">
        <v>1762</v>
      </c>
      <c r="B782" t="s">
        <v>1763</v>
      </c>
      <c r="C782" t="s">
        <v>1761</v>
      </c>
      <c r="D782" s="31">
        <v>0</v>
      </c>
      <c r="E782" s="31">
        <v>0</v>
      </c>
      <c r="F782" s="31">
        <v>0</v>
      </c>
      <c r="G782" s="31">
        <v>1</v>
      </c>
      <c r="H782" s="32">
        <v>34.9</v>
      </c>
      <c r="I782">
        <v>4</v>
      </c>
      <c r="J782" s="33">
        <v>0</v>
      </c>
      <c r="K782" s="33">
        <v>0</v>
      </c>
      <c r="L782" s="33">
        <v>0</v>
      </c>
      <c r="M782">
        <v>4</v>
      </c>
      <c r="N782">
        <v>0</v>
      </c>
      <c r="O782">
        <v>4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1</v>
      </c>
      <c r="AK782">
        <v>2</v>
      </c>
      <c r="AL782">
        <v>0</v>
      </c>
      <c r="AM782">
        <v>2</v>
      </c>
      <c r="AN782" s="22">
        <v>0</v>
      </c>
      <c r="AO782" s="22">
        <v>0</v>
      </c>
      <c r="AP782" s="22" t="s">
        <v>53</v>
      </c>
      <c r="AQ782" s="22">
        <v>0.5</v>
      </c>
      <c r="AR782" s="35">
        <v>0</v>
      </c>
      <c r="AS782" s="35">
        <v>0</v>
      </c>
      <c r="AT782" s="35">
        <v>4</v>
      </c>
      <c r="AU782" s="31" t="str">
        <f t="shared" si="16"/>
        <v>库存为4</v>
      </c>
      <c r="AV782" s="36" t="str">
        <f>IFERROR(时间!$B$4+AU782,"上周无销量")</f>
        <v>上周无销量</v>
      </c>
    </row>
    <row r="783" spans="1:48">
      <c r="A783" s="20" t="s">
        <v>1764</v>
      </c>
      <c r="B783" t="s">
        <v>1765</v>
      </c>
      <c r="C783" t="s">
        <v>1761</v>
      </c>
      <c r="D783" s="31">
        <v>3</v>
      </c>
      <c r="E783" s="31">
        <v>0</v>
      </c>
      <c r="F783" s="31">
        <v>0</v>
      </c>
      <c r="G783" s="31">
        <v>1</v>
      </c>
      <c r="H783" s="32">
        <v>15.99</v>
      </c>
      <c r="I783">
        <v>3</v>
      </c>
      <c r="J783" s="33">
        <v>0</v>
      </c>
      <c r="K783" s="33">
        <v>0</v>
      </c>
      <c r="L783" s="33">
        <v>1</v>
      </c>
      <c r="M783">
        <v>4</v>
      </c>
      <c r="N783">
        <v>0</v>
      </c>
      <c r="O783">
        <v>4</v>
      </c>
      <c r="P783" t="s">
        <v>53</v>
      </c>
      <c r="Q783" t="s">
        <v>53</v>
      </c>
      <c r="R783" t="s">
        <v>53</v>
      </c>
      <c r="S783" t="s">
        <v>53</v>
      </c>
      <c r="T783" t="s">
        <v>53</v>
      </c>
      <c r="U783" t="s">
        <v>53</v>
      </c>
      <c r="V783" t="s">
        <v>53</v>
      </c>
      <c r="W783" t="s">
        <v>53</v>
      </c>
      <c r="X783" s="22" t="s">
        <v>53</v>
      </c>
      <c r="Y783" s="22" t="s">
        <v>53</v>
      </c>
      <c r="Z783" s="22" t="s">
        <v>53</v>
      </c>
      <c r="AA783" s="22" t="s">
        <v>53</v>
      </c>
      <c r="AB783" t="s">
        <v>53</v>
      </c>
      <c r="AC783" t="s">
        <v>53</v>
      </c>
      <c r="AD783" t="s">
        <v>53</v>
      </c>
      <c r="AE783" t="s">
        <v>53</v>
      </c>
      <c r="AF783" s="22" t="s">
        <v>53</v>
      </c>
      <c r="AG783" s="22" t="s">
        <v>53</v>
      </c>
      <c r="AH783" s="22" t="s">
        <v>53</v>
      </c>
      <c r="AI783" s="22" t="s">
        <v>53</v>
      </c>
      <c r="AJ783">
        <v>4</v>
      </c>
      <c r="AK783">
        <v>1</v>
      </c>
      <c r="AL783">
        <v>3</v>
      </c>
      <c r="AM783">
        <v>1</v>
      </c>
      <c r="AN783" s="22">
        <v>0.75</v>
      </c>
      <c r="AO783" s="22">
        <v>0</v>
      </c>
      <c r="AP783" s="22">
        <v>0</v>
      </c>
      <c r="AQ783" s="22">
        <v>1</v>
      </c>
      <c r="AR783" s="35">
        <v>0.428571428571429</v>
      </c>
      <c r="AS783" s="35">
        <v>25.7142857142857</v>
      </c>
      <c r="AT783" s="35">
        <v>-21.7142857142857</v>
      </c>
      <c r="AU783" s="31">
        <f t="shared" si="16"/>
        <v>9</v>
      </c>
      <c r="AV783" s="36">
        <f>IFERROR(时间!$B$4+AU783,"上周无销量")</f>
        <v>43327</v>
      </c>
    </row>
    <row r="784" spans="1:48">
      <c r="A784" s="20" t="s">
        <v>1766</v>
      </c>
      <c r="B784" t="s">
        <v>1767</v>
      </c>
      <c r="C784" t="s">
        <v>1761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12</v>
      </c>
      <c r="J784" s="33">
        <v>0</v>
      </c>
      <c r="K784" s="33">
        <v>0</v>
      </c>
      <c r="L784" s="33">
        <v>1</v>
      </c>
      <c r="M784">
        <v>13</v>
      </c>
      <c r="N784">
        <v>0</v>
      </c>
      <c r="O784">
        <v>13</v>
      </c>
      <c r="P784" t="s">
        <v>53</v>
      </c>
      <c r="Q784" t="s">
        <v>53</v>
      </c>
      <c r="R784" t="s">
        <v>53</v>
      </c>
      <c r="S784" t="s">
        <v>53</v>
      </c>
      <c r="T784" t="s">
        <v>53</v>
      </c>
      <c r="U784" t="s">
        <v>53</v>
      </c>
      <c r="V784" t="s">
        <v>53</v>
      </c>
      <c r="W784" t="s">
        <v>53</v>
      </c>
      <c r="X784" s="22" t="s">
        <v>53</v>
      </c>
      <c r="Y784" s="22" t="s">
        <v>53</v>
      </c>
      <c r="Z784" s="22" t="s">
        <v>53</v>
      </c>
      <c r="AA784" s="22" t="s">
        <v>53</v>
      </c>
      <c r="AB784" t="s">
        <v>53</v>
      </c>
      <c r="AC784" t="s">
        <v>53</v>
      </c>
      <c r="AD784" t="s">
        <v>53</v>
      </c>
      <c r="AE784" t="s">
        <v>53</v>
      </c>
      <c r="AF784" s="22" t="s">
        <v>53</v>
      </c>
      <c r="AG784" s="22" t="s">
        <v>53</v>
      </c>
      <c r="AH784" s="22" t="s">
        <v>53</v>
      </c>
      <c r="AI784" s="22" t="s">
        <v>53</v>
      </c>
      <c r="AJ784">
        <v>3</v>
      </c>
      <c r="AK784">
        <v>4</v>
      </c>
      <c r="AL784">
        <v>2</v>
      </c>
      <c r="AM784">
        <v>1</v>
      </c>
      <c r="AN784" s="22">
        <v>0</v>
      </c>
      <c r="AO784" s="22">
        <v>0</v>
      </c>
      <c r="AP784" s="22">
        <v>0</v>
      </c>
      <c r="AQ784" s="22">
        <v>0</v>
      </c>
      <c r="AR784" s="35">
        <v>0</v>
      </c>
      <c r="AS784" s="35">
        <v>0</v>
      </c>
      <c r="AT784" s="35">
        <v>13</v>
      </c>
      <c r="AU784" s="31" t="str">
        <f t="shared" si="16"/>
        <v>库存为13</v>
      </c>
      <c r="AV784" s="36" t="str">
        <f>IFERROR(时间!$B$4+AU784,"上周无销量")</f>
        <v>上周无销量</v>
      </c>
    </row>
    <row r="785" spans="1:48">
      <c r="A785" s="20" t="s">
        <v>1768</v>
      </c>
      <c r="B785" t="s">
        <v>1769</v>
      </c>
      <c r="C785" t="s">
        <v>1770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0</v>
      </c>
      <c r="J785" s="33">
        <v>0</v>
      </c>
      <c r="K785" s="33">
        <v>0</v>
      </c>
      <c r="L785" s="33">
        <v>0</v>
      </c>
      <c r="M785">
        <v>0</v>
      </c>
      <c r="N785">
        <v>0</v>
      </c>
      <c r="O785">
        <v>0</v>
      </c>
      <c r="P785" t="s">
        <v>53</v>
      </c>
      <c r="Q785" t="s">
        <v>53</v>
      </c>
      <c r="R785" t="s">
        <v>53</v>
      </c>
      <c r="S785" t="s">
        <v>53</v>
      </c>
      <c r="T785" t="s">
        <v>53</v>
      </c>
      <c r="U785" t="s">
        <v>53</v>
      </c>
      <c r="V785" t="s">
        <v>53</v>
      </c>
      <c r="W785" t="s">
        <v>53</v>
      </c>
      <c r="X785" s="22" t="s">
        <v>53</v>
      </c>
      <c r="Y785" s="22" t="s">
        <v>53</v>
      </c>
      <c r="Z785" s="22" t="s">
        <v>53</v>
      </c>
      <c r="AA785" s="22" t="s">
        <v>53</v>
      </c>
      <c r="AB785" t="s">
        <v>53</v>
      </c>
      <c r="AC785" t="s">
        <v>53</v>
      </c>
      <c r="AD785" t="s">
        <v>53</v>
      </c>
      <c r="AE785" t="s">
        <v>53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0</v>
      </c>
      <c r="AK785">
        <v>0</v>
      </c>
      <c r="AL785">
        <v>0</v>
      </c>
      <c r="AM785">
        <v>0</v>
      </c>
      <c r="AN785" s="22" t="s">
        <v>53</v>
      </c>
      <c r="AO785" s="22" t="s">
        <v>53</v>
      </c>
      <c r="AP785" s="22" t="s">
        <v>53</v>
      </c>
      <c r="AQ785" s="22" t="s">
        <v>53</v>
      </c>
      <c r="AR785" s="35">
        <v>0</v>
      </c>
      <c r="AS785" s="35">
        <v>0</v>
      </c>
      <c r="AT785" s="35">
        <v>0</v>
      </c>
      <c r="AU785" s="31" t="str">
        <f t="shared" si="16"/>
        <v>库存为0</v>
      </c>
      <c r="AV785" s="36" t="str">
        <f>IFERROR(时间!$B$4+AU785,"上周无销量")</f>
        <v>上周无销量</v>
      </c>
    </row>
    <row r="786" spans="1:48">
      <c r="A786" s="20" t="s">
        <v>1771</v>
      </c>
      <c r="B786" t="s">
        <v>1772</v>
      </c>
      <c r="C786" t="s">
        <v>1770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0</v>
      </c>
      <c r="J786" s="33">
        <v>0</v>
      </c>
      <c r="K786" s="33">
        <v>0</v>
      </c>
      <c r="L786" s="33">
        <v>0</v>
      </c>
      <c r="M786">
        <v>0</v>
      </c>
      <c r="N786">
        <v>0</v>
      </c>
      <c r="O786">
        <v>0</v>
      </c>
      <c r="P786" t="s">
        <v>53</v>
      </c>
      <c r="Q786" t="s">
        <v>53</v>
      </c>
      <c r="R786" t="s">
        <v>53</v>
      </c>
      <c r="S786" t="s">
        <v>53</v>
      </c>
      <c r="T786" t="s">
        <v>53</v>
      </c>
      <c r="U786" t="s">
        <v>53</v>
      </c>
      <c r="V786" t="s">
        <v>53</v>
      </c>
      <c r="W786" t="s">
        <v>53</v>
      </c>
      <c r="X786" s="22" t="s">
        <v>53</v>
      </c>
      <c r="Y786" s="22" t="s">
        <v>53</v>
      </c>
      <c r="Z786" s="22" t="s">
        <v>53</v>
      </c>
      <c r="AA786" s="22" t="s">
        <v>53</v>
      </c>
      <c r="AB786" t="s">
        <v>53</v>
      </c>
      <c r="AC786" t="s">
        <v>53</v>
      </c>
      <c r="AD786" t="s">
        <v>53</v>
      </c>
      <c r="AE786" t="s">
        <v>53</v>
      </c>
      <c r="AF786" s="22" t="s">
        <v>53</v>
      </c>
      <c r="AG786" s="22" t="s">
        <v>53</v>
      </c>
      <c r="AH786" s="22" t="s">
        <v>53</v>
      </c>
      <c r="AI786" s="22" t="s">
        <v>53</v>
      </c>
      <c r="AJ786">
        <v>0</v>
      </c>
      <c r="AK786">
        <v>0</v>
      </c>
      <c r="AL786">
        <v>0</v>
      </c>
      <c r="AM786">
        <v>0</v>
      </c>
      <c r="AN786" s="22" t="s">
        <v>53</v>
      </c>
      <c r="AO786" s="22" t="s">
        <v>53</v>
      </c>
      <c r="AP786" s="22" t="s">
        <v>53</v>
      </c>
      <c r="AQ786" s="22" t="s">
        <v>53</v>
      </c>
      <c r="AR786" s="35">
        <v>0</v>
      </c>
      <c r="AS786" s="35">
        <v>0</v>
      </c>
      <c r="AT786" s="35">
        <v>0</v>
      </c>
      <c r="AU786" s="31" t="str">
        <f t="shared" si="16"/>
        <v>库存为0</v>
      </c>
      <c r="AV786" s="36" t="str">
        <f>IFERROR(时间!$B$4+AU786,"上周无销量")</f>
        <v>上周无销量</v>
      </c>
    </row>
    <row r="787" spans="1:48">
      <c r="A787" s="20" t="s">
        <v>1773</v>
      </c>
      <c r="B787" t="s">
        <v>1774</v>
      </c>
      <c r="C787" t="s">
        <v>1770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53</v>
      </c>
      <c r="Q787" t="s">
        <v>53</v>
      </c>
      <c r="R787" t="s">
        <v>53</v>
      </c>
      <c r="S787" t="s">
        <v>53</v>
      </c>
      <c r="T787" t="s">
        <v>53</v>
      </c>
      <c r="U787" t="s">
        <v>53</v>
      </c>
      <c r="V787" t="s">
        <v>53</v>
      </c>
      <c r="W787" t="s">
        <v>53</v>
      </c>
      <c r="X787" s="22" t="s">
        <v>53</v>
      </c>
      <c r="Y787" s="22" t="s">
        <v>53</v>
      </c>
      <c r="Z787" s="22" t="s">
        <v>53</v>
      </c>
      <c r="AA787" s="22" t="s">
        <v>53</v>
      </c>
      <c r="AB787" t="s">
        <v>53</v>
      </c>
      <c r="AC787" t="s">
        <v>53</v>
      </c>
      <c r="AD787" t="s">
        <v>53</v>
      </c>
      <c r="AE787" t="s">
        <v>53</v>
      </c>
      <c r="AF787" s="22" t="s">
        <v>53</v>
      </c>
      <c r="AG787" s="22" t="s">
        <v>53</v>
      </c>
      <c r="AH787" s="22" t="s">
        <v>53</v>
      </c>
      <c r="AI787" s="22" t="s">
        <v>53</v>
      </c>
      <c r="AJ787">
        <v>0</v>
      </c>
      <c r="AK787">
        <v>0</v>
      </c>
      <c r="AL787">
        <v>0</v>
      </c>
      <c r="AM787">
        <v>0</v>
      </c>
      <c r="AN787" s="22" t="s">
        <v>53</v>
      </c>
      <c r="AO787" s="22" t="s">
        <v>53</v>
      </c>
      <c r="AP787" s="22" t="s">
        <v>53</v>
      </c>
      <c r="AQ787" s="22" t="s">
        <v>53</v>
      </c>
      <c r="AR787" s="35">
        <v>0</v>
      </c>
      <c r="AS787" s="35">
        <v>0</v>
      </c>
      <c r="AT787" s="35">
        <v>0</v>
      </c>
      <c r="AU787" s="31" t="str">
        <f t="shared" si="16"/>
        <v>库存为0</v>
      </c>
      <c r="AV787" s="36" t="str">
        <f>IFERROR(时间!$B$4+AU787,"上周无销量")</f>
        <v>上周无销量</v>
      </c>
    </row>
    <row r="788" spans="1:48">
      <c r="A788" s="20" t="s">
        <v>1775</v>
      </c>
      <c r="B788" t="s">
        <v>1776</v>
      </c>
      <c r="C788" t="s">
        <v>1770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0</v>
      </c>
      <c r="J788" s="33">
        <v>0</v>
      </c>
      <c r="K788" s="33">
        <v>0</v>
      </c>
      <c r="L788" s="33">
        <v>0</v>
      </c>
      <c r="M788">
        <v>0</v>
      </c>
      <c r="N788">
        <v>0</v>
      </c>
      <c r="O788">
        <v>0</v>
      </c>
      <c r="P788" t="s">
        <v>53</v>
      </c>
      <c r="Q788" t="s">
        <v>53</v>
      </c>
      <c r="R788" t="s">
        <v>53</v>
      </c>
      <c r="S788" t="s">
        <v>53</v>
      </c>
      <c r="T788" t="s">
        <v>53</v>
      </c>
      <c r="U788" t="s">
        <v>53</v>
      </c>
      <c r="V788" t="s">
        <v>53</v>
      </c>
      <c r="W788" t="s">
        <v>53</v>
      </c>
      <c r="X788" s="22" t="s">
        <v>53</v>
      </c>
      <c r="Y788" s="22" t="s">
        <v>53</v>
      </c>
      <c r="Z788" s="22" t="s">
        <v>53</v>
      </c>
      <c r="AA788" s="22" t="s">
        <v>53</v>
      </c>
      <c r="AB788" t="s">
        <v>53</v>
      </c>
      <c r="AC788" t="s">
        <v>53</v>
      </c>
      <c r="AD788" t="s">
        <v>53</v>
      </c>
      <c r="AE788" t="s">
        <v>53</v>
      </c>
      <c r="AF788" s="22" t="s">
        <v>53</v>
      </c>
      <c r="AG788" s="22" t="s">
        <v>53</v>
      </c>
      <c r="AH788" s="22" t="s">
        <v>53</v>
      </c>
      <c r="AI788" s="22" t="s">
        <v>53</v>
      </c>
      <c r="AJ788">
        <v>0</v>
      </c>
      <c r="AK788">
        <v>0</v>
      </c>
      <c r="AL788">
        <v>0</v>
      </c>
      <c r="AM788">
        <v>0</v>
      </c>
      <c r="AN788" s="22" t="s">
        <v>53</v>
      </c>
      <c r="AO788" s="22" t="s">
        <v>53</v>
      </c>
      <c r="AP788" s="22" t="s">
        <v>53</v>
      </c>
      <c r="AQ788" s="22" t="s">
        <v>53</v>
      </c>
      <c r="AR788" s="35">
        <v>0</v>
      </c>
      <c r="AS788" s="35">
        <v>0</v>
      </c>
      <c r="AT788" s="35">
        <v>0</v>
      </c>
      <c r="AU788" s="31" t="str">
        <f t="shared" si="16"/>
        <v>库存为0</v>
      </c>
      <c r="AV788" s="36" t="str">
        <f>IFERROR(时间!$B$4+AU788,"上周无销量")</f>
        <v>上周无销量</v>
      </c>
    </row>
    <row r="789" spans="1:48">
      <c r="A789" s="20" t="s">
        <v>1777</v>
      </c>
      <c r="B789" t="s">
        <v>1778</v>
      </c>
      <c r="C789" t="s">
        <v>1770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0</v>
      </c>
      <c r="J789" s="33">
        <v>0</v>
      </c>
      <c r="K789" s="33">
        <v>0</v>
      </c>
      <c r="L789" s="33">
        <v>0</v>
      </c>
      <c r="M789">
        <v>0</v>
      </c>
      <c r="N789">
        <v>0</v>
      </c>
      <c r="O789">
        <v>0</v>
      </c>
      <c r="P789" t="s">
        <v>53</v>
      </c>
      <c r="Q789" t="s">
        <v>53</v>
      </c>
      <c r="R789" t="s">
        <v>53</v>
      </c>
      <c r="S789" t="s">
        <v>53</v>
      </c>
      <c r="T789" t="s">
        <v>53</v>
      </c>
      <c r="U789" t="s">
        <v>53</v>
      </c>
      <c r="V789" t="s">
        <v>53</v>
      </c>
      <c r="W789" t="s">
        <v>53</v>
      </c>
      <c r="X789" s="22" t="s">
        <v>53</v>
      </c>
      <c r="Y789" s="22" t="s">
        <v>53</v>
      </c>
      <c r="Z789" s="22" t="s">
        <v>53</v>
      </c>
      <c r="AA789" s="22" t="s">
        <v>53</v>
      </c>
      <c r="AB789" t="s">
        <v>53</v>
      </c>
      <c r="AC789" t="s">
        <v>53</v>
      </c>
      <c r="AD789" t="s">
        <v>53</v>
      </c>
      <c r="AE789" t="s">
        <v>53</v>
      </c>
      <c r="AF789" s="22" t="s">
        <v>53</v>
      </c>
      <c r="AG789" s="22" t="s">
        <v>53</v>
      </c>
      <c r="AH789" s="22" t="s">
        <v>53</v>
      </c>
      <c r="AI789" s="22" t="s">
        <v>53</v>
      </c>
      <c r="AJ789">
        <v>0</v>
      </c>
      <c r="AK789">
        <v>0</v>
      </c>
      <c r="AL789">
        <v>0</v>
      </c>
      <c r="AM789">
        <v>0</v>
      </c>
      <c r="AN789" s="22" t="s">
        <v>53</v>
      </c>
      <c r="AO789" s="22" t="s">
        <v>53</v>
      </c>
      <c r="AP789" s="22" t="s">
        <v>53</v>
      </c>
      <c r="AQ789" s="22" t="s">
        <v>53</v>
      </c>
      <c r="AR789" s="35">
        <v>0</v>
      </c>
      <c r="AS789" s="35">
        <v>0</v>
      </c>
      <c r="AT789" s="35">
        <v>0</v>
      </c>
      <c r="AU789" s="31" t="str">
        <f t="shared" si="16"/>
        <v>库存为0</v>
      </c>
      <c r="AV789" s="36" t="str">
        <f>IFERROR(时间!$B$4+AU789,"上周无销量")</f>
        <v>上周无销量</v>
      </c>
    </row>
    <row r="790" spans="1:48">
      <c r="A790" s="20" t="s">
        <v>1779</v>
      </c>
      <c r="B790" t="s">
        <v>1780</v>
      </c>
      <c r="C790" t="s">
        <v>1770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0</v>
      </c>
      <c r="J790" s="33">
        <v>0</v>
      </c>
      <c r="K790" s="33">
        <v>0</v>
      </c>
      <c r="L790" s="33">
        <v>0</v>
      </c>
      <c r="M790">
        <v>0</v>
      </c>
      <c r="N790">
        <v>0</v>
      </c>
      <c r="O790">
        <v>0</v>
      </c>
      <c r="P790" t="s">
        <v>53</v>
      </c>
      <c r="Q790" t="s">
        <v>53</v>
      </c>
      <c r="R790" t="s">
        <v>53</v>
      </c>
      <c r="S790" t="s">
        <v>53</v>
      </c>
      <c r="T790" t="s">
        <v>53</v>
      </c>
      <c r="U790" t="s">
        <v>53</v>
      </c>
      <c r="V790" t="s">
        <v>53</v>
      </c>
      <c r="W790" t="s">
        <v>53</v>
      </c>
      <c r="X790" s="22" t="s">
        <v>53</v>
      </c>
      <c r="Y790" s="22" t="s">
        <v>53</v>
      </c>
      <c r="Z790" s="22" t="s">
        <v>53</v>
      </c>
      <c r="AA790" s="22" t="s">
        <v>53</v>
      </c>
      <c r="AB790" t="s">
        <v>53</v>
      </c>
      <c r="AC790" t="s">
        <v>53</v>
      </c>
      <c r="AD790" t="s">
        <v>53</v>
      </c>
      <c r="AE790" t="s">
        <v>53</v>
      </c>
      <c r="AF790" s="22" t="s">
        <v>53</v>
      </c>
      <c r="AG790" s="22" t="s">
        <v>53</v>
      </c>
      <c r="AH790" s="22" t="s">
        <v>53</v>
      </c>
      <c r="AI790" s="22" t="s">
        <v>53</v>
      </c>
      <c r="AJ790">
        <v>0</v>
      </c>
      <c r="AK790">
        <v>0</v>
      </c>
      <c r="AL790">
        <v>0</v>
      </c>
      <c r="AM790">
        <v>0</v>
      </c>
      <c r="AN790" s="22" t="s">
        <v>53</v>
      </c>
      <c r="AO790" s="22" t="s">
        <v>53</v>
      </c>
      <c r="AP790" s="22" t="s">
        <v>53</v>
      </c>
      <c r="AQ790" s="22" t="s">
        <v>53</v>
      </c>
      <c r="AR790" s="35">
        <v>0</v>
      </c>
      <c r="AS790" s="35">
        <v>0</v>
      </c>
      <c r="AT790" s="35">
        <v>0</v>
      </c>
      <c r="AU790" s="31" t="str">
        <f t="shared" si="16"/>
        <v>库存为0</v>
      </c>
      <c r="AV790" s="36" t="str">
        <f>IFERROR(时间!$B$4+AU790,"上周无销量")</f>
        <v>上周无销量</v>
      </c>
    </row>
    <row r="791" spans="1:48">
      <c r="A791" s="20" t="s">
        <v>1781</v>
      </c>
      <c r="B791" t="s">
        <v>1782</v>
      </c>
      <c r="C791" t="s">
        <v>1770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0</v>
      </c>
      <c r="J791" s="33">
        <v>0</v>
      </c>
      <c r="K791" s="33">
        <v>0</v>
      </c>
      <c r="L791" s="33">
        <v>0</v>
      </c>
      <c r="M791">
        <v>0</v>
      </c>
      <c r="N791">
        <v>0</v>
      </c>
      <c r="O791">
        <v>0</v>
      </c>
      <c r="P791" t="s">
        <v>53</v>
      </c>
      <c r="Q791" t="s">
        <v>53</v>
      </c>
      <c r="R791" t="s">
        <v>53</v>
      </c>
      <c r="S791" t="s">
        <v>53</v>
      </c>
      <c r="T791" t="s">
        <v>53</v>
      </c>
      <c r="U791" t="s">
        <v>53</v>
      </c>
      <c r="V791" t="s">
        <v>53</v>
      </c>
      <c r="W791" t="s">
        <v>53</v>
      </c>
      <c r="X791" s="22" t="s">
        <v>53</v>
      </c>
      <c r="Y791" s="22" t="s">
        <v>53</v>
      </c>
      <c r="Z791" s="22" t="s">
        <v>53</v>
      </c>
      <c r="AA791" s="22" t="s">
        <v>53</v>
      </c>
      <c r="AB791" t="s">
        <v>53</v>
      </c>
      <c r="AC791" t="s">
        <v>53</v>
      </c>
      <c r="AD791" t="s">
        <v>53</v>
      </c>
      <c r="AE791" t="s">
        <v>53</v>
      </c>
      <c r="AF791" s="22" t="s">
        <v>53</v>
      </c>
      <c r="AG791" s="22" t="s">
        <v>53</v>
      </c>
      <c r="AH791" s="22" t="s">
        <v>53</v>
      </c>
      <c r="AI791" s="22" t="s">
        <v>53</v>
      </c>
      <c r="AJ791">
        <v>0</v>
      </c>
      <c r="AK791">
        <v>0</v>
      </c>
      <c r="AL791">
        <v>0</v>
      </c>
      <c r="AM791">
        <v>0</v>
      </c>
      <c r="AN791" s="22" t="s">
        <v>53</v>
      </c>
      <c r="AO791" s="22" t="s">
        <v>53</v>
      </c>
      <c r="AP791" s="22" t="s">
        <v>53</v>
      </c>
      <c r="AQ791" s="22" t="s">
        <v>53</v>
      </c>
      <c r="AR791" s="35">
        <v>0</v>
      </c>
      <c r="AS791" s="35">
        <v>0</v>
      </c>
      <c r="AT791" s="35">
        <v>0</v>
      </c>
      <c r="AU791" s="31" t="str">
        <f t="shared" si="16"/>
        <v>库存为0</v>
      </c>
      <c r="AV791" s="36" t="str">
        <f>IFERROR(时间!$B$4+AU791,"上周无销量")</f>
        <v>上周无销量</v>
      </c>
    </row>
    <row r="792" spans="1:48">
      <c r="A792" s="20" t="s">
        <v>1783</v>
      </c>
      <c r="B792" t="s">
        <v>1784</v>
      </c>
      <c r="C792" t="s">
        <v>1770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0</v>
      </c>
      <c r="J792" s="33">
        <v>0</v>
      </c>
      <c r="K792" s="33">
        <v>0</v>
      </c>
      <c r="L792" s="33">
        <v>0</v>
      </c>
      <c r="M792">
        <v>0</v>
      </c>
      <c r="N792">
        <v>0</v>
      </c>
      <c r="O792">
        <v>0</v>
      </c>
      <c r="P792" t="s">
        <v>53</v>
      </c>
      <c r="Q792" t="s">
        <v>53</v>
      </c>
      <c r="R792" t="s">
        <v>53</v>
      </c>
      <c r="S792" t="s">
        <v>53</v>
      </c>
      <c r="T792" t="s">
        <v>53</v>
      </c>
      <c r="U792" t="s">
        <v>53</v>
      </c>
      <c r="V792" t="s">
        <v>53</v>
      </c>
      <c r="W792" t="s">
        <v>53</v>
      </c>
      <c r="X792" s="22" t="s">
        <v>53</v>
      </c>
      <c r="Y792" s="22" t="s">
        <v>53</v>
      </c>
      <c r="Z792" s="22" t="s">
        <v>53</v>
      </c>
      <c r="AA792" s="22" t="s">
        <v>53</v>
      </c>
      <c r="AB792" t="s">
        <v>53</v>
      </c>
      <c r="AC792" t="s">
        <v>53</v>
      </c>
      <c r="AD792" t="s">
        <v>53</v>
      </c>
      <c r="AE792" t="s">
        <v>53</v>
      </c>
      <c r="AF792" s="22" t="s">
        <v>53</v>
      </c>
      <c r="AG792" s="22" t="s">
        <v>53</v>
      </c>
      <c r="AH792" s="22" t="s">
        <v>53</v>
      </c>
      <c r="AI792" s="22" t="s">
        <v>53</v>
      </c>
      <c r="AJ792">
        <v>0</v>
      </c>
      <c r="AK792">
        <v>0</v>
      </c>
      <c r="AL792">
        <v>0</v>
      </c>
      <c r="AM792">
        <v>0</v>
      </c>
      <c r="AN792" s="22" t="s">
        <v>53</v>
      </c>
      <c r="AO792" s="22" t="s">
        <v>53</v>
      </c>
      <c r="AP792" s="22" t="s">
        <v>53</v>
      </c>
      <c r="AQ792" s="22" t="s">
        <v>53</v>
      </c>
      <c r="AR792" s="35">
        <v>0</v>
      </c>
      <c r="AS792" s="35">
        <v>0</v>
      </c>
      <c r="AT792" s="35">
        <v>0</v>
      </c>
      <c r="AU792" s="31" t="str">
        <f t="shared" si="16"/>
        <v>库存为0</v>
      </c>
      <c r="AV792" s="36" t="str">
        <f>IFERROR(时间!$B$4+AU792,"上周无销量")</f>
        <v>上周无销量</v>
      </c>
    </row>
    <row r="793" spans="1:48">
      <c r="A793" s="20" t="s">
        <v>1785</v>
      </c>
      <c r="B793" t="s">
        <v>1786</v>
      </c>
      <c r="C793" t="s">
        <v>1770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0</v>
      </c>
      <c r="J793" s="33">
        <v>0</v>
      </c>
      <c r="K793" s="33">
        <v>0</v>
      </c>
      <c r="L793" s="33">
        <v>0</v>
      </c>
      <c r="M793">
        <v>0</v>
      </c>
      <c r="N793">
        <v>0</v>
      </c>
      <c r="O793">
        <v>0</v>
      </c>
      <c r="P793" t="s">
        <v>53</v>
      </c>
      <c r="Q793" t="s">
        <v>53</v>
      </c>
      <c r="R793" t="s">
        <v>53</v>
      </c>
      <c r="S793" t="s">
        <v>53</v>
      </c>
      <c r="T793" t="s">
        <v>53</v>
      </c>
      <c r="U793" t="s">
        <v>53</v>
      </c>
      <c r="V793" t="s">
        <v>53</v>
      </c>
      <c r="W793" t="s">
        <v>53</v>
      </c>
      <c r="X793" s="22" t="s">
        <v>53</v>
      </c>
      <c r="Y793" s="22" t="s">
        <v>53</v>
      </c>
      <c r="Z793" s="22" t="s">
        <v>53</v>
      </c>
      <c r="AA793" s="22" t="s">
        <v>53</v>
      </c>
      <c r="AB793" t="s">
        <v>53</v>
      </c>
      <c r="AC793" t="s">
        <v>53</v>
      </c>
      <c r="AD793" t="s">
        <v>53</v>
      </c>
      <c r="AE793" t="s">
        <v>53</v>
      </c>
      <c r="AF793" s="22" t="s">
        <v>53</v>
      </c>
      <c r="AG793" s="22" t="s">
        <v>53</v>
      </c>
      <c r="AH793" s="22" t="s">
        <v>53</v>
      </c>
      <c r="AI793" s="22" t="s">
        <v>53</v>
      </c>
      <c r="AJ793">
        <v>0</v>
      </c>
      <c r="AK793">
        <v>0</v>
      </c>
      <c r="AL793">
        <v>0</v>
      </c>
      <c r="AM793">
        <v>0</v>
      </c>
      <c r="AN793" s="22" t="s">
        <v>53</v>
      </c>
      <c r="AO793" s="22" t="s">
        <v>53</v>
      </c>
      <c r="AP793" s="22" t="s">
        <v>53</v>
      </c>
      <c r="AQ793" s="22" t="s">
        <v>53</v>
      </c>
      <c r="AR793" s="35">
        <v>0</v>
      </c>
      <c r="AS793" s="35">
        <v>0</v>
      </c>
      <c r="AT793" s="35">
        <v>0</v>
      </c>
      <c r="AU793" s="31" t="str">
        <f t="shared" si="16"/>
        <v>库存为0</v>
      </c>
      <c r="AV793" s="36" t="str">
        <f>IFERROR(时间!$B$4+AU793,"上周无销量")</f>
        <v>上周无销量</v>
      </c>
    </row>
    <row r="794" spans="1:48">
      <c r="A794" s="20" t="s">
        <v>1787</v>
      </c>
      <c r="B794" t="s">
        <v>1788</v>
      </c>
      <c r="C794" t="s">
        <v>1770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6</v>
      </c>
      <c r="J794" s="33">
        <v>3</v>
      </c>
      <c r="K794" s="33">
        <v>0</v>
      </c>
      <c r="L794" s="33">
        <v>0</v>
      </c>
      <c r="M794">
        <v>9</v>
      </c>
      <c r="N794">
        <v>0</v>
      </c>
      <c r="O794">
        <v>0</v>
      </c>
      <c r="P794" t="s">
        <v>53</v>
      </c>
      <c r="Q794" t="s">
        <v>53</v>
      </c>
      <c r="R794" t="s">
        <v>53</v>
      </c>
      <c r="S794" t="s">
        <v>53</v>
      </c>
      <c r="T794" t="s">
        <v>53</v>
      </c>
      <c r="U794" t="s">
        <v>53</v>
      </c>
      <c r="V794" t="s">
        <v>53</v>
      </c>
      <c r="W794" t="s">
        <v>53</v>
      </c>
      <c r="X794" s="22" t="s">
        <v>53</v>
      </c>
      <c r="Y794" s="22" t="s">
        <v>53</v>
      </c>
      <c r="Z794" s="22" t="s">
        <v>53</v>
      </c>
      <c r="AA794" s="22" t="s">
        <v>53</v>
      </c>
      <c r="AB794" t="s">
        <v>53</v>
      </c>
      <c r="AC794" t="s">
        <v>53</v>
      </c>
      <c r="AD794" t="s">
        <v>53</v>
      </c>
      <c r="AE794" t="s">
        <v>53</v>
      </c>
      <c r="AF794" s="22" t="s">
        <v>53</v>
      </c>
      <c r="AG794" s="22" t="s">
        <v>53</v>
      </c>
      <c r="AH794" s="22" t="s">
        <v>53</v>
      </c>
      <c r="AI794" s="22" t="s">
        <v>53</v>
      </c>
      <c r="AJ794">
        <v>1</v>
      </c>
      <c r="AK794">
        <v>1</v>
      </c>
      <c r="AL794">
        <v>5</v>
      </c>
      <c r="AM794">
        <v>4</v>
      </c>
      <c r="AN794" s="22">
        <v>0</v>
      </c>
      <c r="AO794" s="22">
        <v>0</v>
      </c>
      <c r="AP794" s="22">
        <v>0</v>
      </c>
      <c r="AQ794" s="22">
        <v>0</v>
      </c>
      <c r="AR794" s="35">
        <v>0</v>
      </c>
      <c r="AS794" s="35">
        <v>0</v>
      </c>
      <c r="AT794" s="35">
        <v>9</v>
      </c>
      <c r="AU794" s="31" t="str">
        <f t="shared" si="16"/>
        <v>库存为9</v>
      </c>
      <c r="AV794" s="36" t="str">
        <f>IFERROR(时间!$B$4+AU794,"上周无销量")</f>
        <v>上周无销量</v>
      </c>
    </row>
    <row r="795" spans="1:48">
      <c r="A795" s="20" t="s">
        <v>1789</v>
      </c>
      <c r="B795" t="s">
        <v>1790</v>
      </c>
      <c r="C795" t="s">
        <v>1770</v>
      </c>
      <c r="D795" s="31">
        <v>2</v>
      </c>
      <c r="E795" s="31">
        <v>0</v>
      </c>
      <c r="F795" s="31">
        <v>1</v>
      </c>
      <c r="G795" s="31">
        <v>0</v>
      </c>
      <c r="H795" s="32">
        <v>8.33333333333333</v>
      </c>
      <c r="I795">
        <v>3</v>
      </c>
      <c r="J795" s="33">
        <v>3</v>
      </c>
      <c r="K795" s="33">
        <v>0</v>
      </c>
      <c r="L795" s="33">
        <v>0</v>
      </c>
      <c r="M795">
        <v>6</v>
      </c>
      <c r="N795">
        <v>0</v>
      </c>
      <c r="O795">
        <v>0</v>
      </c>
      <c r="P795" t="s">
        <v>53</v>
      </c>
      <c r="Q795" t="s">
        <v>53</v>
      </c>
      <c r="R795" t="s">
        <v>53</v>
      </c>
      <c r="S795" t="s">
        <v>53</v>
      </c>
      <c r="T795" t="s">
        <v>53</v>
      </c>
      <c r="U795" t="s">
        <v>53</v>
      </c>
      <c r="V795" t="s">
        <v>53</v>
      </c>
      <c r="W795" t="s">
        <v>53</v>
      </c>
      <c r="X795" s="22" t="s">
        <v>53</v>
      </c>
      <c r="Y795" s="22" t="s">
        <v>53</v>
      </c>
      <c r="Z795" s="22" t="s">
        <v>53</v>
      </c>
      <c r="AA795" s="22" t="s">
        <v>53</v>
      </c>
      <c r="AB795" t="s">
        <v>53</v>
      </c>
      <c r="AC795" t="s">
        <v>53</v>
      </c>
      <c r="AD795" t="s">
        <v>53</v>
      </c>
      <c r="AE795" t="s">
        <v>53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30</v>
      </c>
      <c r="AK795">
        <v>27</v>
      </c>
      <c r="AL795">
        <v>13</v>
      </c>
      <c r="AM795">
        <v>9</v>
      </c>
      <c r="AN795" s="22">
        <v>0.0666666666666667</v>
      </c>
      <c r="AO795" s="22">
        <v>0</v>
      </c>
      <c r="AP795" s="22">
        <v>0.0769230769230769</v>
      </c>
      <c r="AQ795" s="22">
        <v>0</v>
      </c>
      <c r="AR795" s="35">
        <v>0.285714285714286</v>
      </c>
      <c r="AS795" s="35">
        <v>17.1428571428571</v>
      </c>
      <c r="AT795" s="35">
        <v>-11.1428571428571</v>
      </c>
      <c r="AU795" s="31">
        <f t="shared" si="16"/>
        <v>21</v>
      </c>
      <c r="AV795" s="36">
        <f>IFERROR(时间!$B$4+AU795,"上周无销量")</f>
        <v>43339</v>
      </c>
    </row>
    <row r="796" spans="1:48">
      <c r="A796" s="20" t="s">
        <v>1791</v>
      </c>
      <c r="B796" t="s">
        <v>1792</v>
      </c>
      <c r="C796" t="s">
        <v>1770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5</v>
      </c>
      <c r="J796" s="33">
        <v>3</v>
      </c>
      <c r="K796" s="33">
        <v>0</v>
      </c>
      <c r="L796" s="33">
        <v>0</v>
      </c>
      <c r="M796">
        <v>8</v>
      </c>
      <c r="N796">
        <v>0</v>
      </c>
      <c r="O796">
        <v>0</v>
      </c>
      <c r="P796">
        <v>37</v>
      </c>
      <c r="Q796">
        <v>52</v>
      </c>
      <c r="R796">
        <v>43</v>
      </c>
      <c r="S796">
        <v>19</v>
      </c>
      <c r="T796">
        <v>0</v>
      </c>
      <c r="U796">
        <v>2</v>
      </c>
      <c r="V796">
        <v>0</v>
      </c>
      <c r="W796">
        <v>0</v>
      </c>
      <c r="X796" s="22">
        <v>0</v>
      </c>
      <c r="Y796" s="22">
        <v>0.0384615384615385</v>
      </c>
      <c r="Z796" s="22">
        <v>0</v>
      </c>
      <c r="AA796" s="22">
        <v>0</v>
      </c>
      <c r="AB796">
        <v>0</v>
      </c>
      <c r="AC796">
        <v>0.36</v>
      </c>
      <c r="AD796">
        <v>0</v>
      </c>
      <c r="AE796">
        <v>0</v>
      </c>
      <c r="AF796" s="22" t="s">
        <v>53</v>
      </c>
      <c r="AG796" s="22" t="s">
        <v>1793</v>
      </c>
      <c r="AH796" s="22" t="s">
        <v>53</v>
      </c>
      <c r="AI796" s="22" t="s">
        <v>53</v>
      </c>
      <c r="AJ796">
        <v>4</v>
      </c>
      <c r="AK796">
        <v>4</v>
      </c>
      <c r="AL796">
        <v>4</v>
      </c>
      <c r="AM796">
        <v>3</v>
      </c>
      <c r="AN796" s="22">
        <v>0</v>
      </c>
      <c r="AO796" s="22">
        <v>0</v>
      </c>
      <c r="AP796" s="22">
        <v>0</v>
      </c>
      <c r="AQ796" s="22">
        <v>0</v>
      </c>
      <c r="AR796" s="35">
        <v>0</v>
      </c>
      <c r="AS796" s="35">
        <v>0</v>
      </c>
      <c r="AT796" s="35">
        <v>8</v>
      </c>
      <c r="AU796" s="31" t="str">
        <f t="shared" si="16"/>
        <v>库存为8</v>
      </c>
      <c r="AV796" s="36" t="str">
        <f>IFERROR(时间!$B$4+AU796,"上周无销量")</f>
        <v>上周无销量</v>
      </c>
    </row>
    <row r="797" spans="1:48">
      <c r="A797" s="20" t="s">
        <v>1794</v>
      </c>
      <c r="B797" t="s">
        <v>1795</v>
      </c>
      <c r="C797" t="s">
        <v>1770</v>
      </c>
      <c r="D797" s="31">
        <v>1</v>
      </c>
      <c r="E797" s="31">
        <v>0</v>
      </c>
      <c r="F797" s="31">
        <v>0</v>
      </c>
      <c r="G797" s="31">
        <v>0</v>
      </c>
      <c r="H797" s="32">
        <v>8</v>
      </c>
      <c r="I797">
        <v>5</v>
      </c>
      <c r="J797" s="33">
        <v>3</v>
      </c>
      <c r="K797" s="33">
        <v>0</v>
      </c>
      <c r="L797" s="33">
        <v>0</v>
      </c>
      <c r="M797">
        <v>8</v>
      </c>
      <c r="N797">
        <v>0</v>
      </c>
      <c r="O797">
        <v>0</v>
      </c>
      <c r="P797" t="s">
        <v>53</v>
      </c>
      <c r="Q797" t="s">
        <v>53</v>
      </c>
      <c r="R797" t="s">
        <v>53</v>
      </c>
      <c r="S797" t="s">
        <v>53</v>
      </c>
      <c r="T797" t="s">
        <v>53</v>
      </c>
      <c r="U797" t="s">
        <v>53</v>
      </c>
      <c r="V797" t="s">
        <v>53</v>
      </c>
      <c r="W797" t="s">
        <v>53</v>
      </c>
      <c r="X797" s="22" t="s">
        <v>53</v>
      </c>
      <c r="Y797" s="22" t="s">
        <v>53</v>
      </c>
      <c r="Z797" s="22" t="s">
        <v>53</v>
      </c>
      <c r="AA797" s="22" t="s">
        <v>53</v>
      </c>
      <c r="AB797" t="s">
        <v>53</v>
      </c>
      <c r="AC797" t="s">
        <v>53</v>
      </c>
      <c r="AD797" t="s">
        <v>53</v>
      </c>
      <c r="AE797" t="s">
        <v>53</v>
      </c>
      <c r="AF797" s="22" t="s">
        <v>53</v>
      </c>
      <c r="AG797" s="22" t="s">
        <v>53</v>
      </c>
      <c r="AH797" s="22" t="s">
        <v>53</v>
      </c>
      <c r="AI797" s="22" t="s">
        <v>53</v>
      </c>
      <c r="AJ797">
        <v>6</v>
      </c>
      <c r="AK797">
        <v>2</v>
      </c>
      <c r="AL797">
        <v>3</v>
      </c>
      <c r="AM797">
        <v>5</v>
      </c>
      <c r="AN797" s="22">
        <v>0.166666666666667</v>
      </c>
      <c r="AO797" s="22">
        <v>0</v>
      </c>
      <c r="AP797" s="22">
        <v>0</v>
      </c>
      <c r="AQ797" s="22">
        <v>0</v>
      </c>
      <c r="AR797" s="35">
        <v>0.142857142857143</v>
      </c>
      <c r="AS797" s="35">
        <v>8.57142857142857</v>
      </c>
      <c r="AT797" s="35">
        <v>-0.571428571428571</v>
      </c>
      <c r="AU797" s="31">
        <f t="shared" si="16"/>
        <v>56</v>
      </c>
      <c r="AV797" s="36">
        <f>IFERROR(时间!$B$4+AU797,"上周无销量")</f>
        <v>43374</v>
      </c>
    </row>
    <row r="798" spans="1:48">
      <c r="A798" s="20" t="s">
        <v>1796</v>
      </c>
      <c r="B798" t="s">
        <v>1797</v>
      </c>
      <c r="C798" t="s">
        <v>1770</v>
      </c>
      <c r="D798" s="31">
        <v>0</v>
      </c>
      <c r="E798" s="31">
        <v>0</v>
      </c>
      <c r="F798" s="31">
        <v>0</v>
      </c>
      <c r="G798" s="31">
        <v>1</v>
      </c>
      <c r="H798" s="32">
        <v>8</v>
      </c>
      <c r="I798">
        <v>4</v>
      </c>
      <c r="J798" s="33">
        <v>0</v>
      </c>
      <c r="K798" s="33">
        <v>0</v>
      </c>
      <c r="L798" s="33">
        <v>0</v>
      </c>
      <c r="M798">
        <v>4</v>
      </c>
      <c r="N798">
        <v>0</v>
      </c>
      <c r="O798">
        <v>0</v>
      </c>
      <c r="P798" t="s">
        <v>53</v>
      </c>
      <c r="Q798" t="s">
        <v>53</v>
      </c>
      <c r="R798" t="s">
        <v>53</v>
      </c>
      <c r="S798" t="s">
        <v>53</v>
      </c>
      <c r="T798" t="s">
        <v>53</v>
      </c>
      <c r="U798" t="s">
        <v>53</v>
      </c>
      <c r="V798" t="s">
        <v>53</v>
      </c>
      <c r="W798" t="s">
        <v>53</v>
      </c>
      <c r="X798" s="22" t="s">
        <v>53</v>
      </c>
      <c r="Y798" s="22" t="s">
        <v>53</v>
      </c>
      <c r="Z798" s="22" t="s">
        <v>53</v>
      </c>
      <c r="AA798" s="22" t="s">
        <v>53</v>
      </c>
      <c r="AB798" t="s">
        <v>53</v>
      </c>
      <c r="AC798" t="s">
        <v>53</v>
      </c>
      <c r="AD798" t="s">
        <v>53</v>
      </c>
      <c r="AE798" t="s">
        <v>53</v>
      </c>
      <c r="AF798" s="22" t="s">
        <v>53</v>
      </c>
      <c r="AG798" s="22" t="s">
        <v>53</v>
      </c>
      <c r="AH798" s="22" t="s">
        <v>53</v>
      </c>
      <c r="AI798" s="22" t="s">
        <v>53</v>
      </c>
      <c r="AJ798">
        <v>7</v>
      </c>
      <c r="AK798">
        <v>2</v>
      </c>
      <c r="AL798">
        <v>6</v>
      </c>
      <c r="AM798">
        <v>5</v>
      </c>
      <c r="AN798" s="22">
        <v>0</v>
      </c>
      <c r="AO798" s="22">
        <v>0</v>
      </c>
      <c r="AP798" s="22">
        <v>0</v>
      </c>
      <c r="AQ798" s="22">
        <v>0.2</v>
      </c>
      <c r="AR798" s="35">
        <v>0</v>
      </c>
      <c r="AS798" s="35">
        <v>0</v>
      </c>
      <c r="AT798" s="35">
        <v>4</v>
      </c>
      <c r="AU798" s="31" t="str">
        <f t="shared" si="16"/>
        <v>库存为4</v>
      </c>
      <c r="AV798" s="36" t="str">
        <f>IFERROR(时间!$B$4+AU798,"上周无销量")</f>
        <v>上周无销量</v>
      </c>
    </row>
    <row r="799" spans="1:48">
      <c r="A799" s="20" t="s">
        <v>1798</v>
      </c>
      <c r="B799" t="s">
        <v>1799</v>
      </c>
      <c r="C799" t="s">
        <v>1770</v>
      </c>
      <c r="D799" s="31">
        <v>2</v>
      </c>
      <c r="E799" s="31">
        <v>1</v>
      </c>
      <c r="F799" s="31">
        <v>0</v>
      </c>
      <c r="G799" s="31">
        <v>1</v>
      </c>
      <c r="H799" s="32">
        <v>8.5</v>
      </c>
      <c r="I799">
        <v>2</v>
      </c>
      <c r="J799" s="33">
        <v>3</v>
      </c>
      <c r="K799" s="33">
        <v>0</v>
      </c>
      <c r="L799" s="33">
        <v>0</v>
      </c>
      <c r="M799">
        <v>5</v>
      </c>
      <c r="N799">
        <v>0</v>
      </c>
      <c r="O799">
        <v>0</v>
      </c>
      <c r="P799">
        <v>0</v>
      </c>
      <c r="Q799">
        <v>12</v>
      </c>
      <c r="R799">
        <v>70</v>
      </c>
      <c r="S799">
        <v>56</v>
      </c>
      <c r="T799">
        <v>0</v>
      </c>
      <c r="U799">
        <v>0</v>
      </c>
      <c r="V799">
        <v>0</v>
      </c>
      <c r="W799">
        <v>0</v>
      </c>
      <c r="X799" s="22" t="s">
        <v>53</v>
      </c>
      <c r="Y799" s="22">
        <v>0</v>
      </c>
      <c r="Z799" s="22">
        <v>0</v>
      </c>
      <c r="AA799" s="22">
        <v>0</v>
      </c>
      <c r="AB799">
        <v>0</v>
      </c>
      <c r="AC799">
        <v>0</v>
      </c>
      <c r="AD799">
        <v>0</v>
      </c>
      <c r="AE799">
        <v>0</v>
      </c>
      <c r="AF799" s="22" t="s">
        <v>53</v>
      </c>
      <c r="AG799" s="22" t="s">
        <v>53</v>
      </c>
      <c r="AH799" s="22" t="s">
        <v>53</v>
      </c>
      <c r="AI799" s="22" t="s">
        <v>53</v>
      </c>
      <c r="AJ799">
        <v>7</v>
      </c>
      <c r="AK799">
        <v>0</v>
      </c>
      <c r="AL799">
        <v>1</v>
      </c>
      <c r="AM799">
        <v>6</v>
      </c>
      <c r="AN799" s="22">
        <v>0.285714285714286</v>
      </c>
      <c r="AO799" s="22" t="s">
        <v>53</v>
      </c>
      <c r="AP799" s="22">
        <v>0</v>
      </c>
      <c r="AQ799" s="22">
        <v>0.166666666666667</v>
      </c>
      <c r="AR799" s="35">
        <v>0.285714285714286</v>
      </c>
      <c r="AS799" s="35">
        <v>17.1428571428571</v>
      </c>
      <c r="AT799" s="35">
        <v>-12.1428571428571</v>
      </c>
      <c r="AU799" s="31">
        <f t="shared" si="16"/>
        <v>17</v>
      </c>
      <c r="AV799" s="36">
        <f>IFERROR(时间!$B$4+AU799,"上周无销量")</f>
        <v>43335</v>
      </c>
    </row>
    <row r="800" spans="1:48">
      <c r="A800" s="20" t="s">
        <v>1800</v>
      </c>
      <c r="B800" t="s">
        <v>1801</v>
      </c>
      <c r="C800" t="s">
        <v>1770</v>
      </c>
      <c r="D800" s="31">
        <v>0</v>
      </c>
      <c r="E800" s="31">
        <v>3</v>
      </c>
      <c r="F800" s="31">
        <v>2</v>
      </c>
      <c r="G800" s="31">
        <v>2</v>
      </c>
      <c r="H800" s="32">
        <v>8</v>
      </c>
      <c r="I800">
        <v>7</v>
      </c>
      <c r="J800" s="33">
        <v>5</v>
      </c>
      <c r="K800" s="33">
        <v>0</v>
      </c>
      <c r="L800" s="33">
        <v>0</v>
      </c>
      <c r="M800">
        <v>12</v>
      </c>
      <c r="N800">
        <v>0</v>
      </c>
      <c r="O800">
        <v>0</v>
      </c>
      <c r="P800" t="s">
        <v>53</v>
      </c>
      <c r="Q800" t="s">
        <v>53</v>
      </c>
      <c r="R800" t="s">
        <v>53</v>
      </c>
      <c r="S800" t="s">
        <v>53</v>
      </c>
      <c r="T800" t="s">
        <v>53</v>
      </c>
      <c r="U800" t="s">
        <v>53</v>
      </c>
      <c r="V800" t="s">
        <v>53</v>
      </c>
      <c r="W800" t="s">
        <v>53</v>
      </c>
      <c r="X800" s="22" t="s">
        <v>53</v>
      </c>
      <c r="Y800" s="22" t="s">
        <v>53</v>
      </c>
      <c r="Z800" s="22" t="s">
        <v>53</v>
      </c>
      <c r="AA800" s="22" t="s">
        <v>53</v>
      </c>
      <c r="AB800" t="s">
        <v>53</v>
      </c>
      <c r="AC800" t="s">
        <v>53</v>
      </c>
      <c r="AD800" t="s">
        <v>53</v>
      </c>
      <c r="AE800" t="s">
        <v>53</v>
      </c>
      <c r="AF800" s="22" t="s">
        <v>53</v>
      </c>
      <c r="AG800" s="22" t="s">
        <v>53</v>
      </c>
      <c r="AH800" s="22" t="s">
        <v>53</v>
      </c>
      <c r="AI800" s="22" t="s">
        <v>53</v>
      </c>
      <c r="AJ800">
        <v>6</v>
      </c>
      <c r="AK800">
        <v>2</v>
      </c>
      <c r="AL800">
        <v>2</v>
      </c>
      <c r="AM800">
        <v>3</v>
      </c>
      <c r="AN800" s="22">
        <v>0</v>
      </c>
      <c r="AO800" s="22">
        <v>1.5</v>
      </c>
      <c r="AP800" s="22">
        <v>1</v>
      </c>
      <c r="AQ800" s="22">
        <v>0.666666666666667</v>
      </c>
      <c r="AR800" s="35">
        <v>0</v>
      </c>
      <c r="AS800" s="35">
        <v>0</v>
      </c>
      <c r="AT800" s="35">
        <v>12</v>
      </c>
      <c r="AU800" s="31" t="str">
        <f t="shared" si="16"/>
        <v>库存为12</v>
      </c>
      <c r="AV800" s="36" t="str">
        <f>IFERROR(时间!$B$4+AU800,"上周无销量")</f>
        <v>上周无销量</v>
      </c>
    </row>
    <row r="801" spans="1:48">
      <c r="A801" s="20" t="s">
        <v>1802</v>
      </c>
      <c r="B801" t="s">
        <v>1803</v>
      </c>
      <c r="C801" t="s">
        <v>1770</v>
      </c>
      <c r="D801" s="31">
        <v>0</v>
      </c>
      <c r="E801" s="31">
        <v>0</v>
      </c>
      <c r="F801" s="31">
        <v>3</v>
      </c>
      <c r="G801" s="31">
        <v>1</v>
      </c>
      <c r="H801" s="32">
        <v>8</v>
      </c>
      <c r="I801">
        <v>7</v>
      </c>
      <c r="J801" s="33">
        <v>3</v>
      </c>
      <c r="K801" s="33">
        <v>0</v>
      </c>
      <c r="L801" s="33">
        <v>0</v>
      </c>
      <c r="M801">
        <v>10</v>
      </c>
      <c r="N801">
        <v>0</v>
      </c>
      <c r="O801">
        <v>0</v>
      </c>
      <c r="P801">
        <v>54</v>
      </c>
      <c r="Q801">
        <v>52</v>
      </c>
      <c r="R801">
        <v>24</v>
      </c>
      <c r="S801">
        <v>39</v>
      </c>
      <c r="T801">
        <v>0</v>
      </c>
      <c r="U801">
        <v>1</v>
      </c>
      <c r="V801">
        <v>0</v>
      </c>
      <c r="W801">
        <v>2</v>
      </c>
      <c r="X801" s="22">
        <v>0</v>
      </c>
      <c r="Y801" s="22">
        <v>0.0192307692307692</v>
      </c>
      <c r="Z801" s="22">
        <v>0</v>
      </c>
      <c r="AA801" s="22">
        <v>0.0512820512820513</v>
      </c>
      <c r="AB801">
        <v>0</v>
      </c>
      <c r="AC801">
        <v>0.15</v>
      </c>
      <c r="AD801">
        <v>0</v>
      </c>
      <c r="AE801">
        <v>0.32</v>
      </c>
      <c r="AF801" s="22" t="s">
        <v>53</v>
      </c>
      <c r="AG801" s="22" t="s">
        <v>1804</v>
      </c>
      <c r="AH801" s="22" t="s">
        <v>53</v>
      </c>
      <c r="AI801" s="22">
        <v>0.04</v>
      </c>
      <c r="AJ801">
        <v>4</v>
      </c>
      <c r="AK801">
        <v>7</v>
      </c>
      <c r="AL801">
        <v>5</v>
      </c>
      <c r="AM801">
        <v>2</v>
      </c>
      <c r="AN801" s="22">
        <v>0</v>
      </c>
      <c r="AO801" s="22">
        <v>0</v>
      </c>
      <c r="AP801" s="22">
        <v>0.6</v>
      </c>
      <c r="AQ801" s="22">
        <v>0.5</v>
      </c>
      <c r="AR801" s="35">
        <v>0</v>
      </c>
      <c r="AS801" s="35">
        <v>0</v>
      </c>
      <c r="AT801" s="35">
        <v>10</v>
      </c>
      <c r="AU801" s="31" t="str">
        <f t="shared" si="16"/>
        <v>库存为10</v>
      </c>
      <c r="AV801" s="36" t="str">
        <f>IFERROR(时间!$B$4+AU801,"上周无销量")</f>
        <v>上周无销量</v>
      </c>
    </row>
    <row r="802" spans="1:48">
      <c r="A802" s="20" t="s">
        <v>1805</v>
      </c>
      <c r="B802" t="s">
        <v>1806</v>
      </c>
      <c r="C802" t="s">
        <v>1770</v>
      </c>
      <c r="D802" s="31">
        <v>0</v>
      </c>
      <c r="E802" s="31">
        <v>1</v>
      </c>
      <c r="F802" s="31">
        <v>1</v>
      </c>
      <c r="G802" s="31">
        <v>0</v>
      </c>
      <c r="H802" s="32">
        <v>8</v>
      </c>
      <c r="I802">
        <v>3</v>
      </c>
      <c r="J802" s="33">
        <v>0</v>
      </c>
      <c r="K802" s="33">
        <v>0</v>
      </c>
      <c r="L802" s="33">
        <v>0</v>
      </c>
      <c r="M802">
        <v>3</v>
      </c>
      <c r="N802">
        <v>0</v>
      </c>
      <c r="O802">
        <v>0</v>
      </c>
      <c r="P802" t="s">
        <v>53</v>
      </c>
      <c r="Q802" t="s">
        <v>53</v>
      </c>
      <c r="R802" t="s">
        <v>53</v>
      </c>
      <c r="S802" t="s">
        <v>53</v>
      </c>
      <c r="T802" t="s">
        <v>53</v>
      </c>
      <c r="U802" t="s">
        <v>53</v>
      </c>
      <c r="V802" t="s">
        <v>53</v>
      </c>
      <c r="W802" t="s">
        <v>53</v>
      </c>
      <c r="X802" s="22" t="s">
        <v>53</v>
      </c>
      <c r="Y802" s="22" t="s">
        <v>53</v>
      </c>
      <c r="Z802" s="22" t="s">
        <v>53</v>
      </c>
      <c r="AA802" s="22" t="s">
        <v>53</v>
      </c>
      <c r="AB802" t="s">
        <v>53</v>
      </c>
      <c r="AC802" t="s">
        <v>53</v>
      </c>
      <c r="AD802" t="s">
        <v>53</v>
      </c>
      <c r="AE802" t="s">
        <v>53</v>
      </c>
      <c r="AF802" s="22" t="s">
        <v>53</v>
      </c>
      <c r="AG802" s="22" t="s">
        <v>53</v>
      </c>
      <c r="AH802" s="22" t="s">
        <v>53</v>
      </c>
      <c r="AI802" s="22" t="s">
        <v>53</v>
      </c>
      <c r="AJ802">
        <v>5</v>
      </c>
      <c r="AK802">
        <v>0</v>
      </c>
      <c r="AL802">
        <v>2</v>
      </c>
      <c r="AM802">
        <v>5</v>
      </c>
      <c r="AN802" s="22">
        <v>0</v>
      </c>
      <c r="AO802" s="22" t="s">
        <v>53</v>
      </c>
      <c r="AP802" s="22">
        <v>0.5</v>
      </c>
      <c r="AQ802" s="22">
        <v>0</v>
      </c>
      <c r="AR802" s="35">
        <v>0</v>
      </c>
      <c r="AS802" s="35">
        <v>0</v>
      </c>
      <c r="AT802" s="35">
        <v>3</v>
      </c>
      <c r="AU802" s="31" t="str">
        <f t="shared" si="16"/>
        <v>库存为3</v>
      </c>
      <c r="AV802" s="36" t="str">
        <f>IFERROR(时间!$B$4+AU802,"上周无销量")</f>
        <v>上周无销量</v>
      </c>
    </row>
    <row r="803" spans="1:48">
      <c r="A803" s="20" t="s">
        <v>1807</v>
      </c>
      <c r="B803" t="s">
        <v>1808</v>
      </c>
      <c r="C803" t="s">
        <v>1770</v>
      </c>
      <c r="D803" s="31">
        <v>0</v>
      </c>
      <c r="E803" s="31">
        <v>0</v>
      </c>
      <c r="F803" s="31">
        <v>2</v>
      </c>
      <c r="G803" s="31">
        <v>0</v>
      </c>
      <c r="H803" s="32">
        <v>8</v>
      </c>
      <c r="I803">
        <v>9</v>
      </c>
      <c r="J803" s="33">
        <v>0</v>
      </c>
      <c r="K803" s="33">
        <v>0</v>
      </c>
      <c r="L803" s="33">
        <v>0</v>
      </c>
      <c r="M803">
        <v>9</v>
      </c>
      <c r="N803">
        <v>0</v>
      </c>
      <c r="O803">
        <v>0</v>
      </c>
      <c r="P803" t="s">
        <v>53</v>
      </c>
      <c r="Q803" t="s">
        <v>53</v>
      </c>
      <c r="R803" t="s">
        <v>53</v>
      </c>
      <c r="S803" t="s">
        <v>53</v>
      </c>
      <c r="T803" t="s">
        <v>53</v>
      </c>
      <c r="U803" t="s">
        <v>53</v>
      </c>
      <c r="V803" t="s">
        <v>53</v>
      </c>
      <c r="W803" t="s">
        <v>53</v>
      </c>
      <c r="X803" s="22" t="s">
        <v>53</v>
      </c>
      <c r="Y803" s="22" t="s">
        <v>53</v>
      </c>
      <c r="Z803" s="22" t="s">
        <v>53</v>
      </c>
      <c r="AA803" s="22" t="s">
        <v>53</v>
      </c>
      <c r="AB803" t="s">
        <v>53</v>
      </c>
      <c r="AC803" t="s">
        <v>53</v>
      </c>
      <c r="AD803" t="s">
        <v>53</v>
      </c>
      <c r="AE803" t="s">
        <v>53</v>
      </c>
      <c r="AF803" s="22" t="s">
        <v>53</v>
      </c>
      <c r="AG803" s="22" t="s">
        <v>53</v>
      </c>
      <c r="AH803" s="22" t="s">
        <v>53</v>
      </c>
      <c r="AI803" s="22" t="s">
        <v>53</v>
      </c>
      <c r="AJ803">
        <v>6</v>
      </c>
      <c r="AK803">
        <v>3</v>
      </c>
      <c r="AL803">
        <v>2</v>
      </c>
      <c r="AM803">
        <v>2</v>
      </c>
      <c r="AN803" s="22">
        <v>0</v>
      </c>
      <c r="AO803" s="22">
        <v>0</v>
      </c>
      <c r="AP803" s="22">
        <v>1</v>
      </c>
      <c r="AQ803" s="22">
        <v>0</v>
      </c>
      <c r="AR803" s="35">
        <v>0</v>
      </c>
      <c r="AS803" s="35">
        <v>0</v>
      </c>
      <c r="AT803" s="35">
        <v>9</v>
      </c>
      <c r="AU803" s="31" t="str">
        <f t="shared" si="16"/>
        <v>库存为9</v>
      </c>
      <c r="AV803" s="36" t="str">
        <f>IFERROR(时间!$B$4+AU803,"上周无销量")</f>
        <v>上周无销量</v>
      </c>
    </row>
    <row r="804" spans="1:48">
      <c r="A804" s="20" t="s">
        <v>1809</v>
      </c>
      <c r="B804" t="s">
        <v>1810</v>
      </c>
      <c r="C804" t="s">
        <v>1770</v>
      </c>
      <c r="D804" s="31">
        <v>1</v>
      </c>
      <c r="E804" s="31">
        <v>1</v>
      </c>
      <c r="F804" s="31">
        <v>3</v>
      </c>
      <c r="G804" s="31">
        <v>0</v>
      </c>
      <c r="H804" s="32">
        <v>8.2</v>
      </c>
      <c r="I804">
        <v>6</v>
      </c>
      <c r="J804" s="33">
        <v>0</v>
      </c>
      <c r="K804" s="33">
        <v>0</v>
      </c>
      <c r="L804" s="33">
        <v>0</v>
      </c>
      <c r="M804">
        <v>6</v>
      </c>
      <c r="N804">
        <v>0</v>
      </c>
      <c r="O804">
        <v>0</v>
      </c>
      <c r="P804">
        <v>370</v>
      </c>
      <c r="Q804">
        <v>629</v>
      </c>
      <c r="R804">
        <v>279</v>
      </c>
      <c r="S804">
        <v>138</v>
      </c>
      <c r="T804">
        <v>5</v>
      </c>
      <c r="U804">
        <v>12</v>
      </c>
      <c r="V804">
        <v>7</v>
      </c>
      <c r="W804">
        <v>2</v>
      </c>
      <c r="X804" s="22">
        <v>0.0135135135135135</v>
      </c>
      <c r="Y804" s="22">
        <v>0.0190779014308426</v>
      </c>
      <c r="Z804" s="22">
        <v>0.025089605734767</v>
      </c>
      <c r="AA804" s="22">
        <v>0.0144927536231884</v>
      </c>
      <c r="AB804">
        <v>0.87</v>
      </c>
      <c r="AC804">
        <v>3.03</v>
      </c>
      <c r="AD804">
        <v>2.02</v>
      </c>
      <c r="AE804">
        <v>0.18</v>
      </c>
      <c r="AF804" s="22">
        <v>0.10609756097561</v>
      </c>
      <c r="AG804" s="22">
        <v>0.369512195121951</v>
      </c>
      <c r="AH804" s="22">
        <v>0.0821138211382114</v>
      </c>
      <c r="AI804" s="22" t="s">
        <v>1811</v>
      </c>
      <c r="AJ804">
        <v>12</v>
      </c>
      <c r="AK804">
        <v>15</v>
      </c>
      <c r="AL804">
        <v>10</v>
      </c>
      <c r="AM804">
        <v>5</v>
      </c>
      <c r="AN804" s="22">
        <v>0.0833333333333333</v>
      </c>
      <c r="AO804" s="22">
        <v>0.0666666666666667</v>
      </c>
      <c r="AP804" s="22">
        <v>0.3</v>
      </c>
      <c r="AQ804" s="22">
        <v>0</v>
      </c>
      <c r="AR804" s="35">
        <v>0.142857142857143</v>
      </c>
      <c r="AS804" s="35">
        <v>8.57142857142857</v>
      </c>
      <c r="AT804" s="35">
        <v>-2.57142857142857</v>
      </c>
      <c r="AU804" s="31">
        <f t="shared" si="16"/>
        <v>42</v>
      </c>
      <c r="AV804" s="36">
        <f>IFERROR(时间!$B$4+AU804,"上周无销量")</f>
        <v>43360</v>
      </c>
    </row>
    <row r="805" spans="1:48">
      <c r="A805" s="20" t="s">
        <v>1812</v>
      </c>
      <c r="B805" t="s">
        <v>1813</v>
      </c>
      <c r="C805" t="s">
        <v>1770</v>
      </c>
      <c r="D805" s="31">
        <v>1</v>
      </c>
      <c r="E805" s="31">
        <v>1</v>
      </c>
      <c r="F805" s="31">
        <v>1</v>
      </c>
      <c r="G805" s="31">
        <v>0</v>
      </c>
      <c r="H805" s="32">
        <v>8.33333333333333</v>
      </c>
      <c r="I805">
        <v>7</v>
      </c>
      <c r="J805" s="33">
        <v>0</v>
      </c>
      <c r="K805" s="33">
        <v>0</v>
      </c>
      <c r="L805" s="33">
        <v>0</v>
      </c>
      <c r="M805">
        <v>7</v>
      </c>
      <c r="N805">
        <v>0</v>
      </c>
      <c r="O805">
        <v>0</v>
      </c>
      <c r="P805" t="s">
        <v>53</v>
      </c>
      <c r="Q805" t="s">
        <v>53</v>
      </c>
      <c r="R805" t="s">
        <v>53</v>
      </c>
      <c r="S805" t="s">
        <v>53</v>
      </c>
      <c r="T805" t="s">
        <v>53</v>
      </c>
      <c r="U805" t="s">
        <v>53</v>
      </c>
      <c r="V805" t="s">
        <v>53</v>
      </c>
      <c r="W805" t="s">
        <v>53</v>
      </c>
      <c r="X805" s="22" t="s">
        <v>53</v>
      </c>
      <c r="Y805" s="22" t="s">
        <v>53</v>
      </c>
      <c r="Z805" s="22" t="s">
        <v>53</v>
      </c>
      <c r="AA805" s="22" t="s">
        <v>53</v>
      </c>
      <c r="AB805" t="s">
        <v>53</v>
      </c>
      <c r="AC805" t="s">
        <v>53</v>
      </c>
      <c r="AD805" t="s">
        <v>53</v>
      </c>
      <c r="AE805" t="s">
        <v>53</v>
      </c>
      <c r="AF805" s="22" t="s">
        <v>53</v>
      </c>
      <c r="AG805" s="22" t="s">
        <v>53</v>
      </c>
      <c r="AH805" s="22" t="s">
        <v>53</v>
      </c>
      <c r="AI805" s="22" t="s">
        <v>53</v>
      </c>
      <c r="AJ805">
        <v>6</v>
      </c>
      <c r="AK805">
        <v>2</v>
      </c>
      <c r="AL805">
        <v>6</v>
      </c>
      <c r="AM805">
        <v>2</v>
      </c>
      <c r="AN805" s="22">
        <v>0.166666666666667</v>
      </c>
      <c r="AO805" s="22">
        <v>0.5</v>
      </c>
      <c r="AP805" s="22">
        <v>0.166666666666667</v>
      </c>
      <c r="AQ805" s="22">
        <v>0</v>
      </c>
      <c r="AR805" s="35">
        <v>0.142857142857143</v>
      </c>
      <c r="AS805" s="35">
        <v>8.57142857142857</v>
      </c>
      <c r="AT805" s="35">
        <v>-1.57142857142857</v>
      </c>
      <c r="AU805" s="31">
        <f t="shared" si="16"/>
        <v>49</v>
      </c>
      <c r="AV805" s="36">
        <f>IFERROR(时间!$B$4+AU805,"上周无销量")</f>
        <v>43367</v>
      </c>
    </row>
    <row r="806" spans="1:48">
      <c r="A806" s="20" t="s">
        <v>1814</v>
      </c>
      <c r="B806" t="s">
        <v>1815</v>
      </c>
      <c r="C806" t="s">
        <v>1770</v>
      </c>
      <c r="D806" s="31">
        <v>1</v>
      </c>
      <c r="E806" s="31">
        <v>6</v>
      </c>
      <c r="F806" s="31">
        <v>1</v>
      </c>
      <c r="G806" s="31">
        <v>0</v>
      </c>
      <c r="H806" s="32">
        <v>8.125</v>
      </c>
      <c r="I806">
        <v>0</v>
      </c>
      <c r="J806" s="33">
        <v>30</v>
      </c>
      <c r="K806" s="33">
        <v>0</v>
      </c>
      <c r="L806" s="33">
        <v>0</v>
      </c>
      <c r="M806">
        <v>30</v>
      </c>
      <c r="N806">
        <v>0</v>
      </c>
      <c r="O806">
        <v>0</v>
      </c>
      <c r="P806" t="s">
        <v>53</v>
      </c>
      <c r="Q806" t="s">
        <v>53</v>
      </c>
      <c r="R806" t="s">
        <v>53</v>
      </c>
      <c r="S806" t="s">
        <v>53</v>
      </c>
      <c r="T806" t="s">
        <v>53</v>
      </c>
      <c r="U806" t="s">
        <v>53</v>
      </c>
      <c r="V806" t="s">
        <v>53</v>
      </c>
      <c r="W806" t="s">
        <v>53</v>
      </c>
      <c r="X806" s="22" t="s">
        <v>53</v>
      </c>
      <c r="Y806" s="22" t="s">
        <v>53</v>
      </c>
      <c r="Z806" s="22" t="s">
        <v>53</v>
      </c>
      <c r="AA806" s="22" t="s">
        <v>53</v>
      </c>
      <c r="AB806" t="s">
        <v>53</v>
      </c>
      <c r="AC806" t="s">
        <v>53</v>
      </c>
      <c r="AD806" t="s">
        <v>53</v>
      </c>
      <c r="AE806" t="s">
        <v>53</v>
      </c>
      <c r="AF806" s="22" t="s">
        <v>53</v>
      </c>
      <c r="AG806" s="22" t="s">
        <v>53</v>
      </c>
      <c r="AH806" s="22" t="s">
        <v>53</v>
      </c>
      <c r="AI806" s="22" t="s">
        <v>53</v>
      </c>
      <c r="AJ806">
        <v>5</v>
      </c>
      <c r="AK806">
        <v>10</v>
      </c>
      <c r="AL806">
        <v>3</v>
      </c>
      <c r="AM806">
        <v>5</v>
      </c>
      <c r="AN806" s="22">
        <v>0.2</v>
      </c>
      <c r="AO806" s="22">
        <v>0.6</v>
      </c>
      <c r="AP806" s="22">
        <v>0.333333333333333</v>
      </c>
      <c r="AQ806" s="22">
        <v>0</v>
      </c>
      <c r="AR806" s="35">
        <v>0.142857142857143</v>
      </c>
      <c r="AS806" s="35">
        <v>8.57142857142857</v>
      </c>
      <c r="AT806" s="35">
        <v>21.4285714285714</v>
      </c>
      <c r="AU806" s="31">
        <f t="shared" si="16"/>
        <v>210</v>
      </c>
      <c r="AV806" s="36">
        <f>IFERROR(时间!$B$4+AU806,"上周无销量")</f>
        <v>43528</v>
      </c>
    </row>
    <row r="807" spans="1:48">
      <c r="A807" s="20" t="s">
        <v>1816</v>
      </c>
      <c r="B807" t="s">
        <v>1817</v>
      </c>
      <c r="C807" t="s">
        <v>1770</v>
      </c>
      <c r="D807" s="31">
        <v>1</v>
      </c>
      <c r="E807" s="31">
        <v>5</v>
      </c>
      <c r="F807" s="31">
        <v>2</v>
      </c>
      <c r="G807" s="31">
        <v>5</v>
      </c>
      <c r="H807" s="32">
        <v>8</v>
      </c>
      <c r="I807">
        <v>8</v>
      </c>
      <c r="J807" s="33">
        <v>15</v>
      </c>
      <c r="K807" s="33">
        <v>0</v>
      </c>
      <c r="L807" s="33">
        <v>0</v>
      </c>
      <c r="M807">
        <v>23</v>
      </c>
      <c r="N807">
        <v>0</v>
      </c>
      <c r="O807">
        <v>0</v>
      </c>
      <c r="P807">
        <v>244</v>
      </c>
      <c r="Q807">
        <v>85</v>
      </c>
      <c r="R807">
        <v>0</v>
      </c>
      <c r="S807">
        <v>0</v>
      </c>
      <c r="T807">
        <v>4</v>
      </c>
      <c r="U807">
        <v>3</v>
      </c>
      <c r="V807">
        <v>0</v>
      </c>
      <c r="W807">
        <v>0</v>
      </c>
      <c r="X807" s="22">
        <v>0.0163934426229508</v>
      </c>
      <c r="Y807" s="22">
        <v>0.0352941176470588</v>
      </c>
      <c r="Z807" s="22" t="s">
        <v>53</v>
      </c>
      <c r="AA807" s="22" t="s">
        <v>53</v>
      </c>
      <c r="AB807">
        <v>0.99</v>
      </c>
      <c r="AC807">
        <v>0.95</v>
      </c>
      <c r="AD807">
        <v>0</v>
      </c>
      <c r="AE807">
        <v>0</v>
      </c>
      <c r="AF807" s="22">
        <v>0.12375</v>
      </c>
      <c r="AG807" s="22">
        <v>0.02375</v>
      </c>
      <c r="AH807" s="22" t="s">
        <v>53</v>
      </c>
      <c r="AI807" s="22" t="s">
        <v>53</v>
      </c>
      <c r="AJ807">
        <v>10</v>
      </c>
      <c r="AK807">
        <v>21</v>
      </c>
      <c r="AL807">
        <v>12</v>
      </c>
      <c r="AM807">
        <v>8</v>
      </c>
      <c r="AN807" s="22">
        <v>0.1</v>
      </c>
      <c r="AO807" s="22">
        <v>0.238095238095238</v>
      </c>
      <c r="AP807" s="22">
        <v>0.166666666666667</v>
      </c>
      <c r="AQ807" s="22">
        <v>0.625</v>
      </c>
      <c r="AR807" s="35">
        <v>0.142857142857143</v>
      </c>
      <c r="AS807" s="35">
        <v>8.57142857142857</v>
      </c>
      <c r="AT807" s="35">
        <v>14.4285714285714</v>
      </c>
      <c r="AU807" s="31">
        <f t="shared" si="16"/>
        <v>161</v>
      </c>
      <c r="AV807" s="36">
        <f>IFERROR(时间!$B$4+AU807,"上周无销量")</f>
        <v>43479</v>
      </c>
    </row>
    <row r="808" spans="1:48">
      <c r="A808" s="20" t="s">
        <v>1818</v>
      </c>
      <c r="B808" t="s">
        <v>1819</v>
      </c>
      <c r="C808" t="s">
        <v>1770</v>
      </c>
      <c r="D808" s="31">
        <v>1</v>
      </c>
      <c r="E808" s="31">
        <v>0</v>
      </c>
      <c r="F808" s="31">
        <v>1</v>
      </c>
      <c r="G808" s="31">
        <v>0</v>
      </c>
      <c r="H808" s="32">
        <v>8.5</v>
      </c>
      <c r="I808">
        <v>5</v>
      </c>
      <c r="J808" s="33">
        <v>0</v>
      </c>
      <c r="K808" s="33">
        <v>0</v>
      </c>
      <c r="L808" s="33">
        <v>0</v>
      </c>
      <c r="M808">
        <v>5</v>
      </c>
      <c r="N808">
        <v>0</v>
      </c>
      <c r="O808">
        <v>0</v>
      </c>
      <c r="P808">
        <v>0</v>
      </c>
      <c r="Q808">
        <v>127</v>
      </c>
      <c r="R808">
        <v>209</v>
      </c>
      <c r="S808">
        <v>131</v>
      </c>
      <c r="T808">
        <v>0</v>
      </c>
      <c r="U808">
        <v>5</v>
      </c>
      <c r="V808">
        <v>3</v>
      </c>
      <c r="W808">
        <v>2</v>
      </c>
      <c r="X808" s="22" t="s">
        <v>53</v>
      </c>
      <c r="Y808" s="22">
        <v>0.0393700787401575</v>
      </c>
      <c r="Z808" s="22">
        <v>0.0143540669856459</v>
      </c>
      <c r="AA808" s="22">
        <v>0.0152671755725191</v>
      </c>
      <c r="AB808">
        <v>0</v>
      </c>
      <c r="AC808">
        <v>1.24</v>
      </c>
      <c r="AD808">
        <v>0.34</v>
      </c>
      <c r="AE808">
        <v>0.18</v>
      </c>
      <c r="AF808" s="22" t="s">
        <v>53</v>
      </c>
      <c r="AG808" s="22" t="s">
        <v>420</v>
      </c>
      <c r="AH808" s="22">
        <v>0.04</v>
      </c>
      <c r="AI808" s="22" t="s">
        <v>1811</v>
      </c>
      <c r="AJ808">
        <v>8</v>
      </c>
      <c r="AK808">
        <v>8</v>
      </c>
      <c r="AL808">
        <v>10</v>
      </c>
      <c r="AM808">
        <v>8</v>
      </c>
      <c r="AN808" s="22">
        <v>0.125</v>
      </c>
      <c r="AO808" s="22">
        <v>0</v>
      </c>
      <c r="AP808" s="22">
        <v>0.1</v>
      </c>
      <c r="AQ808" s="22">
        <v>0</v>
      </c>
      <c r="AR808" s="35">
        <v>0.142857142857143</v>
      </c>
      <c r="AS808" s="35">
        <v>8.57142857142857</v>
      </c>
      <c r="AT808" s="35">
        <v>-3.57142857142857</v>
      </c>
      <c r="AU808" s="31">
        <f t="shared" si="16"/>
        <v>35</v>
      </c>
      <c r="AV808" s="36">
        <f>IFERROR(时间!$B$4+AU808,"上周无销量")</f>
        <v>43353</v>
      </c>
    </row>
    <row r="809" spans="1:48">
      <c r="A809" s="20" t="s">
        <v>1820</v>
      </c>
      <c r="B809" t="s">
        <v>1821</v>
      </c>
      <c r="C809" t="s">
        <v>1822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53</v>
      </c>
      <c r="Q809" t="s">
        <v>53</v>
      </c>
      <c r="R809" t="s">
        <v>53</v>
      </c>
      <c r="S809" t="s">
        <v>53</v>
      </c>
      <c r="T809" t="s">
        <v>53</v>
      </c>
      <c r="U809" t="s">
        <v>53</v>
      </c>
      <c r="V809" t="s">
        <v>53</v>
      </c>
      <c r="W809" t="s">
        <v>53</v>
      </c>
      <c r="X809" s="22" t="s">
        <v>53</v>
      </c>
      <c r="Y809" s="22" t="s">
        <v>53</v>
      </c>
      <c r="Z809" s="22" t="s">
        <v>53</v>
      </c>
      <c r="AA809" s="22" t="s">
        <v>53</v>
      </c>
      <c r="AB809" t="s">
        <v>53</v>
      </c>
      <c r="AC809" t="s">
        <v>53</v>
      </c>
      <c r="AD809" t="s">
        <v>53</v>
      </c>
      <c r="AE809" t="s">
        <v>53</v>
      </c>
      <c r="AF809" s="22" t="s">
        <v>53</v>
      </c>
      <c r="AG809" s="22" t="s">
        <v>53</v>
      </c>
      <c r="AH809" s="22" t="s">
        <v>53</v>
      </c>
      <c r="AI809" s="22" t="s">
        <v>53</v>
      </c>
      <c r="AJ809">
        <v>57</v>
      </c>
      <c r="AK809">
        <v>0</v>
      </c>
      <c r="AL809">
        <v>178</v>
      </c>
      <c r="AM809">
        <v>78</v>
      </c>
      <c r="AN809" s="22">
        <v>0</v>
      </c>
      <c r="AO809" s="22" t="s">
        <v>53</v>
      </c>
      <c r="AP809" s="22">
        <v>0</v>
      </c>
      <c r="AQ809" s="22">
        <v>0</v>
      </c>
      <c r="AR809" s="35">
        <v>0</v>
      </c>
      <c r="AS809" s="35">
        <v>0</v>
      </c>
      <c r="AT809" s="35">
        <v>0</v>
      </c>
      <c r="AU809" s="31" t="str">
        <f t="shared" si="16"/>
        <v>库存为0</v>
      </c>
      <c r="AV809" s="36" t="str">
        <f>IFERROR(时间!$B$4+AU809,"上周无销量")</f>
        <v>上周无销量</v>
      </c>
    </row>
    <row r="810" spans="1:48">
      <c r="A810" s="20" t="s">
        <v>1823</v>
      </c>
      <c r="B810" t="s">
        <v>1824</v>
      </c>
      <c r="C810" t="s">
        <v>1822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0</v>
      </c>
      <c r="J810" s="33">
        <v>0</v>
      </c>
      <c r="K810" s="33">
        <v>0</v>
      </c>
      <c r="L810" s="33">
        <v>0</v>
      </c>
      <c r="M810">
        <v>0</v>
      </c>
      <c r="N810">
        <v>0</v>
      </c>
      <c r="O810">
        <v>0</v>
      </c>
      <c r="P810" t="s">
        <v>53</v>
      </c>
      <c r="Q810" t="s">
        <v>53</v>
      </c>
      <c r="R810" t="s">
        <v>53</v>
      </c>
      <c r="S810" t="s">
        <v>53</v>
      </c>
      <c r="T810" t="s">
        <v>53</v>
      </c>
      <c r="U810" t="s">
        <v>53</v>
      </c>
      <c r="V810" t="s">
        <v>53</v>
      </c>
      <c r="W810" t="s">
        <v>53</v>
      </c>
      <c r="X810" s="22" t="s">
        <v>53</v>
      </c>
      <c r="Y810" s="22" t="s">
        <v>53</v>
      </c>
      <c r="Z810" s="22" t="s">
        <v>53</v>
      </c>
      <c r="AA810" s="22" t="s">
        <v>53</v>
      </c>
      <c r="AB810" t="s">
        <v>53</v>
      </c>
      <c r="AC810" t="s">
        <v>53</v>
      </c>
      <c r="AD810" t="s">
        <v>53</v>
      </c>
      <c r="AE810" t="s">
        <v>53</v>
      </c>
      <c r="AF810" s="22" t="s">
        <v>53</v>
      </c>
      <c r="AG810" s="22" t="s">
        <v>53</v>
      </c>
      <c r="AH810" s="22" t="s">
        <v>53</v>
      </c>
      <c r="AI810" s="22" t="s">
        <v>53</v>
      </c>
      <c r="AJ810">
        <v>38</v>
      </c>
      <c r="AK810">
        <v>20</v>
      </c>
      <c r="AL810">
        <v>86</v>
      </c>
      <c r="AM810">
        <v>73</v>
      </c>
      <c r="AN810" s="22">
        <v>0</v>
      </c>
      <c r="AO810" s="22">
        <v>0</v>
      </c>
      <c r="AP810" s="22">
        <v>0</v>
      </c>
      <c r="AQ810" s="22">
        <v>0</v>
      </c>
      <c r="AR810" s="35">
        <v>0</v>
      </c>
      <c r="AS810" s="35">
        <v>0</v>
      </c>
      <c r="AT810" s="35">
        <v>0</v>
      </c>
      <c r="AU810" s="31" t="str">
        <f t="shared" si="16"/>
        <v>库存为0</v>
      </c>
      <c r="AV810" s="36" t="str">
        <f>IFERROR(时间!$B$4+AU810,"上周无销量")</f>
        <v>上周无销量</v>
      </c>
    </row>
    <row r="811" spans="1:48">
      <c r="A811" s="20" t="s">
        <v>1825</v>
      </c>
      <c r="B811" t="s">
        <v>1826</v>
      </c>
      <c r="C811" t="s">
        <v>1822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237</v>
      </c>
      <c r="AK811">
        <v>14</v>
      </c>
      <c r="AL811">
        <v>98</v>
      </c>
      <c r="AM811">
        <v>126</v>
      </c>
      <c r="AN811" s="22">
        <v>0</v>
      </c>
      <c r="AO811" s="22">
        <v>0</v>
      </c>
      <c r="AP811" s="22">
        <v>0</v>
      </c>
      <c r="AQ811" s="22">
        <v>0</v>
      </c>
      <c r="AR811" s="35">
        <v>0</v>
      </c>
      <c r="AS811" s="35">
        <v>0</v>
      </c>
      <c r="AT811" s="35">
        <v>0</v>
      </c>
      <c r="AU811" s="31" t="str">
        <f t="shared" si="16"/>
        <v>库存为0</v>
      </c>
      <c r="AV811" s="36" t="str">
        <f>IFERROR(时间!$B$4+AU811,"上周无销量")</f>
        <v>上周无销量</v>
      </c>
    </row>
    <row r="812" spans="1:48">
      <c r="A812" s="20" t="s">
        <v>1827</v>
      </c>
      <c r="B812" t="s">
        <v>1828</v>
      </c>
      <c r="C812" t="s">
        <v>1822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53</v>
      </c>
      <c r="Q812" t="s">
        <v>53</v>
      </c>
      <c r="R812" t="s">
        <v>53</v>
      </c>
      <c r="S812" t="s">
        <v>53</v>
      </c>
      <c r="T812" t="s">
        <v>53</v>
      </c>
      <c r="U812" t="s">
        <v>53</v>
      </c>
      <c r="V812" t="s">
        <v>53</v>
      </c>
      <c r="W812" t="s">
        <v>53</v>
      </c>
      <c r="X812" s="22" t="s">
        <v>53</v>
      </c>
      <c r="Y812" s="22" t="s">
        <v>53</v>
      </c>
      <c r="Z812" s="22" t="s">
        <v>53</v>
      </c>
      <c r="AA812" s="22" t="s">
        <v>53</v>
      </c>
      <c r="AB812" t="s">
        <v>53</v>
      </c>
      <c r="AC812" t="s">
        <v>53</v>
      </c>
      <c r="AD812" t="s">
        <v>53</v>
      </c>
      <c r="AE812" t="s">
        <v>53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52</v>
      </c>
      <c r="AK812">
        <v>43</v>
      </c>
      <c r="AL812">
        <v>68</v>
      </c>
      <c r="AM812">
        <v>67</v>
      </c>
      <c r="AN812" s="22">
        <v>0</v>
      </c>
      <c r="AO812" s="22">
        <v>0</v>
      </c>
      <c r="AP812" s="22">
        <v>0</v>
      </c>
      <c r="AQ812" s="22">
        <v>0</v>
      </c>
      <c r="AR812" s="35">
        <v>0</v>
      </c>
      <c r="AS812" s="35">
        <v>0</v>
      </c>
      <c r="AT812" s="35">
        <v>0</v>
      </c>
      <c r="AU812" s="31" t="str">
        <f t="shared" si="16"/>
        <v>库存为0</v>
      </c>
      <c r="AV812" s="36" t="str">
        <f>IFERROR(时间!$B$4+AU812,"上周无销量")</f>
        <v>上周无销量</v>
      </c>
    </row>
    <row r="813" spans="1:48">
      <c r="A813" s="20" t="s">
        <v>1829</v>
      </c>
      <c r="B813" t="s">
        <v>1830</v>
      </c>
      <c r="C813" t="s">
        <v>1822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53</v>
      </c>
      <c r="Q813" t="s">
        <v>53</v>
      </c>
      <c r="R813" t="s">
        <v>53</v>
      </c>
      <c r="S813" t="s">
        <v>53</v>
      </c>
      <c r="T813" t="s">
        <v>53</v>
      </c>
      <c r="U813" t="s">
        <v>53</v>
      </c>
      <c r="V813" t="s">
        <v>53</v>
      </c>
      <c r="W813" t="s">
        <v>53</v>
      </c>
      <c r="X813" s="22" t="s">
        <v>53</v>
      </c>
      <c r="Y813" s="22" t="s">
        <v>53</v>
      </c>
      <c r="Z813" s="22" t="s">
        <v>53</v>
      </c>
      <c r="AA813" s="22" t="s">
        <v>53</v>
      </c>
      <c r="AB813" t="s">
        <v>53</v>
      </c>
      <c r="AC813" t="s">
        <v>53</v>
      </c>
      <c r="AD813" t="s">
        <v>53</v>
      </c>
      <c r="AE813" t="s">
        <v>53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46</v>
      </c>
      <c r="AK813">
        <v>18</v>
      </c>
      <c r="AL813">
        <v>108</v>
      </c>
      <c r="AM813">
        <v>87</v>
      </c>
      <c r="AN813" s="22">
        <v>0</v>
      </c>
      <c r="AO813" s="22">
        <v>0</v>
      </c>
      <c r="AP813" s="22">
        <v>0</v>
      </c>
      <c r="AQ813" s="22">
        <v>0</v>
      </c>
      <c r="AR813" s="35">
        <v>0</v>
      </c>
      <c r="AS813" s="35">
        <v>0</v>
      </c>
      <c r="AT813" s="35">
        <v>0</v>
      </c>
      <c r="AU813" s="31" t="str">
        <f t="shared" si="16"/>
        <v>库存为0</v>
      </c>
      <c r="AV813" s="36" t="str">
        <f>IFERROR(时间!$B$4+AU813,"上周无销量")</f>
        <v>上周无销量</v>
      </c>
    </row>
    <row r="814" spans="1:48">
      <c r="A814" s="20" t="s">
        <v>1831</v>
      </c>
      <c r="B814" t="s">
        <v>1832</v>
      </c>
      <c r="C814" t="s">
        <v>1822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0</v>
      </c>
      <c r="J814" s="33">
        <v>0</v>
      </c>
      <c r="K814" s="33">
        <v>0</v>
      </c>
      <c r="L814" s="33">
        <v>0</v>
      </c>
      <c r="M814">
        <v>0</v>
      </c>
      <c r="N814">
        <v>0</v>
      </c>
      <c r="O814">
        <v>0</v>
      </c>
      <c r="P814" t="s">
        <v>53</v>
      </c>
      <c r="Q814" t="s">
        <v>53</v>
      </c>
      <c r="R814" t="s">
        <v>53</v>
      </c>
      <c r="S814" t="s">
        <v>53</v>
      </c>
      <c r="T814" t="s">
        <v>53</v>
      </c>
      <c r="U814" t="s">
        <v>53</v>
      </c>
      <c r="V814" t="s">
        <v>53</v>
      </c>
      <c r="W814" t="s">
        <v>53</v>
      </c>
      <c r="X814" s="22" t="s">
        <v>53</v>
      </c>
      <c r="Y814" s="22" t="s">
        <v>53</v>
      </c>
      <c r="Z814" s="22" t="s">
        <v>53</v>
      </c>
      <c r="AA814" s="22" t="s">
        <v>53</v>
      </c>
      <c r="AB814" t="s">
        <v>53</v>
      </c>
      <c r="AC814" t="s">
        <v>53</v>
      </c>
      <c r="AD814" t="s">
        <v>53</v>
      </c>
      <c r="AE814" t="s">
        <v>53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35</v>
      </c>
      <c r="AK814">
        <v>23</v>
      </c>
      <c r="AL814">
        <v>19</v>
      </c>
      <c r="AM814">
        <v>83</v>
      </c>
      <c r="AN814" s="22">
        <v>0</v>
      </c>
      <c r="AO814" s="22">
        <v>0</v>
      </c>
      <c r="AP814" s="22">
        <v>0</v>
      </c>
      <c r="AQ814" s="22">
        <v>0</v>
      </c>
      <c r="AR814" s="35">
        <v>0</v>
      </c>
      <c r="AS814" s="35">
        <v>0</v>
      </c>
      <c r="AT814" s="35">
        <v>0</v>
      </c>
      <c r="AU814" s="31" t="str">
        <f t="shared" si="16"/>
        <v>库存为0</v>
      </c>
      <c r="AV814" s="36" t="str">
        <f>IFERROR(时间!$B$4+AU814,"上周无销量")</f>
        <v>上周无销量</v>
      </c>
    </row>
    <row r="815" spans="1:48">
      <c r="A815" s="20" t="s">
        <v>1833</v>
      </c>
      <c r="B815" t="s">
        <v>1834</v>
      </c>
      <c r="C815" t="s">
        <v>1835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0</v>
      </c>
      <c r="J815" s="33">
        <v>0</v>
      </c>
      <c r="K815" s="33">
        <v>0</v>
      </c>
      <c r="L815" s="33">
        <v>0</v>
      </c>
      <c r="M815">
        <v>0</v>
      </c>
      <c r="N815">
        <v>0</v>
      </c>
      <c r="O815">
        <v>0</v>
      </c>
      <c r="P815" t="s">
        <v>53</v>
      </c>
      <c r="Q815" t="s">
        <v>53</v>
      </c>
      <c r="R815" t="s">
        <v>53</v>
      </c>
      <c r="S815" t="s">
        <v>53</v>
      </c>
      <c r="T815" t="s">
        <v>53</v>
      </c>
      <c r="U815" t="s">
        <v>53</v>
      </c>
      <c r="V815" t="s">
        <v>53</v>
      </c>
      <c r="W815" t="s">
        <v>53</v>
      </c>
      <c r="X815" s="22" t="s">
        <v>53</v>
      </c>
      <c r="Y815" s="22" t="s">
        <v>53</v>
      </c>
      <c r="Z815" s="22" t="s">
        <v>53</v>
      </c>
      <c r="AA815" s="22" t="s">
        <v>53</v>
      </c>
      <c r="AB815" t="s">
        <v>53</v>
      </c>
      <c r="AC815" t="s">
        <v>53</v>
      </c>
      <c r="AD815" t="s">
        <v>53</v>
      </c>
      <c r="AE815" t="s">
        <v>53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485</v>
      </c>
      <c r="AK815">
        <v>291</v>
      </c>
      <c r="AL815">
        <v>15</v>
      </c>
      <c r="AM815">
        <v>97</v>
      </c>
      <c r="AN815" s="22">
        <v>0</v>
      </c>
      <c r="AO815" s="22">
        <v>0</v>
      </c>
      <c r="AP815" s="22">
        <v>0</v>
      </c>
      <c r="AQ815" s="22">
        <v>0</v>
      </c>
      <c r="AR815" s="35">
        <v>0</v>
      </c>
      <c r="AS815" s="35">
        <v>0</v>
      </c>
      <c r="AT815" s="35">
        <v>0</v>
      </c>
      <c r="AU815" s="31" t="str">
        <f t="shared" si="16"/>
        <v>库存为0</v>
      </c>
      <c r="AV815" s="36" t="str">
        <f>IFERROR(时间!$B$4+AU815,"上周无销量")</f>
        <v>上周无销量</v>
      </c>
    </row>
    <row r="816" spans="1:48">
      <c r="A816" s="20" t="s">
        <v>1836</v>
      </c>
      <c r="B816" t="s">
        <v>1837</v>
      </c>
      <c r="C816" t="s">
        <v>1835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786</v>
      </c>
      <c r="AK816">
        <v>510</v>
      </c>
      <c r="AL816">
        <v>50</v>
      </c>
      <c r="AM816">
        <v>263</v>
      </c>
      <c r="AN816" s="22">
        <v>0</v>
      </c>
      <c r="AO816" s="22">
        <v>0</v>
      </c>
      <c r="AP816" s="22">
        <v>0</v>
      </c>
      <c r="AQ816" s="22">
        <v>0</v>
      </c>
      <c r="AR816" s="35">
        <v>0</v>
      </c>
      <c r="AS816" s="35">
        <v>0</v>
      </c>
      <c r="AT816" s="35">
        <v>0</v>
      </c>
      <c r="AU816" s="31" t="str">
        <f t="shared" si="16"/>
        <v>库存为0</v>
      </c>
      <c r="AV816" s="36" t="str">
        <f>IFERROR(时间!$B$4+AU816,"上周无销量")</f>
        <v>上周无销量</v>
      </c>
    </row>
    <row r="817" spans="1:48">
      <c r="A817" s="20" t="s">
        <v>1838</v>
      </c>
      <c r="B817" t="s">
        <v>1839</v>
      </c>
      <c r="C817" t="s">
        <v>1835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381</v>
      </c>
      <c r="AK817">
        <v>193</v>
      </c>
      <c r="AL817">
        <v>305</v>
      </c>
      <c r="AM817">
        <v>38</v>
      </c>
      <c r="AN817" s="22">
        <v>0</v>
      </c>
      <c r="AO817" s="22">
        <v>0</v>
      </c>
      <c r="AP817" s="22">
        <v>0</v>
      </c>
      <c r="AQ817" s="22">
        <v>0</v>
      </c>
      <c r="AR817" s="35">
        <v>0</v>
      </c>
      <c r="AS817" s="35">
        <v>0</v>
      </c>
      <c r="AT817" s="35">
        <v>0</v>
      </c>
      <c r="AU817" s="31" t="str">
        <f t="shared" si="16"/>
        <v>库存为0</v>
      </c>
      <c r="AV817" s="36" t="str">
        <f>IFERROR(时间!$B$4+AU817,"上周无销量")</f>
        <v>上周无销量</v>
      </c>
    </row>
    <row r="818" spans="1:48">
      <c r="A818" s="20" t="s">
        <v>1840</v>
      </c>
      <c r="B818" t="s">
        <v>1492</v>
      </c>
      <c r="C818" t="s">
        <v>1841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0</v>
      </c>
      <c r="J818" s="33">
        <v>0</v>
      </c>
      <c r="K818" s="33">
        <v>0</v>
      </c>
      <c r="L818" s="33">
        <v>0</v>
      </c>
      <c r="M818">
        <v>0</v>
      </c>
      <c r="N818">
        <v>0</v>
      </c>
      <c r="O818">
        <v>0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461</v>
      </c>
      <c r="AK818">
        <v>24</v>
      </c>
      <c r="AL818">
        <v>750</v>
      </c>
      <c r="AM818">
        <v>399</v>
      </c>
      <c r="AN818" s="22">
        <v>0</v>
      </c>
      <c r="AO818" s="22">
        <v>0</v>
      </c>
      <c r="AP818" s="22">
        <v>0</v>
      </c>
      <c r="AQ818" s="22">
        <v>0</v>
      </c>
      <c r="AR818" s="35">
        <v>0</v>
      </c>
      <c r="AS818" s="35">
        <v>0</v>
      </c>
      <c r="AT818" s="35">
        <v>0</v>
      </c>
      <c r="AU818" s="31" t="str">
        <f t="shared" si="16"/>
        <v>库存为0</v>
      </c>
      <c r="AV818" s="36" t="str">
        <f>IFERROR(时间!$B$4+AU818,"上周无销量")</f>
        <v>上周无销量</v>
      </c>
    </row>
    <row r="819" spans="1:48">
      <c r="A819" s="20" t="s">
        <v>1842</v>
      </c>
      <c r="B819" t="s">
        <v>1179</v>
      </c>
      <c r="C819" t="s">
        <v>1841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0</v>
      </c>
      <c r="J819" s="33">
        <v>0</v>
      </c>
      <c r="K819" s="33">
        <v>0</v>
      </c>
      <c r="L819" s="33">
        <v>0</v>
      </c>
      <c r="M819">
        <v>0</v>
      </c>
      <c r="N819">
        <v>0</v>
      </c>
      <c r="O819">
        <v>0</v>
      </c>
      <c r="P819" t="s">
        <v>53</v>
      </c>
      <c r="Q819" t="s">
        <v>53</v>
      </c>
      <c r="R819" t="s">
        <v>53</v>
      </c>
      <c r="S819" t="s">
        <v>53</v>
      </c>
      <c r="T819" t="s">
        <v>53</v>
      </c>
      <c r="U819" t="s">
        <v>53</v>
      </c>
      <c r="V819" t="s">
        <v>53</v>
      </c>
      <c r="W819" t="s">
        <v>53</v>
      </c>
      <c r="X819" s="22" t="s">
        <v>53</v>
      </c>
      <c r="Y819" s="22" t="s">
        <v>53</v>
      </c>
      <c r="Z819" s="22" t="s">
        <v>53</v>
      </c>
      <c r="AA819" s="22" t="s">
        <v>53</v>
      </c>
      <c r="AB819" t="s">
        <v>53</v>
      </c>
      <c r="AC819" t="s">
        <v>53</v>
      </c>
      <c r="AD819" t="s">
        <v>53</v>
      </c>
      <c r="AE819" t="s">
        <v>53</v>
      </c>
      <c r="AF819" s="22" t="s">
        <v>53</v>
      </c>
      <c r="AG819" s="22" t="s">
        <v>53</v>
      </c>
      <c r="AH819" s="22" t="s">
        <v>53</v>
      </c>
      <c r="AI819" s="22" t="s">
        <v>53</v>
      </c>
      <c r="AJ819">
        <v>657</v>
      </c>
      <c r="AK819">
        <v>379</v>
      </c>
      <c r="AL819">
        <v>543</v>
      </c>
      <c r="AM819">
        <v>265</v>
      </c>
      <c r="AN819" s="22">
        <v>0</v>
      </c>
      <c r="AO819" s="22">
        <v>0</v>
      </c>
      <c r="AP819" s="22">
        <v>0</v>
      </c>
      <c r="AQ819" s="22">
        <v>0</v>
      </c>
      <c r="AR819" s="35">
        <v>0</v>
      </c>
      <c r="AS819" s="35">
        <v>0</v>
      </c>
      <c r="AT819" s="35">
        <v>0</v>
      </c>
      <c r="AU819" s="31" t="str">
        <f t="shared" si="16"/>
        <v>库存为0</v>
      </c>
      <c r="AV819" s="36" t="str">
        <f>IFERROR(时间!$B$4+AU819,"上周无销量")</f>
        <v>上周无销量</v>
      </c>
    </row>
    <row r="820" spans="1:48">
      <c r="A820" s="20" t="s">
        <v>1843</v>
      </c>
      <c r="B820" t="s">
        <v>1183</v>
      </c>
      <c r="C820" t="s">
        <v>1841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0</v>
      </c>
      <c r="J820" s="33">
        <v>0</v>
      </c>
      <c r="K820" s="33">
        <v>0</v>
      </c>
      <c r="L820" s="33">
        <v>0</v>
      </c>
      <c r="M820">
        <v>0</v>
      </c>
      <c r="N820">
        <v>0</v>
      </c>
      <c r="O820">
        <v>0</v>
      </c>
      <c r="P820" t="s">
        <v>53</v>
      </c>
      <c r="Q820" t="s">
        <v>53</v>
      </c>
      <c r="R820" t="s">
        <v>53</v>
      </c>
      <c r="S820" t="s">
        <v>53</v>
      </c>
      <c r="T820" t="s">
        <v>53</v>
      </c>
      <c r="U820" t="s">
        <v>53</v>
      </c>
      <c r="V820" t="s">
        <v>53</v>
      </c>
      <c r="W820" t="s">
        <v>53</v>
      </c>
      <c r="X820" s="22" t="s">
        <v>53</v>
      </c>
      <c r="Y820" s="22" t="s">
        <v>53</v>
      </c>
      <c r="Z820" s="22" t="s">
        <v>53</v>
      </c>
      <c r="AA820" s="22" t="s">
        <v>53</v>
      </c>
      <c r="AB820" t="s">
        <v>53</v>
      </c>
      <c r="AC820" t="s">
        <v>53</v>
      </c>
      <c r="AD820" t="s">
        <v>53</v>
      </c>
      <c r="AE820" t="s">
        <v>53</v>
      </c>
      <c r="AF820" s="22" t="s">
        <v>53</v>
      </c>
      <c r="AG820" s="22" t="s">
        <v>53</v>
      </c>
      <c r="AH820" s="22" t="s">
        <v>53</v>
      </c>
      <c r="AI820" s="22" t="s">
        <v>53</v>
      </c>
      <c r="AJ820">
        <v>468</v>
      </c>
      <c r="AK820">
        <v>627</v>
      </c>
      <c r="AL820">
        <v>402</v>
      </c>
      <c r="AM820">
        <v>149</v>
      </c>
      <c r="AN820" s="22">
        <v>0</v>
      </c>
      <c r="AO820" s="22">
        <v>0</v>
      </c>
      <c r="AP820" s="22">
        <v>0</v>
      </c>
      <c r="AQ820" s="22">
        <v>0</v>
      </c>
      <c r="AR820" s="35">
        <v>0</v>
      </c>
      <c r="AS820" s="35">
        <v>0</v>
      </c>
      <c r="AT820" s="35">
        <v>0</v>
      </c>
      <c r="AU820" s="31" t="str">
        <f t="shared" si="16"/>
        <v>库存为0</v>
      </c>
      <c r="AV820" s="36" t="str">
        <f>IFERROR(时间!$B$4+AU820,"上周无销量")</f>
        <v>上周无销量</v>
      </c>
    </row>
    <row r="821" spans="1:48">
      <c r="A821" s="20" t="s">
        <v>1844</v>
      </c>
      <c r="B821" t="s">
        <v>1181</v>
      </c>
      <c r="C821" t="s">
        <v>1841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0</v>
      </c>
      <c r="J821" s="33">
        <v>0</v>
      </c>
      <c r="K821" s="33">
        <v>0</v>
      </c>
      <c r="L821" s="33">
        <v>0</v>
      </c>
      <c r="M821">
        <v>0</v>
      </c>
      <c r="N821">
        <v>0</v>
      </c>
      <c r="O821">
        <v>0</v>
      </c>
      <c r="P821" t="s">
        <v>53</v>
      </c>
      <c r="Q821" t="s">
        <v>53</v>
      </c>
      <c r="R821" t="s">
        <v>53</v>
      </c>
      <c r="S821" t="s">
        <v>53</v>
      </c>
      <c r="T821" t="s">
        <v>53</v>
      </c>
      <c r="U821" t="s">
        <v>53</v>
      </c>
      <c r="V821" t="s">
        <v>53</v>
      </c>
      <c r="W821" t="s">
        <v>53</v>
      </c>
      <c r="X821" s="22" t="s">
        <v>53</v>
      </c>
      <c r="Y821" s="22" t="s">
        <v>53</v>
      </c>
      <c r="Z821" s="22" t="s">
        <v>53</v>
      </c>
      <c r="AA821" s="22" t="s">
        <v>53</v>
      </c>
      <c r="AB821" t="s">
        <v>53</v>
      </c>
      <c r="AC821" t="s">
        <v>53</v>
      </c>
      <c r="AD821" t="s">
        <v>53</v>
      </c>
      <c r="AE821" t="s">
        <v>53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3111</v>
      </c>
      <c r="AK821">
        <v>3061</v>
      </c>
      <c r="AL821">
        <v>2712</v>
      </c>
      <c r="AM821">
        <v>1622</v>
      </c>
      <c r="AN821" s="22">
        <v>0</v>
      </c>
      <c r="AO821" s="22">
        <v>0</v>
      </c>
      <c r="AP821" s="22">
        <v>0</v>
      </c>
      <c r="AQ821" s="22">
        <v>0</v>
      </c>
      <c r="AR821" s="35">
        <v>0</v>
      </c>
      <c r="AS821" s="35">
        <v>0</v>
      </c>
      <c r="AT821" s="35">
        <v>0</v>
      </c>
      <c r="AU821" s="31" t="str">
        <f t="shared" si="16"/>
        <v>库存为0</v>
      </c>
      <c r="AV821" s="36" t="str">
        <f>IFERROR(时间!$B$4+AU821,"上周无销量")</f>
        <v>上周无销量</v>
      </c>
    </row>
    <row r="822" spans="1:48">
      <c r="A822" s="20" t="s">
        <v>1845</v>
      </c>
      <c r="B822" t="s">
        <v>1187</v>
      </c>
      <c r="C822" t="s">
        <v>1841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 t="s">
        <v>53</v>
      </c>
      <c r="Q822" t="s">
        <v>53</v>
      </c>
      <c r="R822" t="s">
        <v>53</v>
      </c>
      <c r="S822" t="s">
        <v>53</v>
      </c>
      <c r="T822" t="s">
        <v>53</v>
      </c>
      <c r="U822" t="s">
        <v>53</v>
      </c>
      <c r="V822" t="s">
        <v>53</v>
      </c>
      <c r="W822" t="s">
        <v>53</v>
      </c>
      <c r="X822" s="22" t="s">
        <v>53</v>
      </c>
      <c r="Y822" s="22" t="s">
        <v>53</v>
      </c>
      <c r="Z822" s="22" t="s">
        <v>53</v>
      </c>
      <c r="AA822" s="22" t="s">
        <v>53</v>
      </c>
      <c r="AB822" t="s">
        <v>53</v>
      </c>
      <c r="AC822" t="s">
        <v>53</v>
      </c>
      <c r="AD822" t="s">
        <v>53</v>
      </c>
      <c r="AE822" t="s">
        <v>53</v>
      </c>
      <c r="AF822" s="22" t="s">
        <v>53</v>
      </c>
      <c r="AG822" s="22" t="s">
        <v>53</v>
      </c>
      <c r="AH822" s="22" t="s">
        <v>53</v>
      </c>
      <c r="AI822" s="22" t="s">
        <v>53</v>
      </c>
      <c r="AJ822">
        <v>431</v>
      </c>
      <c r="AK822">
        <v>642</v>
      </c>
      <c r="AL822">
        <v>23</v>
      </c>
      <c r="AM822">
        <v>141</v>
      </c>
      <c r="AN822" s="22">
        <v>0</v>
      </c>
      <c r="AO822" s="22">
        <v>0</v>
      </c>
      <c r="AP822" s="22">
        <v>0</v>
      </c>
      <c r="AQ822" s="22">
        <v>0</v>
      </c>
      <c r="AR822" s="35">
        <v>0</v>
      </c>
      <c r="AS822" s="35">
        <v>0</v>
      </c>
      <c r="AT822" s="35">
        <v>0</v>
      </c>
      <c r="AU822" s="31" t="str">
        <f t="shared" si="16"/>
        <v>库存为0</v>
      </c>
      <c r="AV822" s="36" t="str">
        <f>IFERROR(时间!$B$4+AU822,"上周无销量")</f>
        <v>上周无销量</v>
      </c>
    </row>
    <row r="823" spans="1:48">
      <c r="A823" s="20" t="s">
        <v>1846</v>
      </c>
      <c r="B823" t="s">
        <v>1177</v>
      </c>
      <c r="C823" t="s">
        <v>1841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0</v>
      </c>
      <c r="J823" s="33">
        <v>0</v>
      </c>
      <c r="K823" s="33">
        <v>0</v>
      </c>
      <c r="L823" s="33">
        <v>0</v>
      </c>
      <c r="M823">
        <v>0</v>
      </c>
      <c r="N823">
        <v>0</v>
      </c>
      <c r="O823">
        <v>0</v>
      </c>
      <c r="P823" t="s">
        <v>53</v>
      </c>
      <c r="Q823" t="s">
        <v>53</v>
      </c>
      <c r="R823" t="s">
        <v>53</v>
      </c>
      <c r="S823" t="s">
        <v>53</v>
      </c>
      <c r="T823" t="s">
        <v>53</v>
      </c>
      <c r="U823" t="s">
        <v>53</v>
      </c>
      <c r="V823" t="s">
        <v>53</v>
      </c>
      <c r="W823" t="s">
        <v>53</v>
      </c>
      <c r="X823" s="22" t="s">
        <v>53</v>
      </c>
      <c r="Y823" s="22" t="s">
        <v>53</v>
      </c>
      <c r="Z823" s="22" t="s">
        <v>53</v>
      </c>
      <c r="AA823" s="22" t="s">
        <v>53</v>
      </c>
      <c r="AB823" t="s">
        <v>53</v>
      </c>
      <c r="AC823" t="s">
        <v>53</v>
      </c>
      <c r="AD823" t="s">
        <v>53</v>
      </c>
      <c r="AE823" t="s">
        <v>53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557</v>
      </c>
      <c r="AK823">
        <v>855</v>
      </c>
      <c r="AL823">
        <v>1652</v>
      </c>
      <c r="AM823">
        <v>568</v>
      </c>
      <c r="AN823" s="22">
        <v>0</v>
      </c>
      <c r="AO823" s="22">
        <v>0</v>
      </c>
      <c r="AP823" s="22">
        <v>0</v>
      </c>
      <c r="AQ823" s="22">
        <v>0</v>
      </c>
      <c r="AR823" s="35">
        <v>0</v>
      </c>
      <c r="AS823" s="35">
        <v>0</v>
      </c>
      <c r="AT823" s="35">
        <v>0</v>
      </c>
      <c r="AU823" s="31" t="str">
        <f t="shared" si="16"/>
        <v>库存为0</v>
      </c>
      <c r="AV823" s="36" t="str">
        <f>IFERROR(时间!$B$4+AU823,"上周无销量")</f>
        <v>上周无销量</v>
      </c>
    </row>
    <row r="824" spans="1:48">
      <c r="A824" s="20" t="s">
        <v>1847</v>
      </c>
      <c r="B824" t="s">
        <v>1172</v>
      </c>
      <c r="C824" t="s">
        <v>1841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0</v>
      </c>
      <c r="J824" s="33">
        <v>0</v>
      </c>
      <c r="K824" s="33">
        <v>0</v>
      </c>
      <c r="L824" s="33">
        <v>0</v>
      </c>
      <c r="M824">
        <v>0</v>
      </c>
      <c r="N824">
        <v>0</v>
      </c>
      <c r="O824">
        <v>0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799</v>
      </c>
      <c r="AK824">
        <v>636</v>
      </c>
      <c r="AL824">
        <v>1075</v>
      </c>
      <c r="AM824">
        <v>786</v>
      </c>
      <c r="AN824" s="22">
        <v>0</v>
      </c>
      <c r="AO824" s="22">
        <v>0</v>
      </c>
      <c r="AP824" s="22">
        <v>0</v>
      </c>
      <c r="AQ824" s="22">
        <v>0</v>
      </c>
      <c r="AR824" s="35">
        <v>0</v>
      </c>
      <c r="AS824" s="35">
        <v>0</v>
      </c>
      <c r="AT824" s="35">
        <v>0</v>
      </c>
      <c r="AU824" s="31" t="str">
        <f t="shared" si="16"/>
        <v>库存为0</v>
      </c>
      <c r="AV824" s="36" t="str">
        <f>IFERROR(时间!$B$4+AU824,"上周无销量")</f>
        <v>上周无销量</v>
      </c>
    </row>
    <row r="825" spans="1:48">
      <c r="A825" s="20" t="s">
        <v>1848</v>
      </c>
      <c r="B825" t="s">
        <v>1175</v>
      </c>
      <c r="C825" t="s">
        <v>1841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0</v>
      </c>
      <c r="J825" s="33">
        <v>0</v>
      </c>
      <c r="K825" s="33">
        <v>0</v>
      </c>
      <c r="L825" s="33">
        <v>0</v>
      </c>
      <c r="M825">
        <v>0</v>
      </c>
      <c r="N825">
        <v>0</v>
      </c>
      <c r="O825">
        <v>0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2544</v>
      </c>
      <c r="AK825">
        <v>2494</v>
      </c>
      <c r="AL825">
        <v>2117</v>
      </c>
      <c r="AM825">
        <v>1330</v>
      </c>
      <c r="AN825" s="22">
        <v>0</v>
      </c>
      <c r="AO825" s="22">
        <v>0</v>
      </c>
      <c r="AP825" s="22">
        <v>0</v>
      </c>
      <c r="AQ825" s="22">
        <v>0</v>
      </c>
      <c r="AR825" s="35">
        <v>0</v>
      </c>
      <c r="AS825" s="35">
        <v>0</v>
      </c>
      <c r="AT825" s="35">
        <v>0</v>
      </c>
      <c r="AU825" s="31" t="str">
        <f t="shared" si="16"/>
        <v>库存为0</v>
      </c>
      <c r="AV825" s="36" t="str">
        <f>IFERROR(时间!$B$4+AU825,"上周无销量")</f>
        <v>上周无销量</v>
      </c>
    </row>
    <row r="826" spans="1:48">
      <c r="A826" s="20" t="s">
        <v>1849</v>
      </c>
      <c r="B826" t="s">
        <v>1494</v>
      </c>
      <c r="C826" t="s">
        <v>1841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0</v>
      </c>
      <c r="J826" s="33">
        <v>0</v>
      </c>
      <c r="K826" s="33">
        <v>0</v>
      </c>
      <c r="L826" s="33">
        <v>0</v>
      </c>
      <c r="M826">
        <v>0</v>
      </c>
      <c r="N826">
        <v>0</v>
      </c>
      <c r="O826">
        <v>0</v>
      </c>
      <c r="P826" t="s">
        <v>53</v>
      </c>
      <c r="Q826" t="s">
        <v>53</v>
      </c>
      <c r="R826" t="s">
        <v>53</v>
      </c>
      <c r="S826" t="s">
        <v>53</v>
      </c>
      <c r="T826" t="s">
        <v>53</v>
      </c>
      <c r="U826" t="s">
        <v>53</v>
      </c>
      <c r="V826" t="s">
        <v>53</v>
      </c>
      <c r="W826" t="s">
        <v>53</v>
      </c>
      <c r="X826" s="22" t="s">
        <v>53</v>
      </c>
      <c r="Y826" s="22" t="s">
        <v>53</v>
      </c>
      <c r="Z826" s="22" t="s">
        <v>53</v>
      </c>
      <c r="AA826" s="22" t="s">
        <v>53</v>
      </c>
      <c r="AB826" t="s">
        <v>53</v>
      </c>
      <c r="AC826" t="s">
        <v>53</v>
      </c>
      <c r="AD826" t="s">
        <v>53</v>
      </c>
      <c r="AE826" t="s">
        <v>53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517</v>
      </c>
      <c r="AK826">
        <v>660</v>
      </c>
      <c r="AL826">
        <v>1175</v>
      </c>
      <c r="AM826">
        <v>415</v>
      </c>
      <c r="AN826" s="22">
        <v>0</v>
      </c>
      <c r="AO826" s="22">
        <v>0</v>
      </c>
      <c r="AP826" s="22">
        <v>0</v>
      </c>
      <c r="AQ826" s="22">
        <v>0</v>
      </c>
      <c r="AR826" s="35">
        <v>0</v>
      </c>
      <c r="AS826" s="35">
        <v>0</v>
      </c>
      <c r="AT826" s="35">
        <v>0</v>
      </c>
      <c r="AU826" s="31" t="str">
        <f t="shared" si="16"/>
        <v>库存为0</v>
      </c>
      <c r="AV826" s="36" t="str">
        <f>IFERROR(时间!$B$4+AU826,"上周无销量")</f>
        <v>上周无销量</v>
      </c>
    </row>
    <row r="827" spans="1:48">
      <c r="A827" s="20" t="s">
        <v>1850</v>
      </c>
      <c r="B827" t="s">
        <v>1195</v>
      </c>
      <c r="C827" t="s">
        <v>1841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747</v>
      </c>
      <c r="AK827">
        <v>976</v>
      </c>
      <c r="AL827">
        <v>1666</v>
      </c>
      <c r="AM827">
        <v>597</v>
      </c>
      <c r="AN827" s="22">
        <v>0</v>
      </c>
      <c r="AO827" s="22">
        <v>0</v>
      </c>
      <c r="AP827" s="22">
        <v>0</v>
      </c>
      <c r="AQ827" s="22">
        <v>0</v>
      </c>
      <c r="AR827" s="35">
        <v>0</v>
      </c>
      <c r="AS827" s="35">
        <v>0</v>
      </c>
      <c r="AT827" s="35">
        <v>0</v>
      </c>
      <c r="AU827" s="31" t="str">
        <f t="shared" si="16"/>
        <v>库存为0</v>
      </c>
      <c r="AV827" s="36" t="str">
        <f>IFERROR(时间!$B$4+AU827,"上周无销量")</f>
        <v>上周无销量</v>
      </c>
    </row>
    <row r="828" spans="1:48">
      <c r="A828" s="20" t="s">
        <v>1851</v>
      </c>
      <c r="B828" t="s">
        <v>1189</v>
      </c>
      <c r="C828" t="s">
        <v>1841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0</v>
      </c>
      <c r="J828" s="33">
        <v>0</v>
      </c>
      <c r="K828" s="33">
        <v>0</v>
      </c>
      <c r="L828" s="33">
        <v>0</v>
      </c>
      <c r="M828">
        <v>0</v>
      </c>
      <c r="N828">
        <v>0</v>
      </c>
      <c r="O828">
        <v>0</v>
      </c>
      <c r="P828" t="s">
        <v>53</v>
      </c>
      <c r="Q828" t="s">
        <v>53</v>
      </c>
      <c r="R828" t="s">
        <v>53</v>
      </c>
      <c r="S828" t="s">
        <v>53</v>
      </c>
      <c r="T828" t="s">
        <v>53</v>
      </c>
      <c r="U828" t="s">
        <v>53</v>
      </c>
      <c r="V828" t="s">
        <v>53</v>
      </c>
      <c r="W828" t="s">
        <v>53</v>
      </c>
      <c r="X828" s="22" t="s">
        <v>53</v>
      </c>
      <c r="Y828" s="22" t="s">
        <v>53</v>
      </c>
      <c r="Z828" s="22" t="s">
        <v>53</v>
      </c>
      <c r="AA828" s="22" t="s">
        <v>53</v>
      </c>
      <c r="AB828" t="s">
        <v>53</v>
      </c>
      <c r="AC828" t="s">
        <v>53</v>
      </c>
      <c r="AD828" t="s">
        <v>53</v>
      </c>
      <c r="AE828" t="s">
        <v>53</v>
      </c>
      <c r="AF828" s="22" t="s">
        <v>53</v>
      </c>
      <c r="AG828" s="22" t="s">
        <v>53</v>
      </c>
      <c r="AH828" s="22" t="s">
        <v>53</v>
      </c>
      <c r="AI828" s="22" t="s">
        <v>53</v>
      </c>
      <c r="AJ828">
        <v>461</v>
      </c>
      <c r="AK828">
        <v>540</v>
      </c>
      <c r="AL828">
        <v>11</v>
      </c>
      <c r="AM828">
        <v>83</v>
      </c>
      <c r="AN828" s="22">
        <v>0</v>
      </c>
      <c r="AO828" s="22">
        <v>0</v>
      </c>
      <c r="AP828" s="22">
        <v>0</v>
      </c>
      <c r="AQ828" s="22">
        <v>0</v>
      </c>
      <c r="AR828" s="35">
        <v>0</v>
      </c>
      <c r="AS828" s="35">
        <v>0</v>
      </c>
      <c r="AT828" s="35">
        <v>0</v>
      </c>
      <c r="AU828" s="31" t="str">
        <f t="shared" si="16"/>
        <v>库存为0</v>
      </c>
      <c r="AV828" s="36" t="str">
        <f>IFERROR(时间!$B$4+AU828,"上周无销量")</f>
        <v>上周无销量</v>
      </c>
    </row>
    <row r="829" spans="1:48">
      <c r="A829" s="20" t="s">
        <v>1852</v>
      </c>
      <c r="B829" t="s">
        <v>1191</v>
      </c>
      <c r="C829" t="s">
        <v>1841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0</v>
      </c>
      <c r="J829" s="33">
        <v>0</v>
      </c>
      <c r="K829" s="33">
        <v>0</v>
      </c>
      <c r="L829" s="33">
        <v>0</v>
      </c>
      <c r="M829">
        <v>0</v>
      </c>
      <c r="N829">
        <v>0</v>
      </c>
      <c r="O829">
        <v>0</v>
      </c>
      <c r="P829" t="s">
        <v>53</v>
      </c>
      <c r="Q829" t="s">
        <v>53</v>
      </c>
      <c r="R829" t="s">
        <v>53</v>
      </c>
      <c r="S829" t="s">
        <v>53</v>
      </c>
      <c r="T829" t="s">
        <v>53</v>
      </c>
      <c r="U829" t="s">
        <v>53</v>
      </c>
      <c r="V829" t="s">
        <v>53</v>
      </c>
      <c r="W829" t="s">
        <v>53</v>
      </c>
      <c r="X829" s="22" t="s">
        <v>53</v>
      </c>
      <c r="Y829" s="22" t="s">
        <v>53</v>
      </c>
      <c r="Z829" s="22" t="s">
        <v>53</v>
      </c>
      <c r="AA829" s="22" t="s">
        <v>53</v>
      </c>
      <c r="AB829" t="s">
        <v>53</v>
      </c>
      <c r="AC829" t="s">
        <v>53</v>
      </c>
      <c r="AD829" t="s">
        <v>53</v>
      </c>
      <c r="AE829" t="s">
        <v>53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409</v>
      </c>
      <c r="AK829">
        <v>554</v>
      </c>
      <c r="AL829">
        <v>1111</v>
      </c>
      <c r="AM829">
        <v>397</v>
      </c>
      <c r="AN829" s="22">
        <v>0</v>
      </c>
      <c r="AO829" s="22">
        <v>0</v>
      </c>
      <c r="AP829" s="22">
        <v>0</v>
      </c>
      <c r="AQ829" s="22">
        <v>0</v>
      </c>
      <c r="AR829" s="35">
        <v>0</v>
      </c>
      <c r="AS829" s="35">
        <v>0</v>
      </c>
      <c r="AT829" s="35">
        <v>0</v>
      </c>
      <c r="AU829" s="31" t="str">
        <f t="shared" si="16"/>
        <v>库存为0</v>
      </c>
      <c r="AV829" s="36" t="str">
        <f>IFERROR(时间!$B$4+AU829,"上周无销量")</f>
        <v>上周无销量</v>
      </c>
    </row>
    <row r="830" spans="1:48">
      <c r="A830" s="20" t="s">
        <v>1853</v>
      </c>
      <c r="B830" t="s">
        <v>1185</v>
      </c>
      <c r="C830" t="s">
        <v>1841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0</v>
      </c>
      <c r="J830" s="33">
        <v>0</v>
      </c>
      <c r="K830" s="33">
        <v>0</v>
      </c>
      <c r="L830" s="33">
        <v>0</v>
      </c>
      <c r="M830">
        <v>0</v>
      </c>
      <c r="N830">
        <v>0</v>
      </c>
      <c r="O830">
        <v>0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506</v>
      </c>
      <c r="AK830">
        <v>619</v>
      </c>
      <c r="AL830">
        <v>19</v>
      </c>
      <c r="AM830">
        <v>106</v>
      </c>
      <c r="AN830" s="22">
        <v>0</v>
      </c>
      <c r="AO830" s="22">
        <v>0</v>
      </c>
      <c r="AP830" s="22">
        <v>0</v>
      </c>
      <c r="AQ830" s="22">
        <v>0</v>
      </c>
      <c r="AR830" s="35">
        <v>0</v>
      </c>
      <c r="AS830" s="35">
        <v>0</v>
      </c>
      <c r="AT830" s="35">
        <v>0</v>
      </c>
      <c r="AU830" s="31" t="str">
        <f t="shared" si="16"/>
        <v>库存为0</v>
      </c>
      <c r="AV830" s="36" t="str">
        <f>IFERROR(时间!$B$4+AU830,"上周无销量")</f>
        <v>上周无销量</v>
      </c>
    </row>
    <row r="831" spans="1:48">
      <c r="A831" s="20" t="s">
        <v>1854</v>
      </c>
      <c r="B831" t="s">
        <v>1193</v>
      </c>
      <c r="C831" t="s">
        <v>1841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0</v>
      </c>
      <c r="J831" s="33">
        <v>0</v>
      </c>
      <c r="K831" s="33">
        <v>0</v>
      </c>
      <c r="L831" s="33">
        <v>0</v>
      </c>
      <c r="M831">
        <v>0</v>
      </c>
      <c r="N831">
        <v>0</v>
      </c>
      <c r="O831">
        <v>0</v>
      </c>
      <c r="P831" t="s">
        <v>53</v>
      </c>
      <c r="Q831" t="s">
        <v>53</v>
      </c>
      <c r="R831" t="s">
        <v>53</v>
      </c>
      <c r="S831" t="s">
        <v>53</v>
      </c>
      <c r="T831" t="s">
        <v>53</v>
      </c>
      <c r="U831" t="s">
        <v>53</v>
      </c>
      <c r="V831" t="s">
        <v>53</v>
      </c>
      <c r="W831" t="s">
        <v>53</v>
      </c>
      <c r="X831" s="22" t="s">
        <v>53</v>
      </c>
      <c r="Y831" s="22" t="s">
        <v>53</v>
      </c>
      <c r="Z831" s="22" t="s">
        <v>53</v>
      </c>
      <c r="AA831" s="22" t="s">
        <v>53</v>
      </c>
      <c r="AB831" t="s">
        <v>53</v>
      </c>
      <c r="AC831" t="s">
        <v>53</v>
      </c>
      <c r="AD831" t="s">
        <v>53</v>
      </c>
      <c r="AE831" t="s">
        <v>53</v>
      </c>
      <c r="AF831" s="22" t="s">
        <v>53</v>
      </c>
      <c r="AG831" s="22" t="s">
        <v>53</v>
      </c>
      <c r="AH831" s="22" t="s">
        <v>53</v>
      </c>
      <c r="AI831" s="22" t="s">
        <v>53</v>
      </c>
      <c r="AJ831">
        <v>564</v>
      </c>
      <c r="AK831">
        <v>655</v>
      </c>
      <c r="AL831">
        <v>3466</v>
      </c>
      <c r="AM831">
        <v>426</v>
      </c>
      <c r="AN831" s="22">
        <v>0</v>
      </c>
      <c r="AO831" s="22">
        <v>0</v>
      </c>
      <c r="AP831" s="22">
        <v>0</v>
      </c>
      <c r="AQ831" s="22">
        <v>0</v>
      </c>
      <c r="AR831" s="35">
        <v>0</v>
      </c>
      <c r="AS831" s="35">
        <v>0</v>
      </c>
      <c r="AT831" s="35">
        <v>0</v>
      </c>
      <c r="AU831" s="31" t="str">
        <f t="shared" si="16"/>
        <v>库存为0</v>
      </c>
      <c r="AV831" s="36" t="str">
        <f>IFERROR(时间!$B$4+AU831,"上周无销量")</f>
        <v>上周无销量</v>
      </c>
    </row>
    <row r="832" spans="1:48">
      <c r="A832" s="20" t="s">
        <v>1855</v>
      </c>
      <c r="B832" t="s">
        <v>1856</v>
      </c>
      <c r="C832" t="s">
        <v>1857</v>
      </c>
      <c r="D832" s="31">
        <v>1</v>
      </c>
      <c r="E832" s="31">
        <v>1</v>
      </c>
      <c r="F832" s="31">
        <v>2</v>
      </c>
      <c r="G832" s="31">
        <v>2</v>
      </c>
      <c r="H832" s="32">
        <v>15.99</v>
      </c>
      <c r="I832">
        <v>8</v>
      </c>
      <c r="J832" s="33">
        <v>15</v>
      </c>
      <c r="K832" s="33">
        <v>0</v>
      </c>
      <c r="L832" s="33">
        <v>0</v>
      </c>
      <c r="M832">
        <v>23</v>
      </c>
      <c r="N832">
        <v>0</v>
      </c>
      <c r="O832">
        <v>0</v>
      </c>
      <c r="P832" t="s">
        <v>53</v>
      </c>
      <c r="Q832" t="s">
        <v>53</v>
      </c>
      <c r="R832" t="s">
        <v>53</v>
      </c>
      <c r="S832" t="s">
        <v>53</v>
      </c>
      <c r="T832" t="s">
        <v>53</v>
      </c>
      <c r="U832" t="s">
        <v>53</v>
      </c>
      <c r="V832" t="s">
        <v>53</v>
      </c>
      <c r="W832" t="s">
        <v>53</v>
      </c>
      <c r="X832" s="22" t="s">
        <v>53</v>
      </c>
      <c r="Y832" s="22" t="s">
        <v>53</v>
      </c>
      <c r="Z832" s="22" t="s">
        <v>53</v>
      </c>
      <c r="AA832" s="22" t="s">
        <v>53</v>
      </c>
      <c r="AB832" t="s">
        <v>53</v>
      </c>
      <c r="AC832" t="s">
        <v>53</v>
      </c>
      <c r="AD832" t="s">
        <v>53</v>
      </c>
      <c r="AE832" t="s">
        <v>53</v>
      </c>
      <c r="AF832" s="22" t="s">
        <v>53</v>
      </c>
      <c r="AG832" s="22" t="s">
        <v>53</v>
      </c>
      <c r="AH832" s="22" t="s">
        <v>53</v>
      </c>
      <c r="AI832" s="22" t="s">
        <v>53</v>
      </c>
      <c r="AJ832">
        <v>31</v>
      </c>
      <c r="AK832">
        <v>38</v>
      </c>
      <c r="AL832">
        <v>19</v>
      </c>
      <c r="AM832">
        <v>12</v>
      </c>
      <c r="AN832" s="22">
        <v>0.032258064516129</v>
      </c>
      <c r="AO832" s="22">
        <v>0.0263157894736842</v>
      </c>
      <c r="AP832" s="22">
        <v>0.105263157894737</v>
      </c>
      <c r="AQ832" s="22">
        <v>0.166666666666667</v>
      </c>
      <c r="AR832" s="35">
        <v>0.142857142857143</v>
      </c>
      <c r="AS832" s="35">
        <v>8.57142857142857</v>
      </c>
      <c r="AT832" s="35">
        <v>14.4285714285714</v>
      </c>
      <c r="AU832" s="31">
        <f t="shared" si="16"/>
        <v>161</v>
      </c>
      <c r="AV832" s="36">
        <f>IFERROR(时间!$B$4+AU832,"上周无销量")</f>
        <v>43479</v>
      </c>
    </row>
    <row r="833" spans="1:48">
      <c r="A833" s="20" t="s">
        <v>1858</v>
      </c>
      <c r="B833" t="s">
        <v>1859</v>
      </c>
      <c r="C833" t="s">
        <v>1857</v>
      </c>
      <c r="D833" s="31">
        <v>0</v>
      </c>
      <c r="E833" s="31">
        <v>1</v>
      </c>
      <c r="F833" s="31">
        <v>0</v>
      </c>
      <c r="G833" s="31">
        <v>0</v>
      </c>
      <c r="H833" s="32">
        <v>15.19</v>
      </c>
      <c r="I833">
        <v>9</v>
      </c>
      <c r="J833" s="33">
        <v>0</v>
      </c>
      <c r="K833" s="33">
        <v>0</v>
      </c>
      <c r="L833" s="33">
        <v>0</v>
      </c>
      <c r="M833">
        <v>9</v>
      </c>
      <c r="N833">
        <v>0</v>
      </c>
      <c r="O833">
        <v>0</v>
      </c>
      <c r="P833" t="s">
        <v>53</v>
      </c>
      <c r="Q833" t="s">
        <v>53</v>
      </c>
      <c r="R833" t="s">
        <v>53</v>
      </c>
      <c r="S833" t="s">
        <v>53</v>
      </c>
      <c r="T833" t="s">
        <v>53</v>
      </c>
      <c r="U833" t="s">
        <v>53</v>
      </c>
      <c r="V833" t="s">
        <v>53</v>
      </c>
      <c r="W833" t="s">
        <v>53</v>
      </c>
      <c r="X833" s="22" t="s">
        <v>53</v>
      </c>
      <c r="Y833" s="22" t="s">
        <v>53</v>
      </c>
      <c r="Z833" s="22" t="s">
        <v>53</v>
      </c>
      <c r="AA833" s="22" t="s">
        <v>53</v>
      </c>
      <c r="AB833" t="s">
        <v>53</v>
      </c>
      <c r="AC833" t="s">
        <v>53</v>
      </c>
      <c r="AD833" t="s">
        <v>53</v>
      </c>
      <c r="AE833" t="s">
        <v>53</v>
      </c>
      <c r="AF833" s="22" t="s">
        <v>53</v>
      </c>
      <c r="AG833" s="22" t="s">
        <v>53</v>
      </c>
      <c r="AH833" s="22" t="s">
        <v>53</v>
      </c>
      <c r="AI833" s="22" t="s">
        <v>53</v>
      </c>
      <c r="AJ833">
        <v>11</v>
      </c>
      <c r="AK833">
        <v>20</v>
      </c>
      <c r="AL833">
        <v>7</v>
      </c>
      <c r="AM833">
        <v>7</v>
      </c>
      <c r="AN833" s="22">
        <v>0</v>
      </c>
      <c r="AO833" s="22">
        <v>0.05</v>
      </c>
      <c r="AP833" s="22">
        <v>0</v>
      </c>
      <c r="AQ833" s="22">
        <v>0</v>
      </c>
      <c r="AR833" s="35">
        <v>0</v>
      </c>
      <c r="AS833" s="35">
        <v>0</v>
      </c>
      <c r="AT833" s="35">
        <v>9</v>
      </c>
      <c r="AU833" s="31" t="str">
        <f t="shared" si="16"/>
        <v>库存为9</v>
      </c>
      <c r="AV833" s="36" t="str">
        <f>IFERROR(时间!$B$4+AU833,"上周无销量")</f>
        <v>上周无销量</v>
      </c>
    </row>
    <row r="834" spans="1:48">
      <c r="A834" s="20" t="s">
        <v>1860</v>
      </c>
      <c r="B834" t="s">
        <v>1861</v>
      </c>
      <c r="C834" t="s">
        <v>1857</v>
      </c>
      <c r="D834" s="31">
        <v>0</v>
      </c>
      <c r="E834" s="31">
        <v>0</v>
      </c>
      <c r="F834" s="31">
        <v>0</v>
      </c>
      <c r="G834" s="31">
        <v>1</v>
      </c>
      <c r="H834" s="32">
        <v>15.19</v>
      </c>
      <c r="I834">
        <v>8</v>
      </c>
      <c r="J834" s="33">
        <v>6</v>
      </c>
      <c r="K834" s="33">
        <v>0</v>
      </c>
      <c r="L834" s="33">
        <v>0</v>
      </c>
      <c r="M834">
        <v>14</v>
      </c>
      <c r="N834">
        <v>0</v>
      </c>
      <c r="O834">
        <v>0</v>
      </c>
      <c r="P834" t="s">
        <v>53</v>
      </c>
      <c r="Q834" t="s">
        <v>53</v>
      </c>
      <c r="R834" t="s">
        <v>53</v>
      </c>
      <c r="S834" t="s">
        <v>53</v>
      </c>
      <c r="T834" t="s">
        <v>53</v>
      </c>
      <c r="U834" t="s">
        <v>53</v>
      </c>
      <c r="V834" t="s">
        <v>53</v>
      </c>
      <c r="W834" t="s">
        <v>53</v>
      </c>
      <c r="X834" s="22" t="s">
        <v>53</v>
      </c>
      <c r="Y834" s="22" t="s">
        <v>53</v>
      </c>
      <c r="Z834" s="22" t="s">
        <v>53</v>
      </c>
      <c r="AA834" s="22" t="s">
        <v>53</v>
      </c>
      <c r="AB834" t="s">
        <v>53</v>
      </c>
      <c r="AC834" t="s">
        <v>53</v>
      </c>
      <c r="AD834" t="s">
        <v>53</v>
      </c>
      <c r="AE834" t="s">
        <v>53</v>
      </c>
      <c r="AF834" s="22" t="s">
        <v>53</v>
      </c>
      <c r="AG834" s="22" t="s">
        <v>53</v>
      </c>
      <c r="AH834" s="22" t="s">
        <v>53</v>
      </c>
      <c r="AI834" s="22" t="s">
        <v>53</v>
      </c>
      <c r="AJ834">
        <v>7</v>
      </c>
      <c r="AK834">
        <v>7</v>
      </c>
      <c r="AL834">
        <v>2</v>
      </c>
      <c r="AM834">
        <v>5</v>
      </c>
      <c r="AN834" s="22">
        <v>0</v>
      </c>
      <c r="AO834" s="22">
        <v>0</v>
      </c>
      <c r="AP834" s="22">
        <v>0</v>
      </c>
      <c r="AQ834" s="22">
        <v>0.2</v>
      </c>
      <c r="AR834" s="35">
        <v>0</v>
      </c>
      <c r="AS834" s="35">
        <v>0</v>
      </c>
      <c r="AT834" s="35">
        <v>14</v>
      </c>
      <c r="AU834" s="31" t="str">
        <f t="shared" si="16"/>
        <v>库存为14</v>
      </c>
      <c r="AV834" s="36" t="str">
        <f>IFERROR(时间!$B$4+AU834,"上周无销量")</f>
        <v>上周无销量</v>
      </c>
    </row>
    <row r="835" spans="1:48">
      <c r="A835" s="20" t="s">
        <v>1862</v>
      </c>
      <c r="B835" t="s">
        <v>1863</v>
      </c>
      <c r="C835" t="s">
        <v>1857</v>
      </c>
      <c r="D835" s="31">
        <v>0</v>
      </c>
      <c r="E835" s="31">
        <v>0</v>
      </c>
      <c r="F835" s="31">
        <v>1</v>
      </c>
      <c r="G835" s="31">
        <v>0</v>
      </c>
      <c r="H835" s="32">
        <v>15.99</v>
      </c>
      <c r="I835">
        <v>13</v>
      </c>
      <c r="J835" s="33">
        <v>15</v>
      </c>
      <c r="K835" s="33">
        <v>0</v>
      </c>
      <c r="L835" s="33">
        <v>0</v>
      </c>
      <c r="M835">
        <v>28</v>
      </c>
      <c r="N835">
        <v>0</v>
      </c>
      <c r="O835">
        <v>0</v>
      </c>
      <c r="P835" t="s">
        <v>53</v>
      </c>
      <c r="Q835" t="s">
        <v>53</v>
      </c>
      <c r="R835" t="s">
        <v>53</v>
      </c>
      <c r="S835" t="s">
        <v>53</v>
      </c>
      <c r="T835" t="s">
        <v>53</v>
      </c>
      <c r="U835" t="s">
        <v>53</v>
      </c>
      <c r="V835" t="s">
        <v>53</v>
      </c>
      <c r="W835" t="s">
        <v>53</v>
      </c>
      <c r="X835" s="22" t="s">
        <v>53</v>
      </c>
      <c r="Y835" s="22" t="s">
        <v>53</v>
      </c>
      <c r="Z835" s="22" t="s">
        <v>53</v>
      </c>
      <c r="AA835" s="22" t="s">
        <v>53</v>
      </c>
      <c r="AB835" t="s">
        <v>53</v>
      </c>
      <c r="AC835" t="s">
        <v>53</v>
      </c>
      <c r="AD835" t="s">
        <v>53</v>
      </c>
      <c r="AE835" t="s">
        <v>53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10</v>
      </c>
      <c r="AK835">
        <v>11</v>
      </c>
      <c r="AL835">
        <v>8</v>
      </c>
      <c r="AM835">
        <v>3</v>
      </c>
      <c r="AN835" s="22">
        <v>0</v>
      </c>
      <c r="AO835" s="22">
        <v>0</v>
      </c>
      <c r="AP835" s="22">
        <v>0.125</v>
      </c>
      <c r="AQ835" s="22">
        <v>0</v>
      </c>
      <c r="AR835" s="35">
        <v>0</v>
      </c>
      <c r="AS835" s="35">
        <v>0</v>
      </c>
      <c r="AT835" s="35">
        <v>28</v>
      </c>
      <c r="AU835" s="31" t="str">
        <f t="shared" si="16"/>
        <v>库存为28</v>
      </c>
      <c r="AV835" s="36" t="str">
        <f>IFERROR(时间!$B$4+AU835,"上周无销量")</f>
        <v>上周无销量</v>
      </c>
    </row>
    <row r="836" spans="1:48">
      <c r="A836" s="20" t="s">
        <v>1864</v>
      </c>
      <c r="B836" t="s">
        <v>1865</v>
      </c>
      <c r="C836" t="s">
        <v>1857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10</v>
      </c>
      <c r="J836" s="33">
        <v>8</v>
      </c>
      <c r="K836" s="33">
        <v>0</v>
      </c>
      <c r="L836" s="33">
        <v>0</v>
      </c>
      <c r="M836">
        <v>18</v>
      </c>
      <c r="N836">
        <v>0</v>
      </c>
      <c r="O836">
        <v>0</v>
      </c>
      <c r="P836" t="s">
        <v>53</v>
      </c>
      <c r="Q836" t="s">
        <v>53</v>
      </c>
      <c r="R836" t="s">
        <v>53</v>
      </c>
      <c r="S836" t="s">
        <v>53</v>
      </c>
      <c r="T836" t="s">
        <v>53</v>
      </c>
      <c r="U836" t="s">
        <v>53</v>
      </c>
      <c r="V836" t="s">
        <v>53</v>
      </c>
      <c r="W836" t="s">
        <v>53</v>
      </c>
      <c r="X836" s="22" t="s">
        <v>53</v>
      </c>
      <c r="Y836" s="22" t="s">
        <v>53</v>
      </c>
      <c r="Z836" s="22" t="s">
        <v>53</v>
      </c>
      <c r="AA836" s="22" t="s">
        <v>53</v>
      </c>
      <c r="AB836" t="s">
        <v>53</v>
      </c>
      <c r="AC836" t="s">
        <v>53</v>
      </c>
      <c r="AD836" t="s">
        <v>53</v>
      </c>
      <c r="AE836" t="s">
        <v>53</v>
      </c>
      <c r="AF836" s="22" t="s">
        <v>53</v>
      </c>
      <c r="AG836" s="22" t="s">
        <v>53</v>
      </c>
      <c r="AH836" s="22" t="s">
        <v>53</v>
      </c>
      <c r="AI836" s="22" t="s">
        <v>53</v>
      </c>
      <c r="AJ836">
        <v>9</v>
      </c>
      <c r="AK836">
        <v>6</v>
      </c>
      <c r="AL836">
        <v>4</v>
      </c>
      <c r="AM836">
        <v>6</v>
      </c>
      <c r="AN836" s="22">
        <v>0</v>
      </c>
      <c r="AO836" s="22">
        <v>0</v>
      </c>
      <c r="AP836" s="22">
        <v>0</v>
      </c>
      <c r="AQ836" s="22">
        <v>0</v>
      </c>
      <c r="AR836" s="35">
        <v>0</v>
      </c>
      <c r="AS836" s="35">
        <v>0</v>
      </c>
      <c r="AT836" s="35">
        <v>18</v>
      </c>
      <c r="AU836" s="31" t="str">
        <f t="shared" si="16"/>
        <v>库存为18</v>
      </c>
      <c r="AV836" s="36" t="str">
        <f>IFERROR(时间!$B$4+AU836,"上周无销量")</f>
        <v>上周无销量</v>
      </c>
    </row>
    <row r="837" spans="1:48">
      <c r="A837" s="20" t="s">
        <v>1866</v>
      </c>
      <c r="B837" t="s">
        <v>1867</v>
      </c>
      <c r="C837" t="s">
        <v>1868</v>
      </c>
      <c r="D837" s="31">
        <v>0</v>
      </c>
      <c r="E837" s="31">
        <v>1</v>
      </c>
      <c r="F837" s="31">
        <v>1</v>
      </c>
      <c r="G837" s="31">
        <v>0</v>
      </c>
      <c r="H837" s="32">
        <v>12.99</v>
      </c>
      <c r="I837">
        <v>8</v>
      </c>
      <c r="J837" s="33">
        <v>0</v>
      </c>
      <c r="K837" s="33">
        <v>0</v>
      </c>
      <c r="L837" s="33">
        <v>0</v>
      </c>
      <c r="M837">
        <v>8</v>
      </c>
      <c r="N837">
        <v>0</v>
      </c>
      <c r="O837">
        <v>0</v>
      </c>
      <c r="P837" t="s">
        <v>53</v>
      </c>
      <c r="Q837" t="s">
        <v>53</v>
      </c>
      <c r="R837" t="s">
        <v>53</v>
      </c>
      <c r="S837" t="s">
        <v>53</v>
      </c>
      <c r="T837" t="s">
        <v>53</v>
      </c>
      <c r="U837" t="s">
        <v>53</v>
      </c>
      <c r="V837" t="s">
        <v>53</v>
      </c>
      <c r="W837" t="s">
        <v>53</v>
      </c>
      <c r="X837" s="22" t="s">
        <v>53</v>
      </c>
      <c r="Y837" s="22" t="s">
        <v>53</v>
      </c>
      <c r="Z837" s="22" t="s">
        <v>53</v>
      </c>
      <c r="AA837" s="22" t="s">
        <v>53</v>
      </c>
      <c r="AB837" t="s">
        <v>53</v>
      </c>
      <c r="AC837" t="s">
        <v>53</v>
      </c>
      <c r="AD837" t="s">
        <v>53</v>
      </c>
      <c r="AE837" t="s">
        <v>53</v>
      </c>
      <c r="AF837" s="22" t="s">
        <v>53</v>
      </c>
      <c r="AG837" s="22" t="s">
        <v>53</v>
      </c>
      <c r="AH837" s="22" t="s">
        <v>53</v>
      </c>
      <c r="AI837" s="22" t="s">
        <v>53</v>
      </c>
      <c r="AJ837">
        <v>2</v>
      </c>
      <c r="AK837">
        <v>9</v>
      </c>
      <c r="AL837">
        <v>6</v>
      </c>
      <c r="AM837">
        <v>5</v>
      </c>
      <c r="AN837" s="22">
        <v>0</v>
      </c>
      <c r="AO837" s="22">
        <v>0.111111111111111</v>
      </c>
      <c r="AP837" s="22">
        <v>0.166666666666667</v>
      </c>
      <c r="AQ837" s="22">
        <v>0</v>
      </c>
      <c r="AR837" s="35">
        <v>0</v>
      </c>
      <c r="AS837" s="35">
        <v>0</v>
      </c>
      <c r="AT837" s="35">
        <v>8</v>
      </c>
      <c r="AU837" s="31" t="str">
        <f t="shared" ref="AU837:AU900" si="17">IF(AR837="","库存为"&amp;M837,IF(AS837=0,"库存为"&amp;M837,INT(M837/AR837)))</f>
        <v>库存为8</v>
      </c>
      <c r="AV837" s="36" t="str">
        <f>IFERROR(时间!$B$4+AU837,"上周无销量")</f>
        <v>上周无销量</v>
      </c>
    </row>
    <row r="838" spans="1:48">
      <c r="A838" s="20" t="s">
        <v>1869</v>
      </c>
      <c r="B838" t="s">
        <v>1870</v>
      </c>
      <c r="C838" t="s">
        <v>1868</v>
      </c>
      <c r="D838" s="31">
        <v>0</v>
      </c>
      <c r="E838" s="31">
        <v>1</v>
      </c>
      <c r="F838" s="31">
        <v>3</v>
      </c>
      <c r="G838" s="31">
        <v>0</v>
      </c>
      <c r="H838" s="32">
        <v>12.99</v>
      </c>
      <c r="I838">
        <v>5</v>
      </c>
      <c r="J838" s="33">
        <v>0</v>
      </c>
      <c r="K838" s="33">
        <v>0</v>
      </c>
      <c r="L838" s="33">
        <v>0</v>
      </c>
      <c r="M838">
        <v>5</v>
      </c>
      <c r="N838">
        <v>0</v>
      </c>
      <c r="O838">
        <v>0</v>
      </c>
      <c r="P838" t="s">
        <v>53</v>
      </c>
      <c r="Q838" t="s">
        <v>53</v>
      </c>
      <c r="R838" t="s">
        <v>53</v>
      </c>
      <c r="S838" t="s">
        <v>53</v>
      </c>
      <c r="T838" t="s">
        <v>53</v>
      </c>
      <c r="U838" t="s">
        <v>53</v>
      </c>
      <c r="V838" t="s">
        <v>53</v>
      </c>
      <c r="W838" t="s">
        <v>53</v>
      </c>
      <c r="X838" s="22" t="s">
        <v>53</v>
      </c>
      <c r="Y838" s="22" t="s">
        <v>53</v>
      </c>
      <c r="Z838" s="22" t="s">
        <v>53</v>
      </c>
      <c r="AA838" s="22" t="s">
        <v>53</v>
      </c>
      <c r="AB838" t="s">
        <v>53</v>
      </c>
      <c r="AC838" t="s">
        <v>53</v>
      </c>
      <c r="AD838" t="s">
        <v>53</v>
      </c>
      <c r="AE838" t="s">
        <v>53</v>
      </c>
      <c r="AF838" s="22" t="s">
        <v>53</v>
      </c>
      <c r="AG838" s="22" t="s">
        <v>53</v>
      </c>
      <c r="AH838" s="22" t="s">
        <v>53</v>
      </c>
      <c r="AI838" s="22" t="s">
        <v>53</v>
      </c>
      <c r="AJ838">
        <v>21</v>
      </c>
      <c r="AK838">
        <v>29</v>
      </c>
      <c r="AL838">
        <v>25</v>
      </c>
      <c r="AM838">
        <v>24</v>
      </c>
      <c r="AN838" s="22">
        <v>0</v>
      </c>
      <c r="AO838" s="22">
        <v>0.0344827586206897</v>
      </c>
      <c r="AP838" s="22">
        <v>0.12</v>
      </c>
      <c r="AQ838" s="22">
        <v>0</v>
      </c>
      <c r="AR838" s="35">
        <v>0</v>
      </c>
      <c r="AS838" s="35">
        <v>0</v>
      </c>
      <c r="AT838" s="35">
        <v>5</v>
      </c>
      <c r="AU838" s="31" t="str">
        <f t="shared" si="17"/>
        <v>库存为5</v>
      </c>
      <c r="AV838" s="36" t="str">
        <f>IFERROR(时间!$B$4+AU838,"上周无销量")</f>
        <v>上周无销量</v>
      </c>
    </row>
    <row r="839" spans="1:48">
      <c r="A839" s="20" t="s">
        <v>1871</v>
      </c>
      <c r="B839" t="s">
        <v>1872</v>
      </c>
      <c r="C839" t="s">
        <v>1868</v>
      </c>
      <c r="D839" s="31">
        <v>3</v>
      </c>
      <c r="E839" s="31">
        <v>2</v>
      </c>
      <c r="F839" s="31">
        <v>2</v>
      </c>
      <c r="G839" s="31">
        <v>0</v>
      </c>
      <c r="H839" s="32">
        <v>12.99</v>
      </c>
      <c r="I839">
        <v>1</v>
      </c>
      <c r="J839" s="33">
        <v>0</v>
      </c>
      <c r="K839" s="33">
        <v>0</v>
      </c>
      <c r="L839" s="33">
        <v>1</v>
      </c>
      <c r="M839">
        <v>2</v>
      </c>
      <c r="N839">
        <v>0</v>
      </c>
      <c r="O839">
        <v>0</v>
      </c>
      <c r="P839">
        <v>123</v>
      </c>
      <c r="Q839">
        <v>429</v>
      </c>
      <c r="R839">
        <v>234</v>
      </c>
      <c r="S839">
        <v>83</v>
      </c>
      <c r="T839">
        <v>1</v>
      </c>
      <c r="U839">
        <v>5</v>
      </c>
      <c r="V839">
        <v>1</v>
      </c>
      <c r="W839">
        <v>1</v>
      </c>
      <c r="X839" s="22">
        <v>0.00813008130081301</v>
      </c>
      <c r="Y839" s="22">
        <v>0.0116550116550117</v>
      </c>
      <c r="Z839" s="22">
        <v>0.00427350427350427</v>
      </c>
      <c r="AA839" s="22">
        <v>0.0120481927710843</v>
      </c>
      <c r="AB839">
        <v>0.02</v>
      </c>
      <c r="AC839">
        <v>1.57</v>
      </c>
      <c r="AD839">
        <v>0.45</v>
      </c>
      <c r="AE839">
        <v>0.15</v>
      </c>
      <c r="AF839" s="22">
        <v>0.000513215293815756</v>
      </c>
      <c r="AG839" s="22">
        <v>0.0604311008468052</v>
      </c>
      <c r="AH839" s="22">
        <v>0.0173210161662818</v>
      </c>
      <c r="AI839" s="22" t="s">
        <v>1804</v>
      </c>
      <c r="AJ839">
        <v>7</v>
      </c>
      <c r="AK839">
        <v>16</v>
      </c>
      <c r="AL839">
        <v>13</v>
      </c>
      <c r="AM839">
        <v>14</v>
      </c>
      <c r="AN839" s="22">
        <v>0.428571428571429</v>
      </c>
      <c r="AO839" s="22">
        <v>0.125</v>
      </c>
      <c r="AP839" s="22">
        <v>0.153846153846154</v>
      </c>
      <c r="AQ839" s="22">
        <v>0</v>
      </c>
      <c r="AR839" s="35">
        <v>0.428571428571429</v>
      </c>
      <c r="AS839" s="35">
        <v>25.7142857142857</v>
      </c>
      <c r="AT839" s="35">
        <v>-23.7142857142857</v>
      </c>
      <c r="AU839" s="31">
        <f t="shared" si="17"/>
        <v>4</v>
      </c>
      <c r="AV839" s="36">
        <f>IFERROR(时间!$B$4+AU839,"上周无销量")</f>
        <v>43322</v>
      </c>
    </row>
    <row r="840" spans="1:48">
      <c r="A840" s="20" t="s">
        <v>1873</v>
      </c>
      <c r="B840" t="s">
        <v>1874</v>
      </c>
      <c r="C840" t="s">
        <v>1875</v>
      </c>
      <c r="D840" s="31">
        <v>0</v>
      </c>
      <c r="E840" s="31">
        <v>1</v>
      </c>
      <c r="F840" s="31">
        <v>1</v>
      </c>
      <c r="G840" s="31">
        <v>1</v>
      </c>
      <c r="H840" s="32">
        <v>15.99</v>
      </c>
      <c r="I840">
        <v>10</v>
      </c>
      <c r="J840" s="33">
        <v>0</v>
      </c>
      <c r="K840" s="33">
        <v>0</v>
      </c>
      <c r="L840" s="33">
        <v>0</v>
      </c>
      <c r="M840">
        <v>10</v>
      </c>
      <c r="N840">
        <v>0</v>
      </c>
      <c r="O840">
        <v>0</v>
      </c>
      <c r="P840" t="s">
        <v>53</v>
      </c>
      <c r="Q840" t="s">
        <v>53</v>
      </c>
      <c r="R840" t="s">
        <v>53</v>
      </c>
      <c r="S840" t="s">
        <v>53</v>
      </c>
      <c r="T840" t="s">
        <v>53</v>
      </c>
      <c r="U840" t="s">
        <v>53</v>
      </c>
      <c r="V840" t="s">
        <v>53</v>
      </c>
      <c r="W840" t="s">
        <v>53</v>
      </c>
      <c r="X840" s="22" t="s">
        <v>53</v>
      </c>
      <c r="Y840" s="22" t="s">
        <v>53</v>
      </c>
      <c r="Z840" s="22" t="s">
        <v>53</v>
      </c>
      <c r="AA840" s="22" t="s">
        <v>53</v>
      </c>
      <c r="AB840" t="s">
        <v>53</v>
      </c>
      <c r="AC840" t="s">
        <v>53</v>
      </c>
      <c r="AD840" t="s">
        <v>53</v>
      </c>
      <c r="AE840" t="s">
        <v>53</v>
      </c>
      <c r="AF840" s="22" t="s">
        <v>53</v>
      </c>
      <c r="AG840" s="22" t="s">
        <v>53</v>
      </c>
      <c r="AH840" s="22" t="s">
        <v>53</v>
      </c>
      <c r="AI840" s="22" t="s">
        <v>53</v>
      </c>
      <c r="AJ840">
        <v>4</v>
      </c>
      <c r="AK840">
        <v>10</v>
      </c>
      <c r="AL840">
        <v>4</v>
      </c>
      <c r="AM840">
        <v>1</v>
      </c>
      <c r="AN840" s="22">
        <v>0</v>
      </c>
      <c r="AO840" s="22">
        <v>0.1</v>
      </c>
      <c r="AP840" s="22">
        <v>0.25</v>
      </c>
      <c r="AQ840" s="22">
        <v>1</v>
      </c>
      <c r="AR840" s="35">
        <v>0</v>
      </c>
      <c r="AS840" s="35">
        <v>0</v>
      </c>
      <c r="AT840" s="35">
        <v>10</v>
      </c>
      <c r="AU840" s="31" t="str">
        <f t="shared" si="17"/>
        <v>库存为10</v>
      </c>
      <c r="AV840" s="36" t="str">
        <f>IFERROR(时间!$B$4+AU840,"上周无销量")</f>
        <v>上周无销量</v>
      </c>
    </row>
    <row r="841" spans="1:48">
      <c r="A841" s="20" t="s">
        <v>1876</v>
      </c>
      <c r="B841" t="s">
        <v>1877</v>
      </c>
      <c r="C841" t="s">
        <v>1875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10</v>
      </c>
      <c r="J841" s="33">
        <v>0</v>
      </c>
      <c r="K841" s="33">
        <v>0</v>
      </c>
      <c r="L841" s="33">
        <v>0</v>
      </c>
      <c r="M841">
        <v>10</v>
      </c>
      <c r="N841">
        <v>0</v>
      </c>
      <c r="O841">
        <v>0</v>
      </c>
      <c r="P841">
        <v>77</v>
      </c>
      <c r="Q841">
        <v>54</v>
      </c>
      <c r="R841">
        <v>0</v>
      </c>
      <c r="S841">
        <v>0</v>
      </c>
      <c r="T841">
        <v>7</v>
      </c>
      <c r="U841">
        <v>4</v>
      </c>
      <c r="V841">
        <v>0</v>
      </c>
      <c r="W841">
        <v>0</v>
      </c>
      <c r="X841" s="22">
        <v>0.0909090909090909</v>
      </c>
      <c r="Y841" s="22">
        <v>0.0740740740740741</v>
      </c>
      <c r="Z841" s="22" t="s">
        <v>53</v>
      </c>
      <c r="AA841" s="22" t="s">
        <v>53</v>
      </c>
      <c r="AB841">
        <v>1.2</v>
      </c>
      <c r="AC841">
        <v>1.14</v>
      </c>
      <c r="AD841">
        <v>0</v>
      </c>
      <c r="AE841">
        <v>0</v>
      </c>
      <c r="AF841" s="22" t="s">
        <v>1878</v>
      </c>
      <c r="AG841" s="22" t="s">
        <v>1879</v>
      </c>
      <c r="AH841" s="22" t="s">
        <v>53</v>
      </c>
      <c r="AI841" s="22" t="s">
        <v>53</v>
      </c>
      <c r="AJ841">
        <v>11</v>
      </c>
      <c r="AK841">
        <v>18</v>
      </c>
      <c r="AL841">
        <v>17</v>
      </c>
      <c r="AM841">
        <v>10</v>
      </c>
      <c r="AN841" s="22">
        <v>0</v>
      </c>
      <c r="AO841" s="22">
        <v>0</v>
      </c>
      <c r="AP841" s="22">
        <v>0</v>
      </c>
      <c r="AQ841" s="22">
        <v>0</v>
      </c>
      <c r="AR841" s="35">
        <v>0</v>
      </c>
      <c r="AS841" s="35">
        <v>0</v>
      </c>
      <c r="AT841" s="35">
        <v>10</v>
      </c>
      <c r="AU841" s="31" t="str">
        <f t="shared" si="17"/>
        <v>库存为10</v>
      </c>
      <c r="AV841" s="36" t="str">
        <f>IFERROR(时间!$B$4+AU841,"上周无销量")</f>
        <v>上周无销量</v>
      </c>
    </row>
    <row r="842" spans="1:48">
      <c r="A842" s="20" t="s">
        <v>1880</v>
      </c>
      <c r="B842" t="s">
        <v>1881</v>
      </c>
      <c r="C842" t="s">
        <v>1875</v>
      </c>
      <c r="D842" s="31">
        <v>0</v>
      </c>
      <c r="E842" s="31">
        <v>0</v>
      </c>
      <c r="F842" s="31">
        <v>4</v>
      </c>
      <c r="G842" s="31">
        <v>0</v>
      </c>
      <c r="H842" s="32">
        <v>15.99</v>
      </c>
      <c r="I842">
        <v>16</v>
      </c>
      <c r="J842" s="33">
        <v>0</v>
      </c>
      <c r="K842" s="33">
        <v>0</v>
      </c>
      <c r="L842" s="33">
        <v>0</v>
      </c>
      <c r="M842">
        <v>16</v>
      </c>
      <c r="N842">
        <v>0</v>
      </c>
      <c r="O842">
        <v>0</v>
      </c>
      <c r="P842">
        <v>0</v>
      </c>
      <c r="Q842">
        <v>278</v>
      </c>
      <c r="R842">
        <v>53</v>
      </c>
      <c r="S842">
        <v>18</v>
      </c>
      <c r="T842">
        <v>0</v>
      </c>
      <c r="U842">
        <v>0</v>
      </c>
      <c r="V842">
        <v>0</v>
      </c>
      <c r="W842">
        <v>0</v>
      </c>
      <c r="X842" s="22" t="s">
        <v>53</v>
      </c>
      <c r="Y842" s="22">
        <v>0</v>
      </c>
      <c r="Z842" s="22">
        <v>0</v>
      </c>
      <c r="AA842" s="22">
        <v>0</v>
      </c>
      <c r="AB842">
        <v>0</v>
      </c>
      <c r="AC842">
        <v>0</v>
      </c>
      <c r="AD842">
        <v>0</v>
      </c>
      <c r="AE842">
        <v>0</v>
      </c>
      <c r="AF842" s="22" t="s">
        <v>53</v>
      </c>
      <c r="AG842" s="22" t="s">
        <v>53</v>
      </c>
      <c r="AH842" s="22" t="s">
        <v>53</v>
      </c>
      <c r="AI842" s="22" t="s">
        <v>53</v>
      </c>
      <c r="AJ842">
        <v>4</v>
      </c>
      <c r="AK842">
        <v>8</v>
      </c>
      <c r="AL842">
        <v>7</v>
      </c>
      <c r="AM842">
        <v>3</v>
      </c>
      <c r="AN842" s="22">
        <v>0</v>
      </c>
      <c r="AO842" s="22">
        <v>0</v>
      </c>
      <c r="AP842" s="22">
        <v>0.571428571428571</v>
      </c>
      <c r="AQ842" s="22">
        <v>0</v>
      </c>
      <c r="AR842" s="35">
        <v>0</v>
      </c>
      <c r="AS842" s="35">
        <v>0</v>
      </c>
      <c r="AT842" s="35">
        <v>16</v>
      </c>
      <c r="AU842" s="31" t="str">
        <f t="shared" si="17"/>
        <v>库存为16</v>
      </c>
      <c r="AV842" s="36" t="str">
        <f>IFERROR(时间!$B$4+AU842,"上周无销量")</f>
        <v>上周无销量</v>
      </c>
    </row>
    <row r="843" spans="1:48">
      <c r="A843" s="20" t="s">
        <v>1882</v>
      </c>
      <c r="B843" t="s">
        <v>1883</v>
      </c>
      <c r="C843" t="s">
        <v>1884</v>
      </c>
      <c r="D843" s="31">
        <v>1</v>
      </c>
      <c r="E843" s="31">
        <v>0</v>
      </c>
      <c r="F843" s="31">
        <v>0</v>
      </c>
      <c r="G843" s="31">
        <v>1</v>
      </c>
      <c r="H843" s="32">
        <v>10</v>
      </c>
      <c r="I843">
        <v>5</v>
      </c>
      <c r="J843" s="33">
        <v>0</v>
      </c>
      <c r="K843" s="33">
        <v>0</v>
      </c>
      <c r="L843" s="33">
        <v>0</v>
      </c>
      <c r="M843">
        <v>5</v>
      </c>
      <c r="N843">
        <v>0</v>
      </c>
      <c r="O843">
        <v>0</v>
      </c>
      <c r="P843" t="s">
        <v>53</v>
      </c>
      <c r="Q843" t="s">
        <v>53</v>
      </c>
      <c r="R843" t="s">
        <v>53</v>
      </c>
      <c r="S843" t="s">
        <v>53</v>
      </c>
      <c r="T843" t="s">
        <v>53</v>
      </c>
      <c r="U843" t="s">
        <v>53</v>
      </c>
      <c r="V843" t="s">
        <v>53</v>
      </c>
      <c r="W843" t="s">
        <v>53</v>
      </c>
      <c r="X843" s="22" t="s">
        <v>53</v>
      </c>
      <c r="Y843" s="22" t="s">
        <v>53</v>
      </c>
      <c r="Z843" s="22" t="s">
        <v>53</v>
      </c>
      <c r="AA843" s="22" t="s">
        <v>53</v>
      </c>
      <c r="AB843" t="s">
        <v>53</v>
      </c>
      <c r="AC843" t="s">
        <v>53</v>
      </c>
      <c r="AD843" t="s">
        <v>53</v>
      </c>
      <c r="AE843" t="s">
        <v>53</v>
      </c>
      <c r="AF843" s="22" t="s">
        <v>53</v>
      </c>
      <c r="AG843" s="22" t="s">
        <v>53</v>
      </c>
      <c r="AH843" s="22" t="s">
        <v>53</v>
      </c>
      <c r="AI843" s="22" t="s">
        <v>53</v>
      </c>
      <c r="AJ843">
        <v>5</v>
      </c>
      <c r="AK843">
        <v>6</v>
      </c>
      <c r="AL843">
        <v>4</v>
      </c>
      <c r="AM843">
        <v>7</v>
      </c>
      <c r="AN843" s="22">
        <v>0.2</v>
      </c>
      <c r="AO843" s="22">
        <v>0</v>
      </c>
      <c r="AP843" s="22">
        <v>0</v>
      </c>
      <c r="AQ843" s="22">
        <v>0.142857142857143</v>
      </c>
      <c r="AR843" s="35">
        <v>0.142857142857143</v>
      </c>
      <c r="AS843" s="35">
        <v>8.57142857142857</v>
      </c>
      <c r="AT843" s="35">
        <v>-3.57142857142857</v>
      </c>
      <c r="AU843" s="31">
        <f t="shared" si="17"/>
        <v>35</v>
      </c>
      <c r="AV843" s="36">
        <f>IFERROR(时间!$B$4+AU843,"上周无销量")</f>
        <v>43353</v>
      </c>
    </row>
    <row r="844" spans="1:48">
      <c r="A844" s="20" t="s">
        <v>1885</v>
      </c>
      <c r="B844" t="s">
        <v>1886</v>
      </c>
      <c r="C844" t="s">
        <v>1884</v>
      </c>
      <c r="D844" s="31">
        <v>0</v>
      </c>
      <c r="E844" s="31">
        <v>0</v>
      </c>
      <c r="F844" s="31">
        <v>1</v>
      </c>
      <c r="G844" s="31">
        <v>0</v>
      </c>
      <c r="H844" s="32">
        <v>10</v>
      </c>
      <c r="I844">
        <v>5</v>
      </c>
      <c r="J844" s="33">
        <v>0</v>
      </c>
      <c r="K844" s="33">
        <v>0</v>
      </c>
      <c r="L844" s="33">
        <v>0</v>
      </c>
      <c r="M844">
        <v>5</v>
      </c>
      <c r="N844">
        <v>0</v>
      </c>
      <c r="O844">
        <v>0</v>
      </c>
      <c r="P844" t="s">
        <v>53</v>
      </c>
      <c r="Q844" t="s">
        <v>53</v>
      </c>
      <c r="R844" t="s">
        <v>53</v>
      </c>
      <c r="S844" t="s">
        <v>53</v>
      </c>
      <c r="T844" t="s">
        <v>53</v>
      </c>
      <c r="U844" t="s">
        <v>53</v>
      </c>
      <c r="V844" t="s">
        <v>53</v>
      </c>
      <c r="W844" t="s">
        <v>53</v>
      </c>
      <c r="X844" s="22" t="s">
        <v>53</v>
      </c>
      <c r="Y844" s="22" t="s">
        <v>53</v>
      </c>
      <c r="Z844" s="22" t="s">
        <v>53</v>
      </c>
      <c r="AA844" s="22" t="s">
        <v>53</v>
      </c>
      <c r="AB844" t="s">
        <v>53</v>
      </c>
      <c r="AC844" t="s">
        <v>53</v>
      </c>
      <c r="AD844" t="s">
        <v>53</v>
      </c>
      <c r="AE844" t="s">
        <v>53</v>
      </c>
      <c r="AF844" s="22" t="s">
        <v>53</v>
      </c>
      <c r="AG844" s="22" t="s">
        <v>53</v>
      </c>
      <c r="AH844" s="22" t="s">
        <v>53</v>
      </c>
      <c r="AI844" s="22" t="s">
        <v>53</v>
      </c>
      <c r="AJ844">
        <v>6</v>
      </c>
      <c r="AK844">
        <v>10</v>
      </c>
      <c r="AL844">
        <v>8</v>
      </c>
      <c r="AM844">
        <v>6</v>
      </c>
      <c r="AN844" s="22">
        <v>0</v>
      </c>
      <c r="AO844" s="22">
        <v>0</v>
      </c>
      <c r="AP844" s="22">
        <v>0.125</v>
      </c>
      <c r="AQ844" s="22">
        <v>0</v>
      </c>
      <c r="AR844" s="35">
        <v>0</v>
      </c>
      <c r="AS844" s="35">
        <v>0</v>
      </c>
      <c r="AT844" s="35">
        <v>5</v>
      </c>
      <c r="AU844" s="31" t="str">
        <f t="shared" si="17"/>
        <v>库存为5</v>
      </c>
      <c r="AV844" s="36" t="str">
        <f>IFERROR(时间!$B$4+AU844,"上周无销量")</f>
        <v>上周无销量</v>
      </c>
    </row>
    <row r="845" spans="1:48">
      <c r="A845" s="20" t="s">
        <v>1887</v>
      </c>
      <c r="B845" t="s">
        <v>1888</v>
      </c>
      <c r="C845" t="s">
        <v>1884</v>
      </c>
      <c r="D845" s="31">
        <v>0</v>
      </c>
      <c r="E845" s="31">
        <v>0</v>
      </c>
      <c r="F845" s="31">
        <v>0</v>
      </c>
      <c r="G845" s="31">
        <v>2</v>
      </c>
      <c r="H845" s="32">
        <v>10</v>
      </c>
      <c r="I845">
        <v>6</v>
      </c>
      <c r="J845" s="33">
        <v>0</v>
      </c>
      <c r="K845" s="33">
        <v>0</v>
      </c>
      <c r="L845" s="33">
        <v>0</v>
      </c>
      <c r="M845">
        <v>6</v>
      </c>
      <c r="N845">
        <v>0</v>
      </c>
      <c r="O845">
        <v>0</v>
      </c>
      <c r="P845" t="s">
        <v>53</v>
      </c>
      <c r="Q845" t="s">
        <v>53</v>
      </c>
      <c r="R845" t="s">
        <v>53</v>
      </c>
      <c r="S845" t="s">
        <v>53</v>
      </c>
      <c r="T845" t="s">
        <v>53</v>
      </c>
      <c r="U845" t="s">
        <v>53</v>
      </c>
      <c r="V845" t="s">
        <v>53</v>
      </c>
      <c r="W845" t="s">
        <v>53</v>
      </c>
      <c r="X845" s="22" t="s">
        <v>53</v>
      </c>
      <c r="Y845" s="22" t="s">
        <v>53</v>
      </c>
      <c r="Z845" s="22" t="s">
        <v>53</v>
      </c>
      <c r="AA845" s="22" t="s">
        <v>53</v>
      </c>
      <c r="AB845" t="s">
        <v>53</v>
      </c>
      <c r="AC845" t="s">
        <v>53</v>
      </c>
      <c r="AD845" t="s">
        <v>53</v>
      </c>
      <c r="AE845" t="s">
        <v>53</v>
      </c>
      <c r="AF845" s="22" t="s">
        <v>53</v>
      </c>
      <c r="AG845" s="22" t="s">
        <v>53</v>
      </c>
      <c r="AH845" s="22" t="s">
        <v>53</v>
      </c>
      <c r="AI845" s="22" t="s">
        <v>53</v>
      </c>
      <c r="AJ845">
        <v>4</v>
      </c>
      <c r="AK845">
        <v>1</v>
      </c>
      <c r="AL845">
        <v>6</v>
      </c>
      <c r="AM845">
        <v>2</v>
      </c>
      <c r="AN845" s="22">
        <v>0</v>
      </c>
      <c r="AO845" s="22">
        <v>0</v>
      </c>
      <c r="AP845" s="22">
        <v>0</v>
      </c>
      <c r="AQ845" s="22">
        <v>1</v>
      </c>
      <c r="AR845" s="35">
        <v>0</v>
      </c>
      <c r="AS845" s="35">
        <v>0</v>
      </c>
      <c r="AT845" s="35">
        <v>6</v>
      </c>
      <c r="AU845" s="31" t="str">
        <f t="shared" si="17"/>
        <v>库存为6</v>
      </c>
      <c r="AV845" s="36" t="str">
        <f>IFERROR(时间!$B$4+AU845,"上周无销量")</f>
        <v>上周无销量</v>
      </c>
    </row>
    <row r="846" spans="1:48">
      <c r="A846" s="20" t="s">
        <v>1889</v>
      </c>
      <c r="B846" t="s">
        <v>1890</v>
      </c>
      <c r="C846" t="s">
        <v>1884</v>
      </c>
      <c r="D846" s="31">
        <v>1</v>
      </c>
      <c r="E846" s="31">
        <v>0</v>
      </c>
      <c r="F846" s="31">
        <v>0</v>
      </c>
      <c r="G846" s="31">
        <v>0</v>
      </c>
      <c r="H846" s="32">
        <v>10</v>
      </c>
      <c r="I846">
        <v>5</v>
      </c>
      <c r="J846" s="33">
        <v>0</v>
      </c>
      <c r="K846" s="33">
        <v>0</v>
      </c>
      <c r="L846" s="33">
        <v>0</v>
      </c>
      <c r="M846">
        <v>5</v>
      </c>
      <c r="N846">
        <v>0</v>
      </c>
      <c r="O846">
        <v>0</v>
      </c>
      <c r="P846" t="s">
        <v>53</v>
      </c>
      <c r="Q846" t="s">
        <v>53</v>
      </c>
      <c r="R846" t="s">
        <v>53</v>
      </c>
      <c r="S846" t="s">
        <v>53</v>
      </c>
      <c r="T846" t="s">
        <v>53</v>
      </c>
      <c r="U846" t="s">
        <v>53</v>
      </c>
      <c r="V846" t="s">
        <v>53</v>
      </c>
      <c r="W846" t="s">
        <v>53</v>
      </c>
      <c r="X846" s="22" t="s">
        <v>53</v>
      </c>
      <c r="Y846" s="22" t="s">
        <v>53</v>
      </c>
      <c r="Z846" s="22" t="s">
        <v>53</v>
      </c>
      <c r="AA846" s="22" t="s">
        <v>53</v>
      </c>
      <c r="AB846" t="s">
        <v>53</v>
      </c>
      <c r="AC846" t="s">
        <v>53</v>
      </c>
      <c r="AD846" t="s">
        <v>53</v>
      </c>
      <c r="AE846" t="s">
        <v>53</v>
      </c>
      <c r="AF846" s="22" t="s">
        <v>53</v>
      </c>
      <c r="AG846" s="22" t="s">
        <v>53</v>
      </c>
      <c r="AH846" s="22" t="s">
        <v>53</v>
      </c>
      <c r="AI846" s="22" t="s">
        <v>53</v>
      </c>
      <c r="AJ846">
        <v>7</v>
      </c>
      <c r="AK846">
        <v>11</v>
      </c>
      <c r="AL846">
        <v>10</v>
      </c>
      <c r="AM846">
        <v>6</v>
      </c>
      <c r="AN846" s="22">
        <v>0.142857142857143</v>
      </c>
      <c r="AO846" s="22">
        <v>0</v>
      </c>
      <c r="AP846" s="22">
        <v>0</v>
      </c>
      <c r="AQ846" s="22">
        <v>0</v>
      </c>
      <c r="AR846" s="35">
        <v>0.142857142857143</v>
      </c>
      <c r="AS846" s="35">
        <v>8.57142857142857</v>
      </c>
      <c r="AT846" s="35">
        <v>-3.57142857142857</v>
      </c>
      <c r="AU846" s="31">
        <f t="shared" si="17"/>
        <v>35</v>
      </c>
      <c r="AV846" s="36">
        <f>IFERROR(时间!$B$4+AU846,"上周无销量")</f>
        <v>43353</v>
      </c>
    </row>
    <row r="847" spans="1:48">
      <c r="A847" s="20" t="s">
        <v>1891</v>
      </c>
      <c r="B847" t="s">
        <v>1892</v>
      </c>
      <c r="C847" t="s">
        <v>1884</v>
      </c>
      <c r="D847" s="31">
        <v>0</v>
      </c>
      <c r="E847" s="31">
        <v>1</v>
      </c>
      <c r="F847" s="31">
        <v>0</v>
      </c>
      <c r="G847" s="31">
        <v>2</v>
      </c>
      <c r="H847" s="32">
        <v>10</v>
      </c>
      <c r="I847">
        <v>5</v>
      </c>
      <c r="J847" s="33">
        <v>0</v>
      </c>
      <c r="K847" s="33">
        <v>0</v>
      </c>
      <c r="L847" s="33">
        <v>0</v>
      </c>
      <c r="M847">
        <v>5</v>
      </c>
      <c r="N847">
        <v>0</v>
      </c>
      <c r="O847">
        <v>0</v>
      </c>
      <c r="P847" t="s">
        <v>53</v>
      </c>
      <c r="Q847" t="s">
        <v>53</v>
      </c>
      <c r="R847" t="s">
        <v>53</v>
      </c>
      <c r="S847" t="s">
        <v>53</v>
      </c>
      <c r="T847" t="s">
        <v>53</v>
      </c>
      <c r="U847" t="s">
        <v>53</v>
      </c>
      <c r="V847" t="s">
        <v>53</v>
      </c>
      <c r="W847" t="s">
        <v>53</v>
      </c>
      <c r="X847" s="22" t="s">
        <v>53</v>
      </c>
      <c r="Y847" s="22" t="s">
        <v>53</v>
      </c>
      <c r="Z847" s="22" t="s">
        <v>53</v>
      </c>
      <c r="AA847" s="22" t="s">
        <v>53</v>
      </c>
      <c r="AB847" t="s">
        <v>53</v>
      </c>
      <c r="AC847" t="s">
        <v>53</v>
      </c>
      <c r="AD847" t="s">
        <v>53</v>
      </c>
      <c r="AE847" t="s">
        <v>53</v>
      </c>
      <c r="AF847" s="22" t="s">
        <v>53</v>
      </c>
      <c r="AG847" s="22" t="s">
        <v>53</v>
      </c>
      <c r="AH847" s="22" t="s">
        <v>53</v>
      </c>
      <c r="AI847" s="22" t="s">
        <v>53</v>
      </c>
      <c r="AJ847">
        <v>7</v>
      </c>
      <c r="AK847">
        <v>5</v>
      </c>
      <c r="AL847">
        <v>5</v>
      </c>
      <c r="AM847">
        <v>5</v>
      </c>
      <c r="AN847" s="22">
        <v>0</v>
      </c>
      <c r="AO847" s="22">
        <v>0.2</v>
      </c>
      <c r="AP847" s="22">
        <v>0</v>
      </c>
      <c r="AQ847" s="22">
        <v>0.4</v>
      </c>
      <c r="AR847" s="35">
        <v>0</v>
      </c>
      <c r="AS847" s="35">
        <v>0</v>
      </c>
      <c r="AT847" s="35">
        <v>5</v>
      </c>
      <c r="AU847" s="31" t="str">
        <f t="shared" si="17"/>
        <v>库存为5</v>
      </c>
      <c r="AV847" s="36" t="str">
        <f>IFERROR(时间!$B$4+AU847,"上周无销量")</f>
        <v>上周无销量</v>
      </c>
    </row>
    <row r="848" spans="1:48">
      <c r="A848" s="20" t="s">
        <v>1893</v>
      </c>
      <c r="B848" t="s">
        <v>1894</v>
      </c>
      <c r="C848" t="s">
        <v>1884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21</v>
      </c>
      <c r="J848" s="33">
        <v>0</v>
      </c>
      <c r="K848" s="33">
        <v>0</v>
      </c>
      <c r="L848" s="33">
        <v>0</v>
      </c>
      <c r="M848">
        <v>21</v>
      </c>
      <c r="N848">
        <v>0</v>
      </c>
      <c r="O848">
        <v>0</v>
      </c>
      <c r="P848" t="s">
        <v>53</v>
      </c>
      <c r="Q848" t="s">
        <v>53</v>
      </c>
      <c r="R848" t="s">
        <v>53</v>
      </c>
      <c r="S848" t="s">
        <v>53</v>
      </c>
      <c r="T848" t="s">
        <v>53</v>
      </c>
      <c r="U848" t="s">
        <v>53</v>
      </c>
      <c r="V848" t="s">
        <v>53</v>
      </c>
      <c r="W848" t="s">
        <v>53</v>
      </c>
      <c r="X848" s="22" t="s">
        <v>53</v>
      </c>
      <c r="Y848" s="22" t="s">
        <v>53</v>
      </c>
      <c r="Z848" s="22" t="s">
        <v>53</v>
      </c>
      <c r="AA848" s="22" t="s">
        <v>53</v>
      </c>
      <c r="AB848" t="s">
        <v>53</v>
      </c>
      <c r="AC848" t="s">
        <v>53</v>
      </c>
      <c r="AD848" t="s">
        <v>53</v>
      </c>
      <c r="AE848" t="s">
        <v>53</v>
      </c>
      <c r="AF848" s="22" t="s">
        <v>53</v>
      </c>
      <c r="AG848" s="22" t="s">
        <v>53</v>
      </c>
      <c r="AH848" s="22" t="s">
        <v>53</v>
      </c>
      <c r="AI848" s="22" t="s">
        <v>53</v>
      </c>
      <c r="AJ848">
        <v>11</v>
      </c>
      <c r="AK848">
        <v>7</v>
      </c>
      <c r="AL848">
        <v>13</v>
      </c>
      <c r="AM848">
        <v>7</v>
      </c>
      <c r="AN848" s="22">
        <v>0</v>
      </c>
      <c r="AO848" s="22">
        <v>0</v>
      </c>
      <c r="AP848" s="22">
        <v>0</v>
      </c>
      <c r="AQ848" s="22">
        <v>0</v>
      </c>
      <c r="AR848" s="35">
        <v>0</v>
      </c>
      <c r="AS848" s="35">
        <v>0</v>
      </c>
      <c r="AT848" s="35">
        <v>21</v>
      </c>
      <c r="AU848" s="31" t="str">
        <f t="shared" si="17"/>
        <v>库存为21</v>
      </c>
      <c r="AV848" s="36" t="str">
        <f>IFERROR(时间!$B$4+AU848,"上周无销量")</f>
        <v>上周无销量</v>
      </c>
    </row>
    <row r="849" spans="1:48">
      <c r="A849" s="20" t="s">
        <v>1895</v>
      </c>
      <c r="B849" t="s">
        <v>1896</v>
      </c>
      <c r="C849" t="s">
        <v>1884</v>
      </c>
      <c r="D849" s="31">
        <v>1</v>
      </c>
      <c r="E849" s="31">
        <v>0</v>
      </c>
      <c r="F849" s="31">
        <v>0</v>
      </c>
      <c r="G849" s="31">
        <v>0</v>
      </c>
      <c r="H849" s="32">
        <v>10</v>
      </c>
      <c r="I849">
        <v>7</v>
      </c>
      <c r="J849" s="33">
        <v>0</v>
      </c>
      <c r="K849" s="33">
        <v>0</v>
      </c>
      <c r="L849" s="33">
        <v>0</v>
      </c>
      <c r="M849">
        <v>7</v>
      </c>
      <c r="N849">
        <v>0</v>
      </c>
      <c r="O849">
        <v>0</v>
      </c>
      <c r="P849" t="s">
        <v>53</v>
      </c>
      <c r="Q849" t="s">
        <v>53</v>
      </c>
      <c r="R849" t="s">
        <v>53</v>
      </c>
      <c r="S849" t="s">
        <v>53</v>
      </c>
      <c r="T849" t="s">
        <v>53</v>
      </c>
      <c r="U849" t="s">
        <v>53</v>
      </c>
      <c r="V849" t="s">
        <v>53</v>
      </c>
      <c r="W849" t="s">
        <v>53</v>
      </c>
      <c r="X849" s="22" t="s">
        <v>53</v>
      </c>
      <c r="Y849" s="22" t="s">
        <v>53</v>
      </c>
      <c r="Z849" s="22" t="s">
        <v>53</v>
      </c>
      <c r="AA849" s="22" t="s">
        <v>53</v>
      </c>
      <c r="AB849" t="s">
        <v>53</v>
      </c>
      <c r="AC849" t="s">
        <v>53</v>
      </c>
      <c r="AD849" t="s">
        <v>53</v>
      </c>
      <c r="AE849" t="s">
        <v>53</v>
      </c>
      <c r="AF849" s="22" t="s">
        <v>53</v>
      </c>
      <c r="AG849" s="22" t="s">
        <v>53</v>
      </c>
      <c r="AH849" s="22" t="s">
        <v>53</v>
      </c>
      <c r="AI849" s="22" t="s">
        <v>53</v>
      </c>
      <c r="AJ849">
        <v>6</v>
      </c>
      <c r="AK849">
        <v>6</v>
      </c>
      <c r="AL849">
        <v>6</v>
      </c>
      <c r="AM849">
        <v>6</v>
      </c>
      <c r="AN849" s="22">
        <v>0.166666666666667</v>
      </c>
      <c r="AO849" s="22">
        <v>0</v>
      </c>
      <c r="AP849" s="22">
        <v>0</v>
      </c>
      <c r="AQ849" s="22">
        <v>0</v>
      </c>
      <c r="AR849" s="35">
        <v>0.142857142857143</v>
      </c>
      <c r="AS849" s="35">
        <v>8.57142857142857</v>
      </c>
      <c r="AT849" s="35">
        <v>-1.57142857142857</v>
      </c>
      <c r="AU849" s="31">
        <f t="shared" si="17"/>
        <v>49</v>
      </c>
      <c r="AV849" s="36">
        <f>IFERROR(时间!$B$4+AU849,"上周无销量")</f>
        <v>43367</v>
      </c>
    </row>
    <row r="850" spans="1:48">
      <c r="A850" s="20" t="s">
        <v>1897</v>
      </c>
      <c r="B850" t="s">
        <v>1898</v>
      </c>
      <c r="C850" t="s">
        <v>1884</v>
      </c>
      <c r="D850" s="31">
        <v>0</v>
      </c>
      <c r="E850" s="31">
        <v>1</v>
      </c>
      <c r="F850" s="31">
        <v>0</v>
      </c>
      <c r="G850" s="31">
        <v>0</v>
      </c>
      <c r="H850" s="32">
        <v>10</v>
      </c>
      <c r="I850">
        <v>6</v>
      </c>
      <c r="J850" s="33">
        <v>0</v>
      </c>
      <c r="K850" s="33">
        <v>0</v>
      </c>
      <c r="L850" s="33">
        <v>0</v>
      </c>
      <c r="M850">
        <v>6</v>
      </c>
      <c r="N850">
        <v>0</v>
      </c>
      <c r="O850">
        <v>0</v>
      </c>
      <c r="P850" t="s">
        <v>53</v>
      </c>
      <c r="Q850" t="s">
        <v>53</v>
      </c>
      <c r="R850" t="s">
        <v>53</v>
      </c>
      <c r="S850" t="s">
        <v>53</v>
      </c>
      <c r="T850" t="s">
        <v>53</v>
      </c>
      <c r="U850" t="s">
        <v>53</v>
      </c>
      <c r="V850" t="s">
        <v>53</v>
      </c>
      <c r="W850" t="s">
        <v>53</v>
      </c>
      <c r="X850" s="22" t="s">
        <v>53</v>
      </c>
      <c r="Y850" s="22" t="s">
        <v>53</v>
      </c>
      <c r="Z850" s="22" t="s">
        <v>53</v>
      </c>
      <c r="AA850" s="22" t="s">
        <v>53</v>
      </c>
      <c r="AB850" t="s">
        <v>53</v>
      </c>
      <c r="AC850" t="s">
        <v>53</v>
      </c>
      <c r="AD850" t="s">
        <v>53</v>
      </c>
      <c r="AE850" t="s">
        <v>53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5</v>
      </c>
      <c r="AK850">
        <v>8</v>
      </c>
      <c r="AL850">
        <v>6</v>
      </c>
      <c r="AM850">
        <v>9</v>
      </c>
      <c r="AN850" s="22">
        <v>0</v>
      </c>
      <c r="AO850" s="22">
        <v>0.125</v>
      </c>
      <c r="AP850" s="22">
        <v>0</v>
      </c>
      <c r="AQ850" s="22">
        <v>0</v>
      </c>
      <c r="AR850" s="35">
        <v>0</v>
      </c>
      <c r="AS850" s="35">
        <v>0</v>
      </c>
      <c r="AT850" s="35">
        <v>6</v>
      </c>
      <c r="AU850" s="31" t="str">
        <f t="shared" si="17"/>
        <v>库存为6</v>
      </c>
      <c r="AV850" s="36" t="str">
        <f>IFERROR(时间!$B$4+AU850,"上周无销量")</f>
        <v>上周无销量</v>
      </c>
    </row>
    <row r="851" spans="1:48">
      <c r="A851" s="20" t="s">
        <v>1899</v>
      </c>
      <c r="B851" t="s">
        <v>1900</v>
      </c>
      <c r="C851" t="s">
        <v>1901</v>
      </c>
      <c r="D851" s="31">
        <v>1</v>
      </c>
      <c r="E851" s="31">
        <v>1</v>
      </c>
      <c r="F851" s="31">
        <v>0</v>
      </c>
      <c r="G851" s="31">
        <v>0</v>
      </c>
      <c r="H851" s="32">
        <v>14.99</v>
      </c>
      <c r="I851">
        <v>9</v>
      </c>
      <c r="J851" s="33">
        <v>0</v>
      </c>
      <c r="K851" s="33">
        <v>0</v>
      </c>
      <c r="L851" s="33">
        <v>0</v>
      </c>
      <c r="M851">
        <v>9</v>
      </c>
      <c r="N851">
        <v>0</v>
      </c>
      <c r="O851">
        <v>0</v>
      </c>
      <c r="P851" t="s">
        <v>53</v>
      </c>
      <c r="Q851" t="s">
        <v>53</v>
      </c>
      <c r="R851" t="s">
        <v>53</v>
      </c>
      <c r="S851" t="s">
        <v>53</v>
      </c>
      <c r="T851" t="s">
        <v>53</v>
      </c>
      <c r="U851" t="s">
        <v>53</v>
      </c>
      <c r="V851" t="s">
        <v>53</v>
      </c>
      <c r="W851" t="s">
        <v>53</v>
      </c>
      <c r="X851" s="22" t="s">
        <v>53</v>
      </c>
      <c r="Y851" s="22" t="s">
        <v>53</v>
      </c>
      <c r="Z851" s="22" t="s">
        <v>53</v>
      </c>
      <c r="AA851" s="22" t="s">
        <v>53</v>
      </c>
      <c r="AB851" t="s">
        <v>53</v>
      </c>
      <c r="AC851" t="s">
        <v>53</v>
      </c>
      <c r="AD851" t="s">
        <v>53</v>
      </c>
      <c r="AE851" t="s">
        <v>53</v>
      </c>
      <c r="AF851" s="22" t="s">
        <v>53</v>
      </c>
      <c r="AG851" s="22" t="s">
        <v>53</v>
      </c>
      <c r="AH851" s="22" t="s">
        <v>53</v>
      </c>
      <c r="AI851" s="22" t="s">
        <v>53</v>
      </c>
      <c r="AJ851">
        <v>9</v>
      </c>
      <c r="AK851">
        <v>4</v>
      </c>
      <c r="AL851">
        <v>11</v>
      </c>
      <c r="AM851">
        <v>5</v>
      </c>
      <c r="AN851" s="22">
        <v>0.111111111111111</v>
      </c>
      <c r="AO851" s="22">
        <v>0.25</v>
      </c>
      <c r="AP851" s="22">
        <v>0</v>
      </c>
      <c r="AQ851" s="22">
        <v>0</v>
      </c>
      <c r="AR851" s="35">
        <v>0.142857142857143</v>
      </c>
      <c r="AS851" s="35">
        <v>8.57142857142857</v>
      </c>
      <c r="AT851" s="35">
        <v>0.428571428571429</v>
      </c>
      <c r="AU851" s="31">
        <f t="shared" si="17"/>
        <v>63</v>
      </c>
      <c r="AV851" s="36">
        <f>IFERROR(时间!$B$4+AU851,"上周无销量")</f>
        <v>43381</v>
      </c>
    </row>
    <row r="852" spans="1:48">
      <c r="A852" s="20" t="s">
        <v>1902</v>
      </c>
      <c r="B852" t="s">
        <v>1903</v>
      </c>
      <c r="C852" t="s">
        <v>1901</v>
      </c>
      <c r="D852" s="31">
        <v>0</v>
      </c>
      <c r="E852" s="31">
        <v>0</v>
      </c>
      <c r="F852" s="31">
        <v>0</v>
      </c>
      <c r="G852" s="31">
        <v>2</v>
      </c>
      <c r="H852" s="32">
        <v>14.99</v>
      </c>
      <c r="I852">
        <v>2</v>
      </c>
      <c r="J852" s="33">
        <v>0</v>
      </c>
      <c r="K852" s="33">
        <v>0</v>
      </c>
      <c r="L852" s="33">
        <v>0</v>
      </c>
      <c r="M852">
        <v>2</v>
      </c>
      <c r="N852">
        <v>0</v>
      </c>
      <c r="O852">
        <v>0</v>
      </c>
      <c r="P852" t="s">
        <v>53</v>
      </c>
      <c r="Q852" t="s">
        <v>53</v>
      </c>
      <c r="R852" t="s">
        <v>53</v>
      </c>
      <c r="S852" t="s">
        <v>53</v>
      </c>
      <c r="T852" t="s">
        <v>53</v>
      </c>
      <c r="U852" t="s">
        <v>53</v>
      </c>
      <c r="V852" t="s">
        <v>53</v>
      </c>
      <c r="W852" t="s">
        <v>53</v>
      </c>
      <c r="X852" s="22" t="s">
        <v>53</v>
      </c>
      <c r="Y852" s="22" t="s">
        <v>53</v>
      </c>
      <c r="Z852" s="22" t="s">
        <v>53</v>
      </c>
      <c r="AA852" s="22" t="s">
        <v>53</v>
      </c>
      <c r="AB852" t="s">
        <v>53</v>
      </c>
      <c r="AC852" t="s">
        <v>53</v>
      </c>
      <c r="AD852" t="s">
        <v>53</v>
      </c>
      <c r="AE852" t="s">
        <v>53</v>
      </c>
      <c r="AF852" s="22" t="s">
        <v>53</v>
      </c>
      <c r="AG852" s="22" t="s">
        <v>53</v>
      </c>
      <c r="AH852" s="22" t="s">
        <v>53</v>
      </c>
      <c r="AI852" s="22" t="s">
        <v>53</v>
      </c>
      <c r="AJ852">
        <v>9</v>
      </c>
      <c r="AK852">
        <v>21</v>
      </c>
      <c r="AL852">
        <v>15</v>
      </c>
      <c r="AM852">
        <v>12</v>
      </c>
      <c r="AN852" s="22">
        <v>0</v>
      </c>
      <c r="AO852" s="22">
        <v>0</v>
      </c>
      <c r="AP852" s="22">
        <v>0</v>
      </c>
      <c r="AQ852" s="22">
        <v>0.166666666666667</v>
      </c>
      <c r="AR852" s="35">
        <v>0</v>
      </c>
      <c r="AS852" s="35">
        <v>0</v>
      </c>
      <c r="AT852" s="35">
        <v>2</v>
      </c>
      <c r="AU852" s="31" t="str">
        <f t="shared" si="17"/>
        <v>库存为2</v>
      </c>
      <c r="AV852" s="36" t="str">
        <f>IFERROR(时间!$B$4+AU852,"上周无销量")</f>
        <v>上周无销量</v>
      </c>
    </row>
    <row r="853" spans="1:48">
      <c r="A853" s="20" t="s">
        <v>1904</v>
      </c>
      <c r="B853" t="s">
        <v>1905</v>
      </c>
      <c r="C853" t="s">
        <v>1901</v>
      </c>
      <c r="D853" s="31">
        <v>1</v>
      </c>
      <c r="E853" s="31">
        <v>0</v>
      </c>
      <c r="F853" s="31">
        <v>0</v>
      </c>
      <c r="G853" s="31">
        <v>1</v>
      </c>
      <c r="H853" s="32">
        <v>14.99</v>
      </c>
      <c r="I853">
        <v>15</v>
      </c>
      <c r="J853" s="33">
        <v>0</v>
      </c>
      <c r="K853" s="33">
        <v>0</v>
      </c>
      <c r="L853" s="33">
        <v>0</v>
      </c>
      <c r="M853">
        <v>15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12534</v>
      </c>
      <c r="T853">
        <v>0</v>
      </c>
      <c r="U853">
        <v>0</v>
      </c>
      <c r="V853">
        <v>0</v>
      </c>
      <c r="W853">
        <v>27</v>
      </c>
      <c r="X853" s="22" t="s">
        <v>53</v>
      </c>
      <c r="Y853" s="22" t="s">
        <v>53</v>
      </c>
      <c r="Z853" s="22" t="s">
        <v>53</v>
      </c>
      <c r="AA853" s="22">
        <v>0.00215414073719483</v>
      </c>
      <c r="AB853">
        <v>0</v>
      </c>
      <c r="AC853">
        <v>0</v>
      </c>
      <c r="AD853">
        <v>0</v>
      </c>
      <c r="AE853">
        <v>15.63</v>
      </c>
      <c r="AF853" s="22" t="s">
        <v>53</v>
      </c>
      <c r="AG853" s="22" t="s">
        <v>53</v>
      </c>
      <c r="AH853" s="22" t="s">
        <v>53</v>
      </c>
      <c r="AI853" s="22">
        <v>1.04269513008672</v>
      </c>
      <c r="AJ853">
        <v>8</v>
      </c>
      <c r="AK853">
        <v>5</v>
      </c>
      <c r="AL853">
        <v>6</v>
      </c>
      <c r="AM853">
        <v>27</v>
      </c>
      <c r="AN853" s="22">
        <v>0.125</v>
      </c>
      <c r="AO853" s="22">
        <v>0</v>
      </c>
      <c r="AP853" s="22">
        <v>0</v>
      </c>
      <c r="AQ853" s="22">
        <v>0.037037037037037</v>
      </c>
      <c r="AR853" s="35">
        <v>0.142857142857143</v>
      </c>
      <c r="AS853" s="35">
        <v>8.57142857142857</v>
      </c>
      <c r="AT853" s="35">
        <v>6.42857142857143</v>
      </c>
      <c r="AU853" s="31">
        <f t="shared" si="17"/>
        <v>105</v>
      </c>
      <c r="AV853" s="36">
        <f>IFERROR(时间!$B$4+AU853,"上周无销量")</f>
        <v>43423</v>
      </c>
    </row>
    <row r="854" spans="1:48">
      <c r="A854" s="20" t="s">
        <v>1906</v>
      </c>
      <c r="B854" t="s">
        <v>1907</v>
      </c>
      <c r="C854" t="s">
        <v>1901</v>
      </c>
      <c r="D854" s="31">
        <v>1</v>
      </c>
      <c r="E854" s="31">
        <v>0</v>
      </c>
      <c r="F854" s="31">
        <v>0</v>
      </c>
      <c r="G854" s="31">
        <v>0</v>
      </c>
      <c r="H854" s="32">
        <v>14.99</v>
      </c>
      <c r="I854">
        <v>9</v>
      </c>
      <c r="J854" s="33">
        <v>0</v>
      </c>
      <c r="K854" s="33">
        <v>0</v>
      </c>
      <c r="L854" s="33">
        <v>0</v>
      </c>
      <c r="M854">
        <v>9</v>
      </c>
      <c r="N854">
        <v>0</v>
      </c>
      <c r="O854">
        <v>0</v>
      </c>
      <c r="P854" t="s">
        <v>53</v>
      </c>
      <c r="Q854" t="s">
        <v>53</v>
      </c>
      <c r="R854" t="s">
        <v>53</v>
      </c>
      <c r="S854" t="s">
        <v>53</v>
      </c>
      <c r="T854" t="s">
        <v>53</v>
      </c>
      <c r="U854" t="s">
        <v>53</v>
      </c>
      <c r="V854" t="s">
        <v>53</v>
      </c>
      <c r="W854" t="s">
        <v>53</v>
      </c>
      <c r="X854" s="22" t="s">
        <v>53</v>
      </c>
      <c r="Y854" s="22" t="s">
        <v>53</v>
      </c>
      <c r="Z854" s="22" t="s">
        <v>53</v>
      </c>
      <c r="AA854" s="22" t="s">
        <v>53</v>
      </c>
      <c r="AB854" t="s">
        <v>53</v>
      </c>
      <c r="AC854" t="s">
        <v>53</v>
      </c>
      <c r="AD854" t="s">
        <v>53</v>
      </c>
      <c r="AE854" t="s">
        <v>53</v>
      </c>
      <c r="AF854" s="22" t="s">
        <v>53</v>
      </c>
      <c r="AG854" s="22" t="s">
        <v>53</v>
      </c>
      <c r="AH854" s="22" t="s">
        <v>53</v>
      </c>
      <c r="AI854" s="22" t="s">
        <v>53</v>
      </c>
      <c r="AJ854">
        <v>5</v>
      </c>
      <c r="AK854">
        <v>15</v>
      </c>
      <c r="AL854">
        <v>14</v>
      </c>
      <c r="AM854">
        <v>10</v>
      </c>
      <c r="AN854" s="22">
        <v>0.2</v>
      </c>
      <c r="AO854" s="22">
        <v>0</v>
      </c>
      <c r="AP854" s="22">
        <v>0</v>
      </c>
      <c r="AQ854" s="22">
        <v>0</v>
      </c>
      <c r="AR854" s="35">
        <v>0.142857142857143</v>
      </c>
      <c r="AS854" s="35">
        <v>8.57142857142857</v>
      </c>
      <c r="AT854" s="35">
        <v>0.428571428571429</v>
      </c>
      <c r="AU854" s="31">
        <f t="shared" si="17"/>
        <v>63</v>
      </c>
      <c r="AV854" s="36">
        <f>IFERROR(时间!$B$4+AU854,"上周无销量")</f>
        <v>43381</v>
      </c>
    </row>
    <row r="855" spans="1:48">
      <c r="A855" s="20" t="s">
        <v>1908</v>
      </c>
      <c r="B855" t="s">
        <v>1909</v>
      </c>
      <c r="C855" t="s">
        <v>1910</v>
      </c>
      <c r="D855" s="31">
        <v>0</v>
      </c>
      <c r="E855" s="31">
        <v>2</v>
      </c>
      <c r="F855" s="31">
        <v>4</v>
      </c>
      <c r="G855" s="31">
        <v>1</v>
      </c>
      <c r="H855" s="32">
        <v>13.99</v>
      </c>
      <c r="I855">
        <v>31</v>
      </c>
      <c r="J855" s="33">
        <v>0</v>
      </c>
      <c r="K855" s="33">
        <v>0</v>
      </c>
      <c r="L855" s="33">
        <v>1</v>
      </c>
      <c r="M855">
        <v>32</v>
      </c>
      <c r="N855">
        <v>0</v>
      </c>
      <c r="O855">
        <v>0</v>
      </c>
      <c r="P855" t="s">
        <v>53</v>
      </c>
      <c r="Q855" t="s">
        <v>53</v>
      </c>
      <c r="R855" t="s">
        <v>53</v>
      </c>
      <c r="S855" t="s">
        <v>53</v>
      </c>
      <c r="T855" t="s">
        <v>53</v>
      </c>
      <c r="U855" t="s">
        <v>53</v>
      </c>
      <c r="V855" t="s">
        <v>53</v>
      </c>
      <c r="W855" t="s">
        <v>53</v>
      </c>
      <c r="X855" s="22" t="s">
        <v>53</v>
      </c>
      <c r="Y855" s="22" t="s">
        <v>53</v>
      </c>
      <c r="Z855" s="22" t="s">
        <v>53</v>
      </c>
      <c r="AA855" s="22" t="s">
        <v>53</v>
      </c>
      <c r="AB855" t="s">
        <v>53</v>
      </c>
      <c r="AC855" t="s">
        <v>53</v>
      </c>
      <c r="AD855" t="s">
        <v>53</v>
      </c>
      <c r="AE855" t="s">
        <v>53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7</v>
      </c>
      <c r="AK855">
        <v>13</v>
      </c>
      <c r="AL855">
        <v>13</v>
      </c>
      <c r="AM855">
        <v>13</v>
      </c>
      <c r="AN855" s="22">
        <v>0</v>
      </c>
      <c r="AO855" s="22">
        <v>0.153846153846154</v>
      </c>
      <c r="AP855" s="22">
        <v>0.307692307692308</v>
      </c>
      <c r="AQ855" s="22">
        <v>0.0769230769230769</v>
      </c>
      <c r="AR855" s="35">
        <v>0</v>
      </c>
      <c r="AS855" s="35">
        <v>0</v>
      </c>
      <c r="AT855" s="35">
        <v>32</v>
      </c>
      <c r="AU855" s="31" t="str">
        <f t="shared" si="17"/>
        <v>库存为32</v>
      </c>
      <c r="AV855" s="36" t="str">
        <f>IFERROR(时间!$B$4+AU855,"上周无销量")</f>
        <v>上周无销量</v>
      </c>
    </row>
    <row r="856" spans="1:48">
      <c r="A856" s="20" t="s">
        <v>1911</v>
      </c>
      <c r="B856" t="s">
        <v>1912</v>
      </c>
      <c r="C856" t="s">
        <v>1910</v>
      </c>
      <c r="D856" s="31">
        <v>2</v>
      </c>
      <c r="E856" s="31">
        <v>1</v>
      </c>
      <c r="F856" s="31">
        <v>1</v>
      </c>
      <c r="G856" s="31">
        <v>5</v>
      </c>
      <c r="H856" s="32">
        <v>13.99</v>
      </c>
      <c r="I856">
        <v>36</v>
      </c>
      <c r="J856" s="33">
        <v>0</v>
      </c>
      <c r="K856" s="33">
        <v>0</v>
      </c>
      <c r="L856" s="33">
        <v>0</v>
      </c>
      <c r="M856">
        <v>36</v>
      </c>
      <c r="N856">
        <v>0</v>
      </c>
      <c r="O856">
        <v>0</v>
      </c>
      <c r="P856" t="s">
        <v>53</v>
      </c>
      <c r="Q856" t="s">
        <v>53</v>
      </c>
      <c r="R856" t="s">
        <v>53</v>
      </c>
      <c r="S856" t="s">
        <v>53</v>
      </c>
      <c r="T856" t="s">
        <v>53</v>
      </c>
      <c r="U856" t="s">
        <v>53</v>
      </c>
      <c r="V856" t="s">
        <v>53</v>
      </c>
      <c r="W856" t="s">
        <v>53</v>
      </c>
      <c r="X856" s="22" t="s">
        <v>53</v>
      </c>
      <c r="Y856" s="22" t="s">
        <v>53</v>
      </c>
      <c r="Z856" s="22" t="s">
        <v>53</v>
      </c>
      <c r="AA856" s="22" t="s">
        <v>53</v>
      </c>
      <c r="AB856" t="s">
        <v>53</v>
      </c>
      <c r="AC856" t="s">
        <v>53</v>
      </c>
      <c r="AD856" t="s">
        <v>53</v>
      </c>
      <c r="AE856" t="s">
        <v>53</v>
      </c>
      <c r="AF856" s="22" t="s">
        <v>53</v>
      </c>
      <c r="AG856" s="22" t="s">
        <v>53</v>
      </c>
      <c r="AH856" s="22" t="s">
        <v>53</v>
      </c>
      <c r="AI856" s="22" t="s">
        <v>53</v>
      </c>
      <c r="AJ856">
        <v>38</v>
      </c>
      <c r="AK856">
        <v>33</v>
      </c>
      <c r="AL856">
        <v>23</v>
      </c>
      <c r="AM856">
        <v>29</v>
      </c>
      <c r="AN856" s="22">
        <v>0.0526315789473684</v>
      </c>
      <c r="AO856" s="22">
        <v>0.0303030303030303</v>
      </c>
      <c r="AP856" s="22">
        <v>0.0434782608695652</v>
      </c>
      <c r="AQ856" s="22">
        <v>0.172413793103448</v>
      </c>
      <c r="AR856" s="35">
        <v>0.285714285714286</v>
      </c>
      <c r="AS856" s="35">
        <v>17.1428571428571</v>
      </c>
      <c r="AT856" s="35">
        <v>18.8571428571429</v>
      </c>
      <c r="AU856" s="31">
        <f t="shared" si="17"/>
        <v>126</v>
      </c>
      <c r="AV856" s="36">
        <f>IFERROR(时间!$B$4+AU856,"上周无销量")</f>
        <v>43444</v>
      </c>
    </row>
    <row r="857" spans="1:48">
      <c r="A857" s="20" t="s">
        <v>1913</v>
      </c>
      <c r="B857" t="s">
        <v>1914</v>
      </c>
      <c r="C857" t="s">
        <v>1910</v>
      </c>
      <c r="D857" s="31">
        <v>1</v>
      </c>
      <c r="E857" s="31">
        <v>2</v>
      </c>
      <c r="F857" s="31">
        <v>2</v>
      </c>
      <c r="G857" s="31">
        <v>1</v>
      </c>
      <c r="H857" s="32">
        <v>13.99</v>
      </c>
      <c r="I857">
        <v>10</v>
      </c>
      <c r="J857" s="33">
        <v>0</v>
      </c>
      <c r="K857" s="33">
        <v>0</v>
      </c>
      <c r="L857" s="33">
        <v>0</v>
      </c>
      <c r="M857">
        <v>10</v>
      </c>
      <c r="N857">
        <v>0</v>
      </c>
      <c r="O857">
        <v>0</v>
      </c>
      <c r="P857" t="s">
        <v>53</v>
      </c>
      <c r="Q857" t="s">
        <v>53</v>
      </c>
      <c r="R857" t="s">
        <v>53</v>
      </c>
      <c r="S857" t="s">
        <v>53</v>
      </c>
      <c r="T857" t="s">
        <v>53</v>
      </c>
      <c r="U857" t="s">
        <v>53</v>
      </c>
      <c r="V857" t="s">
        <v>53</v>
      </c>
      <c r="W857" t="s">
        <v>53</v>
      </c>
      <c r="X857" s="22" t="s">
        <v>53</v>
      </c>
      <c r="Y857" s="22" t="s">
        <v>53</v>
      </c>
      <c r="Z857" s="22" t="s">
        <v>53</v>
      </c>
      <c r="AA857" s="22" t="s">
        <v>53</v>
      </c>
      <c r="AB857" t="s">
        <v>53</v>
      </c>
      <c r="AC857" t="s">
        <v>53</v>
      </c>
      <c r="AD857" t="s">
        <v>53</v>
      </c>
      <c r="AE857" t="s">
        <v>53</v>
      </c>
      <c r="AF857" s="22" t="s">
        <v>53</v>
      </c>
      <c r="AG857" s="22" t="s">
        <v>53</v>
      </c>
      <c r="AH857" s="22" t="s">
        <v>53</v>
      </c>
      <c r="AI857" s="22" t="s">
        <v>53</v>
      </c>
      <c r="AJ857">
        <v>19</v>
      </c>
      <c r="AK857">
        <v>36</v>
      </c>
      <c r="AL857">
        <v>14</v>
      </c>
      <c r="AM857">
        <v>18</v>
      </c>
      <c r="AN857" s="22">
        <v>0.0526315789473684</v>
      </c>
      <c r="AO857" s="22">
        <v>0.0555555555555556</v>
      </c>
      <c r="AP857" s="22">
        <v>0.142857142857143</v>
      </c>
      <c r="AQ857" s="22">
        <v>0.0555555555555556</v>
      </c>
      <c r="AR857" s="35">
        <v>0.142857142857143</v>
      </c>
      <c r="AS857" s="35">
        <v>8.57142857142857</v>
      </c>
      <c r="AT857" s="35">
        <v>1.42857142857143</v>
      </c>
      <c r="AU857" s="31">
        <f t="shared" si="17"/>
        <v>70</v>
      </c>
      <c r="AV857" s="36">
        <f>IFERROR(时间!$B$4+AU857,"上周无销量")</f>
        <v>43388</v>
      </c>
    </row>
    <row r="858" spans="1:48">
      <c r="A858" s="20" t="s">
        <v>1915</v>
      </c>
      <c r="B858" t="s">
        <v>1916</v>
      </c>
      <c r="C858" t="s">
        <v>1910</v>
      </c>
      <c r="D858" s="31">
        <v>1</v>
      </c>
      <c r="E858" s="31">
        <v>4</v>
      </c>
      <c r="F858" s="31">
        <v>1</v>
      </c>
      <c r="G858" s="31">
        <v>1</v>
      </c>
      <c r="H858" s="32">
        <v>13.99</v>
      </c>
      <c r="I858">
        <v>21</v>
      </c>
      <c r="J858" s="33">
        <v>0</v>
      </c>
      <c r="K858" s="33">
        <v>0</v>
      </c>
      <c r="L858" s="33">
        <v>0</v>
      </c>
      <c r="M858">
        <v>21</v>
      </c>
      <c r="N858">
        <v>0</v>
      </c>
      <c r="O858">
        <v>0</v>
      </c>
      <c r="P858" t="s">
        <v>53</v>
      </c>
      <c r="Q858" t="s">
        <v>53</v>
      </c>
      <c r="R858" t="s">
        <v>53</v>
      </c>
      <c r="S858" t="s">
        <v>53</v>
      </c>
      <c r="T858" t="s">
        <v>53</v>
      </c>
      <c r="U858" t="s">
        <v>53</v>
      </c>
      <c r="V858" t="s">
        <v>53</v>
      </c>
      <c r="W858" t="s">
        <v>53</v>
      </c>
      <c r="X858" s="22" t="s">
        <v>53</v>
      </c>
      <c r="Y858" s="22" t="s">
        <v>53</v>
      </c>
      <c r="Z858" s="22" t="s">
        <v>53</v>
      </c>
      <c r="AA858" s="22" t="s">
        <v>53</v>
      </c>
      <c r="AB858" t="s">
        <v>53</v>
      </c>
      <c r="AC858" t="s">
        <v>53</v>
      </c>
      <c r="AD858" t="s">
        <v>53</v>
      </c>
      <c r="AE858" t="s">
        <v>53</v>
      </c>
      <c r="AF858" s="22" t="s">
        <v>53</v>
      </c>
      <c r="AG858" s="22" t="s">
        <v>53</v>
      </c>
      <c r="AH858" s="22" t="s">
        <v>53</v>
      </c>
      <c r="AI858" s="22" t="s">
        <v>53</v>
      </c>
      <c r="AJ858">
        <v>4</v>
      </c>
      <c r="AK858">
        <v>11</v>
      </c>
      <c r="AL858">
        <v>12</v>
      </c>
      <c r="AM858">
        <v>11</v>
      </c>
      <c r="AN858" s="22">
        <v>0.25</v>
      </c>
      <c r="AO858" s="22">
        <v>0.363636363636364</v>
      </c>
      <c r="AP858" s="22">
        <v>0.0833333333333333</v>
      </c>
      <c r="AQ858" s="22">
        <v>0.0909090909090909</v>
      </c>
      <c r="AR858" s="35">
        <v>0.142857142857143</v>
      </c>
      <c r="AS858" s="35">
        <v>8.57142857142857</v>
      </c>
      <c r="AT858" s="35">
        <v>12.4285714285714</v>
      </c>
      <c r="AU858" s="31">
        <f t="shared" si="17"/>
        <v>147</v>
      </c>
      <c r="AV858" s="36">
        <f>IFERROR(时间!$B$4+AU858,"上周无销量")</f>
        <v>43465</v>
      </c>
    </row>
    <row r="859" spans="1:48">
      <c r="A859" s="20" t="s">
        <v>1917</v>
      </c>
      <c r="B859" t="s">
        <v>1918</v>
      </c>
      <c r="C859" t="s">
        <v>1910</v>
      </c>
      <c r="D859" s="31">
        <v>0</v>
      </c>
      <c r="E859" s="31">
        <v>2</v>
      </c>
      <c r="F859" s="31">
        <v>3</v>
      </c>
      <c r="G859" s="31">
        <v>2</v>
      </c>
      <c r="H859" s="32">
        <v>13.99</v>
      </c>
      <c r="I859">
        <v>20</v>
      </c>
      <c r="J859" s="33">
        <v>0</v>
      </c>
      <c r="K859" s="33">
        <v>0</v>
      </c>
      <c r="L859" s="33">
        <v>0</v>
      </c>
      <c r="M859">
        <v>20</v>
      </c>
      <c r="N859">
        <v>0</v>
      </c>
      <c r="O859">
        <v>0</v>
      </c>
      <c r="P859" t="s">
        <v>53</v>
      </c>
      <c r="Q859" t="s">
        <v>53</v>
      </c>
      <c r="R859" t="s">
        <v>53</v>
      </c>
      <c r="S859" t="s">
        <v>53</v>
      </c>
      <c r="T859" t="s">
        <v>53</v>
      </c>
      <c r="U859" t="s">
        <v>53</v>
      </c>
      <c r="V859" t="s">
        <v>53</v>
      </c>
      <c r="W859" t="s">
        <v>53</v>
      </c>
      <c r="X859" s="22" t="s">
        <v>53</v>
      </c>
      <c r="Y859" s="22" t="s">
        <v>53</v>
      </c>
      <c r="Z859" s="22" t="s">
        <v>53</v>
      </c>
      <c r="AA859" s="22" t="s">
        <v>53</v>
      </c>
      <c r="AB859" t="s">
        <v>53</v>
      </c>
      <c r="AC859" t="s">
        <v>53</v>
      </c>
      <c r="AD859" t="s">
        <v>53</v>
      </c>
      <c r="AE859" t="s">
        <v>53</v>
      </c>
      <c r="AF859" s="22" t="s">
        <v>53</v>
      </c>
      <c r="AG859" s="22" t="s">
        <v>53</v>
      </c>
      <c r="AH859" s="22" t="s">
        <v>53</v>
      </c>
      <c r="AI859" s="22" t="s">
        <v>53</v>
      </c>
      <c r="AJ859">
        <v>14</v>
      </c>
      <c r="AK859">
        <v>15</v>
      </c>
      <c r="AL859">
        <v>19</v>
      </c>
      <c r="AM859">
        <v>14</v>
      </c>
      <c r="AN859" s="22">
        <v>0</v>
      </c>
      <c r="AO859" s="22">
        <v>0.133333333333333</v>
      </c>
      <c r="AP859" s="22">
        <v>0.157894736842105</v>
      </c>
      <c r="AQ859" s="22">
        <v>0.142857142857143</v>
      </c>
      <c r="AR859" s="35">
        <v>0</v>
      </c>
      <c r="AS859" s="35">
        <v>0</v>
      </c>
      <c r="AT859" s="35">
        <v>20</v>
      </c>
      <c r="AU859" s="31" t="str">
        <f t="shared" si="17"/>
        <v>库存为20</v>
      </c>
      <c r="AV859" s="36" t="str">
        <f>IFERROR(时间!$B$4+AU859,"上周无销量")</f>
        <v>上周无销量</v>
      </c>
    </row>
    <row r="860" spans="1:48">
      <c r="A860" s="20" t="s">
        <v>1919</v>
      </c>
      <c r="B860" t="s">
        <v>1920</v>
      </c>
      <c r="C860" t="s">
        <v>1910</v>
      </c>
      <c r="D860" s="31">
        <v>1</v>
      </c>
      <c r="E860" s="31">
        <v>0</v>
      </c>
      <c r="F860" s="31">
        <v>2</v>
      </c>
      <c r="G860" s="31">
        <v>3</v>
      </c>
      <c r="H860" s="32">
        <v>13.99</v>
      </c>
      <c r="I860">
        <v>28</v>
      </c>
      <c r="J860" s="33">
        <v>0</v>
      </c>
      <c r="K860" s="33">
        <v>0</v>
      </c>
      <c r="L860" s="33">
        <v>0</v>
      </c>
      <c r="M860">
        <v>28</v>
      </c>
      <c r="N860">
        <v>0</v>
      </c>
      <c r="O860">
        <v>0</v>
      </c>
      <c r="P860" t="s">
        <v>53</v>
      </c>
      <c r="Q860" t="s">
        <v>53</v>
      </c>
      <c r="R860" t="s">
        <v>53</v>
      </c>
      <c r="S860" t="s">
        <v>53</v>
      </c>
      <c r="T860" t="s">
        <v>53</v>
      </c>
      <c r="U860" t="s">
        <v>53</v>
      </c>
      <c r="V860" t="s">
        <v>53</v>
      </c>
      <c r="W860" t="s">
        <v>53</v>
      </c>
      <c r="X860" s="22" t="s">
        <v>53</v>
      </c>
      <c r="Y860" s="22" t="s">
        <v>53</v>
      </c>
      <c r="Z860" s="22" t="s">
        <v>53</v>
      </c>
      <c r="AA860" s="22" t="s">
        <v>53</v>
      </c>
      <c r="AB860" t="s">
        <v>53</v>
      </c>
      <c r="AC860" t="s">
        <v>53</v>
      </c>
      <c r="AD860" t="s">
        <v>53</v>
      </c>
      <c r="AE860" t="s">
        <v>53</v>
      </c>
      <c r="AF860" s="22" t="s">
        <v>53</v>
      </c>
      <c r="AG860" s="22" t="s">
        <v>53</v>
      </c>
      <c r="AH860" s="22" t="s">
        <v>53</v>
      </c>
      <c r="AI860" s="22" t="s">
        <v>53</v>
      </c>
      <c r="AJ860">
        <v>13</v>
      </c>
      <c r="AK860">
        <v>19</v>
      </c>
      <c r="AL860">
        <v>17</v>
      </c>
      <c r="AM860">
        <v>28</v>
      </c>
      <c r="AN860" s="22">
        <v>0.0769230769230769</v>
      </c>
      <c r="AO860" s="22">
        <v>0</v>
      </c>
      <c r="AP860" s="22">
        <v>0.117647058823529</v>
      </c>
      <c r="AQ860" s="22">
        <v>0.107142857142857</v>
      </c>
      <c r="AR860" s="35">
        <v>0.142857142857143</v>
      </c>
      <c r="AS860" s="35">
        <v>8.57142857142857</v>
      </c>
      <c r="AT860" s="35">
        <v>19.4285714285714</v>
      </c>
      <c r="AU860" s="31">
        <f t="shared" si="17"/>
        <v>196</v>
      </c>
      <c r="AV860" s="36">
        <f>IFERROR(时间!$B$4+AU860,"上周无销量")</f>
        <v>43514</v>
      </c>
    </row>
    <row r="861" spans="1:48">
      <c r="A861" s="20" t="s">
        <v>1921</v>
      </c>
      <c r="B861" t="s">
        <v>1922</v>
      </c>
      <c r="C861" t="s">
        <v>1910</v>
      </c>
      <c r="D861" s="31">
        <v>0</v>
      </c>
      <c r="E861" s="31">
        <v>6</v>
      </c>
      <c r="F861" s="31">
        <v>2</v>
      </c>
      <c r="G861" s="31">
        <v>3</v>
      </c>
      <c r="H861" s="32">
        <v>13.99</v>
      </c>
      <c r="I861">
        <v>16</v>
      </c>
      <c r="J861" s="33">
        <v>10</v>
      </c>
      <c r="K861" s="33">
        <v>0</v>
      </c>
      <c r="L861" s="33">
        <v>0</v>
      </c>
      <c r="M861">
        <v>26</v>
      </c>
      <c r="N861">
        <v>0</v>
      </c>
      <c r="O861">
        <v>0</v>
      </c>
      <c r="P861" t="s">
        <v>53</v>
      </c>
      <c r="Q861" t="s">
        <v>53</v>
      </c>
      <c r="R861" t="s">
        <v>53</v>
      </c>
      <c r="S861" t="s">
        <v>53</v>
      </c>
      <c r="T861" t="s">
        <v>53</v>
      </c>
      <c r="U861" t="s">
        <v>53</v>
      </c>
      <c r="V861" t="s">
        <v>53</v>
      </c>
      <c r="W861" t="s">
        <v>53</v>
      </c>
      <c r="X861" s="22" t="s">
        <v>53</v>
      </c>
      <c r="Y861" s="22" t="s">
        <v>53</v>
      </c>
      <c r="Z861" s="22" t="s">
        <v>53</v>
      </c>
      <c r="AA861" s="22" t="s">
        <v>53</v>
      </c>
      <c r="AB861" t="s">
        <v>53</v>
      </c>
      <c r="AC861" t="s">
        <v>53</v>
      </c>
      <c r="AD861" t="s">
        <v>53</v>
      </c>
      <c r="AE861" t="s">
        <v>53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15</v>
      </c>
      <c r="AK861">
        <v>15</v>
      </c>
      <c r="AL861">
        <v>15</v>
      </c>
      <c r="AM861">
        <v>16</v>
      </c>
      <c r="AN861" s="22">
        <v>0</v>
      </c>
      <c r="AO861" s="22">
        <v>0.4</v>
      </c>
      <c r="AP861" s="22">
        <v>0.133333333333333</v>
      </c>
      <c r="AQ861" s="22">
        <v>0.1875</v>
      </c>
      <c r="AR861" s="35">
        <v>0</v>
      </c>
      <c r="AS861" s="35">
        <v>0</v>
      </c>
      <c r="AT861" s="35">
        <v>26</v>
      </c>
      <c r="AU861" s="31" t="str">
        <f t="shared" si="17"/>
        <v>库存为26</v>
      </c>
      <c r="AV861" s="36" t="str">
        <f>IFERROR(时间!$B$4+AU861,"上周无销量")</f>
        <v>上周无销量</v>
      </c>
    </row>
    <row r="862" spans="1:48">
      <c r="A862" s="20" t="s">
        <v>1923</v>
      </c>
      <c r="B862" t="s">
        <v>1924</v>
      </c>
      <c r="C862" t="s">
        <v>1910</v>
      </c>
      <c r="D862" s="31">
        <v>0</v>
      </c>
      <c r="E862" s="31">
        <v>6</v>
      </c>
      <c r="F862" s="31">
        <v>2</v>
      </c>
      <c r="G862" s="31">
        <v>2</v>
      </c>
      <c r="H862" s="32">
        <v>13.99</v>
      </c>
      <c r="I862">
        <v>14</v>
      </c>
      <c r="J862" s="33">
        <v>15</v>
      </c>
      <c r="K862" s="33">
        <v>0</v>
      </c>
      <c r="L862" s="33">
        <v>0</v>
      </c>
      <c r="M862">
        <v>29</v>
      </c>
      <c r="N862">
        <v>0</v>
      </c>
      <c r="O862">
        <v>0</v>
      </c>
      <c r="P862" t="s">
        <v>53</v>
      </c>
      <c r="Q862" t="s">
        <v>53</v>
      </c>
      <c r="R862" t="s">
        <v>53</v>
      </c>
      <c r="S862" t="s">
        <v>53</v>
      </c>
      <c r="T862" t="s">
        <v>53</v>
      </c>
      <c r="U862" t="s">
        <v>53</v>
      </c>
      <c r="V862" t="s">
        <v>53</v>
      </c>
      <c r="W862" t="s">
        <v>53</v>
      </c>
      <c r="X862" s="22" t="s">
        <v>53</v>
      </c>
      <c r="Y862" s="22" t="s">
        <v>53</v>
      </c>
      <c r="Z862" s="22" t="s">
        <v>53</v>
      </c>
      <c r="AA862" s="22" t="s">
        <v>53</v>
      </c>
      <c r="AB862" t="s">
        <v>53</v>
      </c>
      <c r="AC862" t="s">
        <v>53</v>
      </c>
      <c r="AD862" t="s">
        <v>53</v>
      </c>
      <c r="AE862" t="s">
        <v>53</v>
      </c>
      <c r="AF862" s="22" t="s">
        <v>53</v>
      </c>
      <c r="AG862" s="22" t="s">
        <v>53</v>
      </c>
      <c r="AH862" s="22" t="s">
        <v>53</v>
      </c>
      <c r="AI862" s="22" t="s">
        <v>53</v>
      </c>
      <c r="AJ862">
        <v>15</v>
      </c>
      <c r="AK862">
        <v>16</v>
      </c>
      <c r="AL862">
        <v>19</v>
      </c>
      <c r="AM862">
        <v>19</v>
      </c>
      <c r="AN862" s="22">
        <v>0</v>
      </c>
      <c r="AO862" s="22">
        <v>0.375</v>
      </c>
      <c r="AP862" s="22">
        <v>0.105263157894737</v>
      </c>
      <c r="AQ862" s="22">
        <v>0.105263157894737</v>
      </c>
      <c r="AR862" s="35">
        <v>0</v>
      </c>
      <c r="AS862" s="35">
        <v>0</v>
      </c>
      <c r="AT862" s="35">
        <v>29</v>
      </c>
      <c r="AU862" s="31" t="str">
        <f t="shared" si="17"/>
        <v>库存为29</v>
      </c>
      <c r="AV862" s="36" t="str">
        <f>IFERROR(时间!$B$4+AU862,"上周无销量")</f>
        <v>上周无销量</v>
      </c>
    </row>
    <row r="863" spans="1:48">
      <c r="A863" s="20" t="s">
        <v>1925</v>
      </c>
      <c r="B863" t="s">
        <v>1926</v>
      </c>
      <c r="C863" t="s">
        <v>1910</v>
      </c>
      <c r="D863" s="31">
        <v>1</v>
      </c>
      <c r="E863" s="31">
        <v>2</v>
      </c>
      <c r="F863" s="31">
        <v>2</v>
      </c>
      <c r="G863" s="31">
        <v>3</v>
      </c>
      <c r="H863" s="32">
        <v>13.99</v>
      </c>
      <c r="I863">
        <v>31</v>
      </c>
      <c r="J863" s="33">
        <v>0</v>
      </c>
      <c r="K863" s="33">
        <v>0</v>
      </c>
      <c r="L863" s="33">
        <v>0</v>
      </c>
      <c r="M863">
        <v>31</v>
      </c>
      <c r="N863">
        <v>0</v>
      </c>
      <c r="O863">
        <v>0</v>
      </c>
      <c r="P863" t="s">
        <v>53</v>
      </c>
      <c r="Q863" t="s">
        <v>53</v>
      </c>
      <c r="R863" t="s">
        <v>53</v>
      </c>
      <c r="S863" t="s">
        <v>53</v>
      </c>
      <c r="T863" t="s">
        <v>53</v>
      </c>
      <c r="U863" t="s">
        <v>53</v>
      </c>
      <c r="V863" t="s">
        <v>53</v>
      </c>
      <c r="W863" t="s">
        <v>53</v>
      </c>
      <c r="X863" s="22" t="s">
        <v>53</v>
      </c>
      <c r="Y863" s="22" t="s">
        <v>53</v>
      </c>
      <c r="Z863" s="22" t="s">
        <v>53</v>
      </c>
      <c r="AA863" s="22" t="s">
        <v>53</v>
      </c>
      <c r="AB863" t="s">
        <v>53</v>
      </c>
      <c r="AC863" t="s">
        <v>53</v>
      </c>
      <c r="AD863" t="s">
        <v>53</v>
      </c>
      <c r="AE863" t="s">
        <v>53</v>
      </c>
      <c r="AF863" s="22" t="s">
        <v>53</v>
      </c>
      <c r="AG863" s="22" t="s">
        <v>53</v>
      </c>
      <c r="AH863" s="22" t="s">
        <v>53</v>
      </c>
      <c r="AI863" s="22" t="s">
        <v>53</v>
      </c>
      <c r="AJ863">
        <v>16</v>
      </c>
      <c r="AK863">
        <v>23</v>
      </c>
      <c r="AL863">
        <v>6</v>
      </c>
      <c r="AM863">
        <v>18</v>
      </c>
      <c r="AN863" s="22">
        <v>0.0625</v>
      </c>
      <c r="AO863" s="22">
        <v>0.0869565217391304</v>
      </c>
      <c r="AP863" s="22">
        <v>0.333333333333333</v>
      </c>
      <c r="AQ863" s="22">
        <v>0.166666666666667</v>
      </c>
      <c r="AR863" s="35">
        <v>0.142857142857143</v>
      </c>
      <c r="AS863" s="35">
        <v>8.57142857142857</v>
      </c>
      <c r="AT863" s="35">
        <v>22.4285714285714</v>
      </c>
      <c r="AU863" s="31">
        <f t="shared" si="17"/>
        <v>217</v>
      </c>
      <c r="AV863" s="36">
        <f>IFERROR(时间!$B$4+AU863,"上周无销量")</f>
        <v>43535</v>
      </c>
    </row>
    <row r="864" spans="1:48">
      <c r="A864" s="20" t="s">
        <v>1927</v>
      </c>
      <c r="B864" t="s">
        <v>1928</v>
      </c>
      <c r="C864" t="s">
        <v>1910</v>
      </c>
      <c r="D864" s="31">
        <v>4</v>
      </c>
      <c r="E864" s="31">
        <v>0</v>
      </c>
      <c r="F864" s="31">
        <v>1</v>
      </c>
      <c r="G864" s="31">
        <v>4</v>
      </c>
      <c r="H864" s="32">
        <v>13.99</v>
      </c>
      <c r="I864">
        <v>36</v>
      </c>
      <c r="J864" s="33">
        <v>0</v>
      </c>
      <c r="K864" s="33">
        <v>0</v>
      </c>
      <c r="L864" s="33">
        <v>0</v>
      </c>
      <c r="M864">
        <v>36</v>
      </c>
      <c r="N864">
        <v>0</v>
      </c>
      <c r="O864">
        <v>0</v>
      </c>
      <c r="P864" t="s">
        <v>53</v>
      </c>
      <c r="Q864" t="s">
        <v>53</v>
      </c>
      <c r="R864" t="s">
        <v>53</v>
      </c>
      <c r="S864" t="s">
        <v>53</v>
      </c>
      <c r="T864" t="s">
        <v>53</v>
      </c>
      <c r="U864" t="s">
        <v>53</v>
      </c>
      <c r="V864" t="s">
        <v>53</v>
      </c>
      <c r="W864" t="s">
        <v>53</v>
      </c>
      <c r="X864" s="22" t="s">
        <v>53</v>
      </c>
      <c r="Y864" s="22" t="s">
        <v>53</v>
      </c>
      <c r="Z864" s="22" t="s">
        <v>53</v>
      </c>
      <c r="AA864" s="22" t="s">
        <v>53</v>
      </c>
      <c r="AB864" t="s">
        <v>53</v>
      </c>
      <c r="AC864" t="s">
        <v>53</v>
      </c>
      <c r="AD864" t="s">
        <v>53</v>
      </c>
      <c r="AE864" t="s">
        <v>53</v>
      </c>
      <c r="AF864" s="22" t="s">
        <v>53</v>
      </c>
      <c r="AG864" s="22" t="s">
        <v>53</v>
      </c>
      <c r="AH864" s="22" t="s">
        <v>53</v>
      </c>
      <c r="AI864" s="22" t="s">
        <v>53</v>
      </c>
      <c r="AJ864">
        <v>19</v>
      </c>
      <c r="AK864">
        <v>9</v>
      </c>
      <c r="AL864">
        <v>9</v>
      </c>
      <c r="AM864">
        <v>7</v>
      </c>
      <c r="AN864" s="22">
        <v>0.210526315789474</v>
      </c>
      <c r="AO864" s="22">
        <v>0</v>
      </c>
      <c r="AP864" s="22">
        <v>0.111111111111111</v>
      </c>
      <c r="AQ864" s="22">
        <v>0.571428571428571</v>
      </c>
      <c r="AR864" s="35">
        <v>0.571428571428571</v>
      </c>
      <c r="AS864" s="35">
        <v>34.2857142857143</v>
      </c>
      <c r="AT864" s="35">
        <v>1.71428571428572</v>
      </c>
      <c r="AU864" s="31">
        <f t="shared" si="17"/>
        <v>63</v>
      </c>
      <c r="AV864" s="36">
        <f>IFERROR(时间!$B$4+AU864,"上周无销量")</f>
        <v>43381</v>
      </c>
    </row>
    <row r="865" spans="1:48">
      <c r="A865" s="20" t="s">
        <v>1929</v>
      </c>
      <c r="B865" t="s">
        <v>1930</v>
      </c>
      <c r="C865" t="s">
        <v>1910</v>
      </c>
      <c r="D865" s="31">
        <v>3</v>
      </c>
      <c r="E865" s="31">
        <v>3</v>
      </c>
      <c r="F865" s="31">
        <v>1</v>
      </c>
      <c r="G865" s="31">
        <v>3</v>
      </c>
      <c r="H865" s="32">
        <v>12.99</v>
      </c>
      <c r="I865">
        <v>19</v>
      </c>
      <c r="J865" s="33">
        <v>0</v>
      </c>
      <c r="K865" s="33">
        <v>0</v>
      </c>
      <c r="L865" s="33">
        <v>1</v>
      </c>
      <c r="M865">
        <v>20</v>
      </c>
      <c r="N865">
        <v>0</v>
      </c>
      <c r="O865">
        <v>0</v>
      </c>
      <c r="P865">
        <v>1741</v>
      </c>
      <c r="Q865">
        <v>1583</v>
      </c>
      <c r="R865">
        <v>0</v>
      </c>
      <c r="S865">
        <v>0</v>
      </c>
      <c r="T865">
        <v>2</v>
      </c>
      <c r="U865">
        <v>1</v>
      </c>
      <c r="V865">
        <v>0</v>
      </c>
      <c r="W865">
        <v>0</v>
      </c>
      <c r="X865" s="22">
        <v>0.00114876507754164</v>
      </c>
      <c r="Y865" s="22">
        <v>0.000631711939355654</v>
      </c>
      <c r="Z865" s="22" t="s">
        <v>53</v>
      </c>
      <c r="AA865" s="22" t="s">
        <v>53</v>
      </c>
      <c r="AB865">
        <v>0.53</v>
      </c>
      <c r="AC865">
        <v>0.19</v>
      </c>
      <c r="AD865">
        <v>0</v>
      </c>
      <c r="AE865">
        <v>0</v>
      </c>
      <c r="AF865" s="22">
        <v>0.0136002052861175</v>
      </c>
      <c r="AG865" s="22">
        <v>0.00487554529124968</v>
      </c>
      <c r="AH865" s="22" t="s">
        <v>53</v>
      </c>
      <c r="AI865" s="22" t="s">
        <v>53</v>
      </c>
      <c r="AJ865">
        <v>12</v>
      </c>
      <c r="AK865">
        <v>13</v>
      </c>
      <c r="AL865">
        <v>11</v>
      </c>
      <c r="AM865">
        <v>9</v>
      </c>
      <c r="AN865" s="22">
        <v>0.25</v>
      </c>
      <c r="AO865" s="22">
        <v>0.230769230769231</v>
      </c>
      <c r="AP865" s="22">
        <v>0.0909090909090909</v>
      </c>
      <c r="AQ865" s="22">
        <v>0.333333333333333</v>
      </c>
      <c r="AR865" s="35">
        <v>0.428571428571429</v>
      </c>
      <c r="AS865" s="35">
        <v>25.7142857142857</v>
      </c>
      <c r="AT865" s="35">
        <v>-5.71428571428571</v>
      </c>
      <c r="AU865" s="31">
        <f t="shared" si="17"/>
        <v>46</v>
      </c>
      <c r="AV865" s="36">
        <f>IFERROR(时间!$B$4+AU865,"上周无销量")</f>
        <v>43364</v>
      </c>
    </row>
    <row r="866" spans="1:48">
      <c r="A866" s="20" t="s">
        <v>1931</v>
      </c>
      <c r="B866" t="s">
        <v>1932</v>
      </c>
      <c r="C866" t="s">
        <v>1910</v>
      </c>
      <c r="D866" s="31">
        <v>2</v>
      </c>
      <c r="E866" s="31">
        <v>1</v>
      </c>
      <c r="F866" s="31">
        <v>0</v>
      </c>
      <c r="G866" s="31">
        <v>0</v>
      </c>
      <c r="H866" s="32">
        <v>12.99</v>
      </c>
      <c r="I866">
        <v>40</v>
      </c>
      <c r="J866" s="33">
        <v>0</v>
      </c>
      <c r="K866" s="33">
        <v>0</v>
      </c>
      <c r="L866" s="33">
        <v>0</v>
      </c>
      <c r="M866">
        <v>40</v>
      </c>
      <c r="N866">
        <v>0</v>
      </c>
      <c r="O866">
        <v>0</v>
      </c>
      <c r="P866" t="s">
        <v>53</v>
      </c>
      <c r="Q866" t="s">
        <v>53</v>
      </c>
      <c r="R866" t="s">
        <v>53</v>
      </c>
      <c r="S866" t="s">
        <v>53</v>
      </c>
      <c r="T866" t="s">
        <v>53</v>
      </c>
      <c r="U866" t="s">
        <v>53</v>
      </c>
      <c r="V866" t="s">
        <v>53</v>
      </c>
      <c r="W866" t="s">
        <v>53</v>
      </c>
      <c r="X866" s="22" t="s">
        <v>53</v>
      </c>
      <c r="Y866" s="22" t="s">
        <v>53</v>
      </c>
      <c r="Z866" s="22" t="s">
        <v>53</v>
      </c>
      <c r="AA866" s="22" t="s">
        <v>53</v>
      </c>
      <c r="AB866" t="s">
        <v>53</v>
      </c>
      <c r="AC866" t="s">
        <v>53</v>
      </c>
      <c r="AD866" t="s">
        <v>53</v>
      </c>
      <c r="AE866" t="s">
        <v>53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23</v>
      </c>
      <c r="AK866">
        <v>21</v>
      </c>
      <c r="AL866">
        <v>15</v>
      </c>
      <c r="AM866">
        <v>15</v>
      </c>
      <c r="AN866" s="22">
        <v>0.0869565217391304</v>
      </c>
      <c r="AO866" s="22">
        <v>0.0476190476190476</v>
      </c>
      <c r="AP866" s="22">
        <v>0</v>
      </c>
      <c r="AQ866" s="22">
        <v>0</v>
      </c>
      <c r="AR866" s="35">
        <v>0.285714285714286</v>
      </c>
      <c r="AS866" s="35">
        <v>17.1428571428571</v>
      </c>
      <c r="AT866" s="35">
        <v>22.8571428571429</v>
      </c>
      <c r="AU866" s="31">
        <f t="shared" si="17"/>
        <v>140</v>
      </c>
      <c r="AV866" s="36">
        <f>IFERROR(时间!$B$4+AU866,"上周无销量")</f>
        <v>43458</v>
      </c>
    </row>
    <row r="867" spans="1:48">
      <c r="A867" s="20" t="s">
        <v>1933</v>
      </c>
      <c r="B867" t="s">
        <v>1934</v>
      </c>
      <c r="C867" t="s">
        <v>1910</v>
      </c>
      <c r="D867" s="31">
        <v>2</v>
      </c>
      <c r="E867" s="31">
        <v>5</v>
      </c>
      <c r="F867" s="31">
        <v>8</v>
      </c>
      <c r="G867" s="31">
        <v>1</v>
      </c>
      <c r="H867" s="32">
        <v>13.99</v>
      </c>
      <c r="I867">
        <v>6</v>
      </c>
      <c r="J867" s="33">
        <v>0</v>
      </c>
      <c r="K867" s="33">
        <v>25</v>
      </c>
      <c r="L867" s="33">
        <v>1</v>
      </c>
      <c r="M867">
        <v>32</v>
      </c>
      <c r="N867">
        <v>0</v>
      </c>
      <c r="O867">
        <v>0</v>
      </c>
      <c r="P867">
        <v>48</v>
      </c>
      <c r="Q867">
        <v>28</v>
      </c>
      <c r="R867">
        <v>63</v>
      </c>
      <c r="S867">
        <v>8</v>
      </c>
      <c r="T867">
        <v>0</v>
      </c>
      <c r="U867">
        <v>0</v>
      </c>
      <c r="V867">
        <v>0</v>
      </c>
      <c r="W867">
        <v>0</v>
      </c>
      <c r="X867" s="22">
        <v>0</v>
      </c>
      <c r="Y867" s="22">
        <v>0</v>
      </c>
      <c r="Z867" s="22">
        <v>0</v>
      </c>
      <c r="AA867" s="22">
        <v>0</v>
      </c>
      <c r="AB867">
        <v>0</v>
      </c>
      <c r="AC867">
        <v>0</v>
      </c>
      <c r="AD867">
        <v>0</v>
      </c>
      <c r="AE867">
        <v>0</v>
      </c>
      <c r="AF867" s="22" t="s">
        <v>53</v>
      </c>
      <c r="AG867" s="22" t="s">
        <v>53</v>
      </c>
      <c r="AH867" s="22" t="s">
        <v>53</v>
      </c>
      <c r="AI867" s="22" t="s">
        <v>53</v>
      </c>
      <c r="AJ867">
        <v>14</v>
      </c>
      <c r="AK867">
        <v>27</v>
      </c>
      <c r="AL867">
        <v>23</v>
      </c>
      <c r="AM867">
        <v>3</v>
      </c>
      <c r="AN867" s="22">
        <v>0.142857142857143</v>
      </c>
      <c r="AO867" s="22">
        <v>0.185185185185185</v>
      </c>
      <c r="AP867" s="22">
        <v>0.347826086956522</v>
      </c>
      <c r="AQ867" s="22">
        <v>0.333333333333333</v>
      </c>
      <c r="AR867" s="35">
        <v>0.285714285714286</v>
      </c>
      <c r="AS867" s="35">
        <v>17.1428571428571</v>
      </c>
      <c r="AT867" s="35">
        <v>14.8571428571429</v>
      </c>
      <c r="AU867" s="31">
        <f t="shared" si="17"/>
        <v>112</v>
      </c>
      <c r="AV867" s="36">
        <f>IFERROR(时间!$B$4+AU867,"上周无销量")</f>
        <v>43430</v>
      </c>
    </row>
    <row r="868" spans="1:48">
      <c r="A868" s="20" t="s">
        <v>1935</v>
      </c>
      <c r="B868" t="s">
        <v>1936</v>
      </c>
      <c r="C868" t="s">
        <v>1910</v>
      </c>
      <c r="D868" s="31">
        <v>6</v>
      </c>
      <c r="E868" s="31">
        <v>1</v>
      </c>
      <c r="F868" s="31">
        <v>4</v>
      </c>
      <c r="G868" s="31">
        <v>21</v>
      </c>
      <c r="H868" s="32">
        <v>13.99</v>
      </c>
      <c r="I868">
        <v>22</v>
      </c>
      <c r="J868" s="33">
        <v>0</v>
      </c>
      <c r="K868" s="33">
        <v>0</v>
      </c>
      <c r="L868" s="33">
        <v>0</v>
      </c>
      <c r="M868">
        <v>22</v>
      </c>
      <c r="N868">
        <v>0</v>
      </c>
      <c r="O868">
        <v>0</v>
      </c>
      <c r="P868" t="s">
        <v>53</v>
      </c>
      <c r="Q868" t="s">
        <v>53</v>
      </c>
      <c r="R868" t="s">
        <v>53</v>
      </c>
      <c r="S868" t="s">
        <v>53</v>
      </c>
      <c r="T868" t="s">
        <v>53</v>
      </c>
      <c r="U868" t="s">
        <v>53</v>
      </c>
      <c r="V868" t="s">
        <v>53</v>
      </c>
      <c r="W868" t="s">
        <v>53</v>
      </c>
      <c r="X868" s="22" t="s">
        <v>53</v>
      </c>
      <c r="Y868" s="22" t="s">
        <v>53</v>
      </c>
      <c r="Z868" s="22" t="s">
        <v>53</v>
      </c>
      <c r="AA868" s="22" t="s">
        <v>53</v>
      </c>
      <c r="AB868" t="s">
        <v>53</v>
      </c>
      <c r="AC868" t="s">
        <v>53</v>
      </c>
      <c r="AD868" t="s">
        <v>53</v>
      </c>
      <c r="AE868" t="s">
        <v>53</v>
      </c>
      <c r="AF868" s="22" t="s">
        <v>53</v>
      </c>
      <c r="AG868" s="22" t="s">
        <v>53</v>
      </c>
      <c r="AH868" s="22" t="s">
        <v>53</v>
      </c>
      <c r="AI868" s="22" t="s">
        <v>53</v>
      </c>
      <c r="AJ868">
        <v>30</v>
      </c>
      <c r="AK868">
        <v>66</v>
      </c>
      <c r="AL868">
        <v>19</v>
      </c>
      <c r="AM868">
        <v>48</v>
      </c>
      <c r="AN868" s="22">
        <v>0.2</v>
      </c>
      <c r="AO868" s="22">
        <v>0.0151515151515152</v>
      </c>
      <c r="AP868" s="22">
        <v>0.210526315789474</v>
      </c>
      <c r="AQ868" s="22">
        <v>0.4375</v>
      </c>
      <c r="AR868" s="35">
        <v>0.857142857142857</v>
      </c>
      <c r="AS868" s="35">
        <v>51.4285714285714</v>
      </c>
      <c r="AT868" s="35">
        <v>-29.4285714285714</v>
      </c>
      <c r="AU868" s="31">
        <f t="shared" si="17"/>
        <v>25</v>
      </c>
      <c r="AV868" s="36">
        <f>IFERROR(时间!$B$4+AU868,"上周无销量")</f>
        <v>43343</v>
      </c>
    </row>
    <row r="869" spans="1:48">
      <c r="A869" s="20" t="s">
        <v>1937</v>
      </c>
      <c r="B869" t="s">
        <v>1938</v>
      </c>
      <c r="C869" t="s">
        <v>1910</v>
      </c>
      <c r="D869" s="31">
        <v>3</v>
      </c>
      <c r="E869" s="31">
        <v>5</v>
      </c>
      <c r="F869" s="31">
        <v>2</v>
      </c>
      <c r="G869" s="31">
        <v>18</v>
      </c>
      <c r="H869" s="32">
        <v>13.99</v>
      </c>
      <c r="I869">
        <v>46</v>
      </c>
      <c r="J869" s="33">
        <v>0</v>
      </c>
      <c r="K869" s="33">
        <v>0</v>
      </c>
      <c r="L869" s="33">
        <v>0</v>
      </c>
      <c r="M869">
        <v>46</v>
      </c>
      <c r="N869">
        <v>1</v>
      </c>
      <c r="O869">
        <v>0</v>
      </c>
      <c r="P869">
        <v>54951</v>
      </c>
      <c r="Q869">
        <v>108644</v>
      </c>
      <c r="R869">
        <v>11413</v>
      </c>
      <c r="S869">
        <v>80331</v>
      </c>
      <c r="T869">
        <v>135</v>
      </c>
      <c r="U869">
        <v>270</v>
      </c>
      <c r="V869">
        <v>38</v>
      </c>
      <c r="W869">
        <v>278</v>
      </c>
      <c r="X869" s="22">
        <v>0.00245673418136158</v>
      </c>
      <c r="Y869" s="22">
        <v>0.00248518095799124</v>
      </c>
      <c r="Z869" s="22">
        <v>0.00332953649347236</v>
      </c>
      <c r="AA869" s="22">
        <v>0.00346068143058097</v>
      </c>
      <c r="AB869">
        <v>44.82</v>
      </c>
      <c r="AC869">
        <v>91.36</v>
      </c>
      <c r="AD869">
        <v>22.79</v>
      </c>
      <c r="AE869">
        <v>132.42</v>
      </c>
      <c r="AF869" s="22">
        <v>1.06790564689064</v>
      </c>
      <c r="AG869" s="22">
        <v>1.306075768406</v>
      </c>
      <c r="AH869" s="22">
        <v>0.814510364546104</v>
      </c>
      <c r="AI869" s="22">
        <v>0.525851798903979</v>
      </c>
      <c r="AJ869">
        <v>86</v>
      </c>
      <c r="AK869">
        <v>143</v>
      </c>
      <c r="AL869">
        <v>15</v>
      </c>
      <c r="AM869">
        <v>178</v>
      </c>
      <c r="AN869" s="22">
        <v>0.0348837209302326</v>
      </c>
      <c r="AO869" s="22">
        <v>0.034965034965035</v>
      </c>
      <c r="AP869" s="22">
        <v>0.133333333333333</v>
      </c>
      <c r="AQ869" s="22">
        <v>0.101123595505618</v>
      </c>
      <c r="AR869" s="35">
        <v>0.428571428571429</v>
      </c>
      <c r="AS869" s="35">
        <v>25.7142857142857</v>
      </c>
      <c r="AT869" s="35">
        <v>20.2857142857143</v>
      </c>
      <c r="AU869" s="31">
        <f t="shared" si="17"/>
        <v>107</v>
      </c>
      <c r="AV869" s="36">
        <f>IFERROR(时间!$B$4+AU869,"上周无销量")</f>
        <v>43425</v>
      </c>
    </row>
    <row r="870" spans="1:48">
      <c r="A870" s="20" t="s">
        <v>1939</v>
      </c>
      <c r="B870" t="s">
        <v>1940</v>
      </c>
      <c r="C870" t="s">
        <v>1941</v>
      </c>
      <c r="D870" s="31">
        <v>1</v>
      </c>
      <c r="E870" s="31">
        <v>3</v>
      </c>
      <c r="F870" s="31">
        <v>0</v>
      </c>
      <c r="G870" s="31">
        <v>1</v>
      </c>
      <c r="H870" s="32">
        <v>13.99</v>
      </c>
      <c r="I870">
        <v>14</v>
      </c>
      <c r="J870" s="33">
        <v>0</v>
      </c>
      <c r="K870" s="33">
        <v>10</v>
      </c>
      <c r="L870" s="33">
        <v>0</v>
      </c>
      <c r="M870">
        <v>24</v>
      </c>
      <c r="N870">
        <v>0</v>
      </c>
      <c r="O870">
        <v>0</v>
      </c>
      <c r="P870" t="s">
        <v>53</v>
      </c>
      <c r="Q870" t="s">
        <v>53</v>
      </c>
      <c r="R870" t="s">
        <v>53</v>
      </c>
      <c r="S870" t="s">
        <v>53</v>
      </c>
      <c r="T870" t="s">
        <v>53</v>
      </c>
      <c r="U870" t="s">
        <v>53</v>
      </c>
      <c r="V870" t="s">
        <v>53</v>
      </c>
      <c r="W870" t="s">
        <v>53</v>
      </c>
      <c r="X870" s="22" t="s">
        <v>53</v>
      </c>
      <c r="Y870" s="22" t="s">
        <v>53</v>
      </c>
      <c r="Z870" s="22" t="s">
        <v>53</v>
      </c>
      <c r="AA870" s="22" t="s">
        <v>53</v>
      </c>
      <c r="AB870" t="s">
        <v>53</v>
      </c>
      <c r="AC870" t="s">
        <v>53</v>
      </c>
      <c r="AD870" t="s">
        <v>53</v>
      </c>
      <c r="AE870" t="s">
        <v>53</v>
      </c>
      <c r="AF870" s="22" t="s">
        <v>53</v>
      </c>
      <c r="AG870" s="22" t="s">
        <v>53</v>
      </c>
      <c r="AH870" s="22" t="s">
        <v>53</v>
      </c>
      <c r="AI870" s="22" t="s">
        <v>53</v>
      </c>
      <c r="AJ870">
        <v>14</v>
      </c>
      <c r="AK870">
        <v>7</v>
      </c>
      <c r="AL870">
        <v>2</v>
      </c>
      <c r="AM870">
        <v>3</v>
      </c>
      <c r="AN870" s="22">
        <v>0.0714285714285714</v>
      </c>
      <c r="AO870" s="22">
        <v>0.428571428571429</v>
      </c>
      <c r="AP870" s="22">
        <v>0</v>
      </c>
      <c r="AQ870" s="22">
        <v>0.333333333333333</v>
      </c>
      <c r="AR870" s="35">
        <v>0.142857142857143</v>
      </c>
      <c r="AS870" s="35">
        <v>8.57142857142857</v>
      </c>
      <c r="AT870" s="35">
        <v>15.4285714285714</v>
      </c>
      <c r="AU870" s="31">
        <f t="shared" si="17"/>
        <v>168</v>
      </c>
      <c r="AV870" s="36">
        <f>IFERROR(时间!$B$4+AU870,"上周无销量")</f>
        <v>43486</v>
      </c>
    </row>
    <row r="871" spans="1:48">
      <c r="A871" s="20" t="s">
        <v>1942</v>
      </c>
      <c r="B871" t="s">
        <v>1943</v>
      </c>
      <c r="C871" t="s">
        <v>1941</v>
      </c>
      <c r="D871" s="31">
        <v>1</v>
      </c>
      <c r="E871" s="31">
        <v>1</v>
      </c>
      <c r="F871" s="31">
        <v>1</v>
      </c>
      <c r="G871" s="31">
        <v>0</v>
      </c>
      <c r="H871" s="32">
        <v>13.99</v>
      </c>
      <c r="I871">
        <v>25</v>
      </c>
      <c r="J871" s="33">
        <v>0</v>
      </c>
      <c r="K871" s="33">
        <v>0</v>
      </c>
      <c r="L871" s="33">
        <v>0</v>
      </c>
      <c r="M871">
        <v>25</v>
      </c>
      <c r="N871">
        <v>0</v>
      </c>
      <c r="O871">
        <v>0</v>
      </c>
      <c r="P871" t="s">
        <v>53</v>
      </c>
      <c r="Q871" t="s">
        <v>53</v>
      </c>
      <c r="R871" t="s">
        <v>53</v>
      </c>
      <c r="S871" t="s">
        <v>53</v>
      </c>
      <c r="T871" t="s">
        <v>53</v>
      </c>
      <c r="U871" t="s">
        <v>53</v>
      </c>
      <c r="V871" t="s">
        <v>53</v>
      </c>
      <c r="W871" t="s">
        <v>53</v>
      </c>
      <c r="X871" s="22" t="s">
        <v>53</v>
      </c>
      <c r="Y871" s="22" t="s">
        <v>53</v>
      </c>
      <c r="Z871" s="22" t="s">
        <v>53</v>
      </c>
      <c r="AA871" s="22" t="s">
        <v>53</v>
      </c>
      <c r="AB871" t="s">
        <v>53</v>
      </c>
      <c r="AC871" t="s">
        <v>53</v>
      </c>
      <c r="AD871" t="s">
        <v>53</v>
      </c>
      <c r="AE871" t="s">
        <v>53</v>
      </c>
      <c r="AF871" s="22" t="s">
        <v>53</v>
      </c>
      <c r="AG871" s="22" t="s">
        <v>53</v>
      </c>
      <c r="AH871" s="22" t="s">
        <v>53</v>
      </c>
      <c r="AI871" s="22" t="s">
        <v>53</v>
      </c>
      <c r="AJ871">
        <v>16</v>
      </c>
      <c r="AK871">
        <v>8</v>
      </c>
      <c r="AL871">
        <v>14</v>
      </c>
      <c r="AM871">
        <v>10</v>
      </c>
      <c r="AN871" s="22">
        <v>0.0625</v>
      </c>
      <c r="AO871" s="22">
        <v>0.125</v>
      </c>
      <c r="AP871" s="22">
        <v>0.0714285714285714</v>
      </c>
      <c r="AQ871" s="22">
        <v>0</v>
      </c>
      <c r="AR871" s="35">
        <v>0.142857142857143</v>
      </c>
      <c r="AS871" s="35">
        <v>8.57142857142857</v>
      </c>
      <c r="AT871" s="35">
        <v>16.4285714285714</v>
      </c>
      <c r="AU871" s="31">
        <f t="shared" si="17"/>
        <v>175</v>
      </c>
      <c r="AV871" s="36">
        <f>IFERROR(时间!$B$4+AU871,"上周无销量")</f>
        <v>43493</v>
      </c>
    </row>
    <row r="872" spans="1:48">
      <c r="A872" s="20" t="s">
        <v>1944</v>
      </c>
      <c r="B872" t="s">
        <v>1945</v>
      </c>
      <c r="C872" t="s">
        <v>1941</v>
      </c>
      <c r="D872" s="31">
        <v>0</v>
      </c>
      <c r="E872" s="31">
        <v>0</v>
      </c>
      <c r="F872" s="31">
        <v>1</v>
      </c>
      <c r="G872" s="31">
        <v>1</v>
      </c>
      <c r="H872" s="32">
        <v>13.99</v>
      </c>
      <c r="I872">
        <v>22</v>
      </c>
      <c r="J872" s="33">
        <v>0</v>
      </c>
      <c r="K872" s="33">
        <v>0</v>
      </c>
      <c r="L872" s="33">
        <v>0</v>
      </c>
      <c r="M872">
        <v>22</v>
      </c>
      <c r="N872">
        <v>0</v>
      </c>
      <c r="O872">
        <v>0</v>
      </c>
      <c r="P872">
        <v>1794</v>
      </c>
      <c r="Q872">
        <v>2653</v>
      </c>
      <c r="R872">
        <v>0</v>
      </c>
      <c r="S872">
        <v>0</v>
      </c>
      <c r="T872">
        <v>3</v>
      </c>
      <c r="U872">
        <v>5</v>
      </c>
      <c r="V872">
        <v>0</v>
      </c>
      <c r="W872">
        <v>0</v>
      </c>
      <c r="X872" s="22">
        <v>0.00167224080267559</v>
      </c>
      <c r="Y872" s="22">
        <v>0.00188465887674331</v>
      </c>
      <c r="Z872" s="22" t="s">
        <v>53</v>
      </c>
      <c r="AA872" s="22" t="s">
        <v>53</v>
      </c>
      <c r="AB872">
        <v>1.39</v>
      </c>
      <c r="AC872">
        <v>1.36</v>
      </c>
      <c r="AD872">
        <v>0</v>
      </c>
      <c r="AE872">
        <v>0</v>
      </c>
      <c r="AF872" s="22" t="s">
        <v>1946</v>
      </c>
      <c r="AG872" s="22" t="s">
        <v>1947</v>
      </c>
      <c r="AH872" s="22" t="s">
        <v>53</v>
      </c>
      <c r="AI872" s="22" t="s">
        <v>53</v>
      </c>
      <c r="AJ872">
        <v>25</v>
      </c>
      <c r="AK872">
        <v>20</v>
      </c>
      <c r="AL872">
        <v>11</v>
      </c>
      <c r="AM872">
        <v>4</v>
      </c>
      <c r="AN872" s="22">
        <v>0</v>
      </c>
      <c r="AO872" s="22">
        <v>0</v>
      </c>
      <c r="AP872" s="22">
        <v>0.0909090909090909</v>
      </c>
      <c r="AQ872" s="22">
        <v>0.25</v>
      </c>
      <c r="AR872" s="35">
        <v>0</v>
      </c>
      <c r="AS872" s="35">
        <v>0</v>
      </c>
      <c r="AT872" s="35">
        <v>22</v>
      </c>
      <c r="AU872" s="31" t="str">
        <f t="shared" si="17"/>
        <v>库存为22</v>
      </c>
      <c r="AV872" s="36" t="str">
        <f>IFERROR(时间!$B$4+AU872,"上周无销量")</f>
        <v>上周无销量</v>
      </c>
    </row>
    <row r="873" spans="1:48">
      <c r="A873" s="20" t="s">
        <v>1948</v>
      </c>
      <c r="B873" t="s">
        <v>1949</v>
      </c>
      <c r="C873" t="s">
        <v>1941</v>
      </c>
      <c r="D873" s="31">
        <v>0</v>
      </c>
      <c r="E873" s="31">
        <v>0</v>
      </c>
      <c r="F873" s="31">
        <v>2</v>
      </c>
      <c r="G873" s="31">
        <v>1</v>
      </c>
      <c r="H873" s="32">
        <v>13.99</v>
      </c>
      <c r="I873">
        <v>17</v>
      </c>
      <c r="J873" s="33">
        <v>0</v>
      </c>
      <c r="K873" s="33">
        <v>0</v>
      </c>
      <c r="L873" s="33">
        <v>0</v>
      </c>
      <c r="M873">
        <v>17</v>
      </c>
      <c r="N873">
        <v>0</v>
      </c>
      <c r="O873">
        <v>0</v>
      </c>
      <c r="P873">
        <v>127</v>
      </c>
      <c r="Q873">
        <v>168</v>
      </c>
      <c r="R873">
        <v>0</v>
      </c>
      <c r="S873">
        <v>0</v>
      </c>
      <c r="T873">
        <v>1</v>
      </c>
      <c r="U873">
        <v>2</v>
      </c>
      <c r="V873">
        <v>0</v>
      </c>
      <c r="W873">
        <v>0</v>
      </c>
      <c r="X873" s="22">
        <v>0.0078740157480315</v>
      </c>
      <c r="Y873" s="22">
        <v>0.0119047619047619</v>
      </c>
      <c r="Z873" s="22" t="s">
        <v>53</v>
      </c>
      <c r="AA873" s="22" t="s">
        <v>53</v>
      </c>
      <c r="AB873">
        <v>0.37</v>
      </c>
      <c r="AC873">
        <v>0.17</v>
      </c>
      <c r="AD873">
        <v>0</v>
      </c>
      <c r="AE873">
        <v>0</v>
      </c>
      <c r="AF873" s="22" t="s">
        <v>432</v>
      </c>
      <c r="AG873" s="22" t="s">
        <v>1950</v>
      </c>
      <c r="AH873" s="22" t="s">
        <v>53</v>
      </c>
      <c r="AI873" s="22" t="s">
        <v>53</v>
      </c>
      <c r="AJ873">
        <v>3</v>
      </c>
      <c r="AK873">
        <v>3</v>
      </c>
      <c r="AL873">
        <v>4</v>
      </c>
      <c r="AM873">
        <v>2</v>
      </c>
      <c r="AN873" s="22">
        <v>0</v>
      </c>
      <c r="AO873" s="22">
        <v>0</v>
      </c>
      <c r="AP873" s="22">
        <v>0.5</v>
      </c>
      <c r="AQ873" s="22">
        <v>0.5</v>
      </c>
      <c r="AR873" s="35">
        <v>0</v>
      </c>
      <c r="AS873" s="35">
        <v>0</v>
      </c>
      <c r="AT873" s="35">
        <v>17</v>
      </c>
      <c r="AU873" s="31" t="str">
        <f t="shared" si="17"/>
        <v>库存为17</v>
      </c>
      <c r="AV873" s="36" t="str">
        <f>IFERROR(时间!$B$4+AU873,"上周无销量")</f>
        <v>上周无销量</v>
      </c>
    </row>
    <row r="874" spans="1:48">
      <c r="A874" s="20" t="s">
        <v>1951</v>
      </c>
      <c r="B874" t="s">
        <v>1952</v>
      </c>
      <c r="C874" t="s">
        <v>1941</v>
      </c>
      <c r="D874" s="31">
        <v>0</v>
      </c>
      <c r="E874" s="31">
        <v>1</v>
      </c>
      <c r="F874" s="31">
        <v>1</v>
      </c>
      <c r="G874" s="31">
        <v>1</v>
      </c>
      <c r="H874" s="32">
        <v>13.99</v>
      </c>
      <c r="I874">
        <v>11</v>
      </c>
      <c r="J874" s="33">
        <v>0</v>
      </c>
      <c r="K874" s="33">
        <v>20</v>
      </c>
      <c r="L874" s="33">
        <v>0</v>
      </c>
      <c r="M874">
        <v>31</v>
      </c>
      <c r="N874">
        <v>0</v>
      </c>
      <c r="O874">
        <v>0</v>
      </c>
      <c r="P874" t="s">
        <v>53</v>
      </c>
      <c r="Q874" t="s">
        <v>53</v>
      </c>
      <c r="R874" t="s">
        <v>53</v>
      </c>
      <c r="S874" t="s">
        <v>53</v>
      </c>
      <c r="T874" t="s">
        <v>53</v>
      </c>
      <c r="U874" t="s">
        <v>53</v>
      </c>
      <c r="V874" t="s">
        <v>53</v>
      </c>
      <c r="W874" t="s">
        <v>53</v>
      </c>
      <c r="X874" s="22" t="s">
        <v>53</v>
      </c>
      <c r="Y874" s="22" t="s">
        <v>53</v>
      </c>
      <c r="Z874" s="22" t="s">
        <v>53</v>
      </c>
      <c r="AA874" s="22" t="s">
        <v>53</v>
      </c>
      <c r="AB874" t="s">
        <v>53</v>
      </c>
      <c r="AC874" t="s">
        <v>53</v>
      </c>
      <c r="AD874" t="s">
        <v>53</v>
      </c>
      <c r="AE874" t="s">
        <v>53</v>
      </c>
      <c r="AF874" s="22" t="s">
        <v>53</v>
      </c>
      <c r="AG874" s="22" t="s">
        <v>53</v>
      </c>
      <c r="AH874" s="22" t="s">
        <v>53</v>
      </c>
      <c r="AI874" s="22" t="s">
        <v>53</v>
      </c>
      <c r="AJ874">
        <v>17</v>
      </c>
      <c r="AK874">
        <v>7</v>
      </c>
      <c r="AL874">
        <v>7</v>
      </c>
      <c r="AM874">
        <v>4</v>
      </c>
      <c r="AN874" s="22">
        <v>0</v>
      </c>
      <c r="AO874" s="22">
        <v>0.142857142857143</v>
      </c>
      <c r="AP874" s="22">
        <v>0.142857142857143</v>
      </c>
      <c r="AQ874" s="22">
        <v>0.25</v>
      </c>
      <c r="AR874" s="35">
        <v>0</v>
      </c>
      <c r="AS874" s="35">
        <v>0</v>
      </c>
      <c r="AT874" s="35">
        <v>31</v>
      </c>
      <c r="AU874" s="31" t="str">
        <f t="shared" si="17"/>
        <v>库存为31</v>
      </c>
      <c r="AV874" s="36" t="str">
        <f>IFERROR(时间!$B$4+AU874,"上周无销量")</f>
        <v>上周无销量</v>
      </c>
    </row>
    <row r="875" spans="1:48">
      <c r="A875" s="20" t="s">
        <v>1953</v>
      </c>
      <c r="B875" t="s">
        <v>1954</v>
      </c>
      <c r="C875" t="s">
        <v>1941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46</v>
      </c>
      <c r="J875" s="33">
        <v>0</v>
      </c>
      <c r="K875" s="33">
        <v>0</v>
      </c>
      <c r="L875" s="33">
        <v>0</v>
      </c>
      <c r="M875">
        <v>46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13</v>
      </c>
      <c r="T875">
        <v>0</v>
      </c>
      <c r="U875">
        <v>0</v>
      </c>
      <c r="V875">
        <v>0</v>
      </c>
      <c r="W875">
        <v>0</v>
      </c>
      <c r="X875" s="22" t="s">
        <v>53</v>
      </c>
      <c r="Y875" s="22" t="s">
        <v>53</v>
      </c>
      <c r="Z875" s="22" t="s">
        <v>53</v>
      </c>
      <c r="AA875" s="22">
        <v>0</v>
      </c>
      <c r="AB875">
        <v>0</v>
      </c>
      <c r="AC875">
        <v>0</v>
      </c>
      <c r="AD875">
        <v>0</v>
      </c>
      <c r="AE875">
        <v>0</v>
      </c>
      <c r="AF875" s="22" t="s">
        <v>53</v>
      </c>
      <c r="AG875" s="22" t="s">
        <v>53</v>
      </c>
      <c r="AH875" s="22" t="s">
        <v>53</v>
      </c>
      <c r="AI875" s="22" t="s">
        <v>53</v>
      </c>
      <c r="AJ875">
        <v>15</v>
      </c>
      <c r="AK875">
        <v>13</v>
      </c>
      <c r="AL875">
        <v>12</v>
      </c>
      <c r="AM875">
        <v>5</v>
      </c>
      <c r="AN875" s="22">
        <v>0</v>
      </c>
      <c r="AO875" s="22">
        <v>0</v>
      </c>
      <c r="AP875" s="22">
        <v>0</v>
      </c>
      <c r="AQ875" s="22">
        <v>0</v>
      </c>
      <c r="AR875" s="35">
        <v>0</v>
      </c>
      <c r="AS875" s="35">
        <v>0</v>
      </c>
      <c r="AT875" s="35">
        <v>46</v>
      </c>
      <c r="AU875" s="31" t="str">
        <f t="shared" si="17"/>
        <v>库存为46</v>
      </c>
      <c r="AV875" s="36" t="str">
        <f>IFERROR(时间!$B$4+AU875,"上周无销量")</f>
        <v>上周无销量</v>
      </c>
    </row>
    <row r="876" spans="1:48">
      <c r="A876" s="20" t="s">
        <v>1955</v>
      </c>
      <c r="B876" t="s">
        <v>1956</v>
      </c>
      <c r="C876" t="s">
        <v>1941</v>
      </c>
      <c r="D876" s="31">
        <v>0</v>
      </c>
      <c r="E876" s="31">
        <v>1</v>
      </c>
      <c r="F876" s="31">
        <v>0</v>
      </c>
      <c r="G876" s="31">
        <v>0</v>
      </c>
      <c r="H876" s="32">
        <v>13.99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53</v>
      </c>
      <c r="Q876" t="s">
        <v>53</v>
      </c>
      <c r="R876" t="s">
        <v>53</v>
      </c>
      <c r="S876" t="s">
        <v>53</v>
      </c>
      <c r="T876" t="s">
        <v>53</v>
      </c>
      <c r="U876" t="s">
        <v>53</v>
      </c>
      <c r="V876" t="s">
        <v>53</v>
      </c>
      <c r="W876" t="s">
        <v>53</v>
      </c>
      <c r="X876" s="22" t="s">
        <v>53</v>
      </c>
      <c r="Y876" s="22" t="s">
        <v>53</v>
      </c>
      <c r="Z876" s="22" t="s">
        <v>53</v>
      </c>
      <c r="AA876" s="22" t="s">
        <v>53</v>
      </c>
      <c r="AB876" t="s">
        <v>53</v>
      </c>
      <c r="AC876" t="s">
        <v>53</v>
      </c>
      <c r="AD876" t="s">
        <v>53</v>
      </c>
      <c r="AE876" t="s">
        <v>53</v>
      </c>
      <c r="AF876" s="22" t="s">
        <v>53</v>
      </c>
      <c r="AG876" s="22" t="s">
        <v>53</v>
      </c>
      <c r="AH876" s="22" t="s">
        <v>53</v>
      </c>
      <c r="AI876" s="22" t="s">
        <v>53</v>
      </c>
      <c r="AJ876">
        <v>0</v>
      </c>
      <c r="AK876">
        <v>1</v>
      </c>
      <c r="AL876">
        <v>3</v>
      </c>
      <c r="AM876">
        <v>4</v>
      </c>
      <c r="AN876" s="22" t="s">
        <v>53</v>
      </c>
      <c r="AO876" s="22">
        <v>1</v>
      </c>
      <c r="AP876" s="22">
        <v>0</v>
      </c>
      <c r="AQ876" s="22">
        <v>0</v>
      </c>
      <c r="AR876" s="35">
        <v>0</v>
      </c>
      <c r="AS876" s="35">
        <v>0</v>
      </c>
      <c r="AT876" s="35">
        <v>0</v>
      </c>
      <c r="AU876" s="31" t="str">
        <f t="shared" si="17"/>
        <v>库存为0</v>
      </c>
      <c r="AV876" s="36" t="str">
        <f>IFERROR(时间!$B$4+AU876,"上周无销量")</f>
        <v>上周无销量</v>
      </c>
    </row>
    <row r="877" spans="1:48">
      <c r="A877" s="20" t="s">
        <v>1957</v>
      </c>
      <c r="B877" t="s">
        <v>1958</v>
      </c>
      <c r="C877" t="s">
        <v>1941</v>
      </c>
      <c r="D877" s="31">
        <v>3</v>
      </c>
      <c r="E877" s="31">
        <v>3</v>
      </c>
      <c r="F877" s="31">
        <v>1</v>
      </c>
      <c r="G877" s="31">
        <v>1</v>
      </c>
      <c r="H877" s="32">
        <v>13.99</v>
      </c>
      <c r="I877">
        <v>18</v>
      </c>
      <c r="J877" s="33">
        <v>0</v>
      </c>
      <c r="K877" s="33">
        <v>0</v>
      </c>
      <c r="L877" s="33">
        <v>0</v>
      </c>
      <c r="M877">
        <v>18</v>
      </c>
      <c r="N877">
        <v>0</v>
      </c>
      <c r="O877">
        <v>0</v>
      </c>
      <c r="P877" t="s">
        <v>53</v>
      </c>
      <c r="Q877" t="s">
        <v>53</v>
      </c>
      <c r="R877" t="s">
        <v>53</v>
      </c>
      <c r="S877" t="s">
        <v>53</v>
      </c>
      <c r="T877" t="s">
        <v>53</v>
      </c>
      <c r="U877" t="s">
        <v>53</v>
      </c>
      <c r="V877" t="s">
        <v>53</v>
      </c>
      <c r="W877" t="s">
        <v>53</v>
      </c>
      <c r="X877" s="22" t="s">
        <v>53</v>
      </c>
      <c r="Y877" s="22" t="s">
        <v>53</v>
      </c>
      <c r="Z877" s="22" t="s">
        <v>53</v>
      </c>
      <c r="AA877" s="22" t="s">
        <v>53</v>
      </c>
      <c r="AB877" t="s">
        <v>53</v>
      </c>
      <c r="AC877" t="s">
        <v>53</v>
      </c>
      <c r="AD877" t="s">
        <v>53</v>
      </c>
      <c r="AE877" t="s">
        <v>53</v>
      </c>
      <c r="AF877" s="22" t="s">
        <v>53</v>
      </c>
      <c r="AG877" s="22" t="s">
        <v>53</v>
      </c>
      <c r="AH877" s="22" t="s">
        <v>53</v>
      </c>
      <c r="AI877" s="22" t="s">
        <v>53</v>
      </c>
      <c r="AJ877">
        <v>15</v>
      </c>
      <c r="AK877">
        <v>12</v>
      </c>
      <c r="AL877">
        <v>4</v>
      </c>
      <c r="AM877">
        <v>6</v>
      </c>
      <c r="AN877" s="22">
        <v>0.2</v>
      </c>
      <c r="AO877" s="22">
        <v>0.25</v>
      </c>
      <c r="AP877" s="22">
        <v>0.25</v>
      </c>
      <c r="AQ877" s="22">
        <v>0.166666666666667</v>
      </c>
      <c r="AR877" s="35">
        <v>0.428571428571429</v>
      </c>
      <c r="AS877" s="35">
        <v>25.7142857142857</v>
      </c>
      <c r="AT877" s="35">
        <v>-7.71428571428571</v>
      </c>
      <c r="AU877" s="31">
        <f t="shared" si="17"/>
        <v>42</v>
      </c>
      <c r="AV877" s="36">
        <f>IFERROR(时间!$B$4+AU877,"上周无销量")</f>
        <v>43360</v>
      </c>
    </row>
    <row r="878" spans="1:48">
      <c r="A878" s="20" t="s">
        <v>1959</v>
      </c>
      <c r="B878" t="s">
        <v>1960</v>
      </c>
      <c r="C878" t="s">
        <v>1941</v>
      </c>
      <c r="D878" s="31">
        <v>2</v>
      </c>
      <c r="E878" s="31">
        <v>0</v>
      </c>
      <c r="F878" s="31">
        <v>0</v>
      </c>
      <c r="G878" s="31">
        <v>0</v>
      </c>
      <c r="H878" s="32">
        <v>13.99</v>
      </c>
      <c r="I878">
        <v>30</v>
      </c>
      <c r="J878" s="33">
        <v>0</v>
      </c>
      <c r="K878" s="33">
        <v>0</v>
      </c>
      <c r="L878" s="33">
        <v>0</v>
      </c>
      <c r="M878">
        <v>30</v>
      </c>
      <c r="N878">
        <v>0</v>
      </c>
      <c r="O878">
        <v>0</v>
      </c>
      <c r="P878" t="s">
        <v>53</v>
      </c>
      <c r="Q878" t="s">
        <v>53</v>
      </c>
      <c r="R878" t="s">
        <v>53</v>
      </c>
      <c r="S878" t="s">
        <v>53</v>
      </c>
      <c r="T878" t="s">
        <v>53</v>
      </c>
      <c r="U878" t="s">
        <v>53</v>
      </c>
      <c r="V878" t="s">
        <v>53</v>
      </c>
      <c r="W878" t="s">
        <v>53</v>
      </c>
      <c r="X878" s="22" t="s">
        <v>53</v>
      </c>
      <c r="Y878" s="22" t="s">
        <v>53</v>
      </c>
      <c r="Z878" s="22" t="s">
        <v>53</v>
      </c>
      <c r="AA878" s="22" t="s">
        <v>53</v>
      </c>
      <c r="AB878" t="s">
        <v>53</v>
      </c>
      <c r="AC878" t="s">
        <v>53</v>
      </c>
      <c r="AD878" t="s">
        <v>53</v>
      </c>
      <c r="AE878" t="s">
        <v>53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18</v>
      </c>
      <c r="AK878">
        <v>8</v>
      </c>
      <c r="AL878">
        <v>4</v>
      </c>
      <c r="AM878">
        <v>6</v>
      </c>
      <c r="AN878" s="22">
        <v>0.111111111111111</v>
      </c>
      <c r="AO878" s="22">
        <v>0</v>
      </c>
      <c r="AP878" s="22">
        <v>0</v>
      </c>
      <c r="AQ878" s="22">
        <v>0</v>
      </c>
      <c r="AR878" s="35">
        <v>0.285714285714286</v>
      </c>
      <c r="AS878" s="35">
        <v>17.1428571428571</v>
      </c>
      <c r="AT878" s="35">
        <v>12.8571428571429</v>
      </c>
      <c r="AU878" s="31">
        <f t="shared" si="17"/>
        <v>105</v>
      </c>
      <c r="AV878" s="36">
        <f>IFERROR(时间!$B$4+AU878,"上周无销量")</f>
        <v>43423</v>
      </c>
    </row>
    <row r="879" spans="1:48">
      <c r="A879" s="20" t="s">
        <v>1961</v>
      </c>
      <c r="B879" t="s">
        <v>1962</v>
      </c>
      <c r="C879" t="s">
        <v>1941</v>
      </c>
      <c r="D879" s="31">
        <v>1</v>
      </c>
      <c r="E879" s="31">
        <v>2</v>
      </c>
      <c r="F879" s="31">
        <v>0</v>
      </c>
      <c r="G879" s="31">
        <v>0</v>
      </c>
      <c r="H879" s="32">
        <v>13.99</v>
      </c>
      <c r="I879">
        <v>32</v>
      </c>
      <c r="J879" s="33">
        <v>0</v>
      </c>
      <c r="K879" s="33">
        <v>3</v>
      </c>
      <c r="L879" s="33">
        <v>0</v>
      </c>
      <c r="M879">
        <v>35</v>
      </c>
      <c r="N879">
        <v>0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16</v>
      </c>
      <c r="AK879">
        <v>9</v>
      </c>
      <c r="AL879">
        <v>5</v>
      </c>
      <c r="AM879">
        <v>5</v>
      </c>
      <c r="AN879" s="22">
        <v>0.0625</v>
      </c>
      <c r="AO879" s="22">
        <v>0.222222222222222</v>
      </c>
      <c r="AP879" s="22">
        <v>0</v>
      </c>
      <c r="AQ879" s="22">
        <v>0</v>
      </c>
      <c r="AR879" s="35">
        <v>0.142857142857143</v>
      </c>
      <c r="AS879" s="35">
        <v>8.57142857142857</v>
      </c>
      <c r="AT879" s="35">
        <v>26.4285714285714</v>
      </c>
      <c r="AU879" s="31">
        <f t="shared" si="17"/>
        <v>245</v>
      </c>
      <c r="AV879" s="36">
        <f>IFERROR(时间!$B$4+AU879,"上周无销量")</f>
        <v>43563</v>
      </c>
    </row>
    <row r="880" spans="1:48">
      <c r="A880" s="20" t="s">
        <v>1963</v>
      </c>
      <c r="B880" t="s">
        <v>1964</v>
      </c>
      <c r="C880" t="s">
        <v>1941</v>
      </c>
      <c r="D880" s="31">
        <v>2</v>
      </c>
      <c r="E880" s="31">
        <v>2</v>
      </c>
      <c r="F880" s="31">
        <v>1</v>
      </c>
      <c r="G880" s="31">
        <v>1</v>
      </c>
      <c r="H880" s="32">
        <v>13.99</v>
      </c>
      <c r="I880">
        <v>23</v>
      </c>
      <c r="J880" s="33">
        <v>0</v>
      </c>
      <c r="K880" s="33">
        <v>0</v>
      </c>
      <c r="L880" s="33">
        <v>0</v>
      </c>
      <c r="M880">
        <v>23</v>
      </c>
      <c r="N880">
        <v>1</v>
      </c>
      <c r="O880">
        <v>0</v>
      </c>
      <c r="P880">
        <v>394</v>
      </c>
      <c r="Q880">
        <v>343</v>
      </c>
      <c r="R880">
        <v>0</v>
      </c>
      <c r="S880">
        <v>0</v>
      </c>
      <c r="T880">
        <v>2</v>
      </c>
      <c r="U880">
        <v>3</v>
      </c>
      <c r="V880">
        <v>0</v>
      </c>
      <c r="W880">
        <v>0</v>
      </c>
      <c r="X880" s="22">
        <v>0.0050761421319797</v>
      </c>
      <c r="Y880" s="22">
        <v>0.0087463556851312</v>
      </c>
      <c r="Z880" s="22" t="s">
        <v>53</v>
      </c>
      <c r="AA880" s="22" t="s">
        <v>53</v>
      </c>
      <c r="AB880">
        <v>0.55</v>
      </c>
      <c r="AC880">
        <v>1.17</v>
      </c>
      <c r="AD880">
        <v>0</v>
      </c>
      <c r="AE880">
        <v>0</v>
      </c>
      <c r="AF880" s="22">
        <v>0.0196568977841315</v>
      </c>
      <c r="AG880" s="22">
        <v>0.0418155825589707</v>
      </c>
      <c r="AH880" s="22" t="s">
        <v>53</v>
      </c>
      <c r="AI880" s="22" t="s">
        <v>53</v>
      </c>
      <c r="AJ880">
        <v>11</v>
      </c>
      <c r="AK880">
        <v>11</v>
      </c>
      <c r="AL880">
        <v>5</v>
      </c>
      <c r="AM880">
        <v>6</v>
      </c>
      <c r="AN880" s="22">
        <v>0.181818181818182</v>
      </c>
      <c r="AO880" s="22">
        <v>0.181818181818182</v>
      </c>
      <c r="AP880" s="22">
        <v>0.2</v>
      </c>
      <c r="AQ880" s="22">
        <v>0.166666666666667</v>
      </c>
      <c r="AR880" s="35">
        <v>0.285714285714286</v>
      </c>
      <c r="AS880" s="35">
        <v>17.1428571428571</v>
      </c>
      <c r="AT880" s="35">
        <v>5.85714285714286</v>
      </c>
      <c r="AU880" s="31">
        <f t="shared" si="17"/>
        <v>80</v>
      </c>
      <c r="AV880" s="36">
        <f>IFERROR(时间!$B$4+AU880,"上周无销量")</f>
        <v>43398</v>
      </c>
    </row>
    <row r="881" spans="1:48">
      <c r="A881" s="20" t="s">
        <v>1965</v>
      </c>
      <c r="B881" t="s">
        <v>1966</v>
      </c>
      <c r="C881" t="s">
        <v>1941</v>
      </c>
      <c r="D881" s="31">
        <v>5</v>
      </c>
      <c r="E881" s="31">
        <v>0</v>
      </c>
      <c r="F881" s="31">
        <v>0</v>
      </c>
      <c r="G881" s="31">
        <v>1</v>
      </c>
      <c r="H881" s="32">
        <v>13.99</v>
      </c>
      <c r="I881">
        <v>15</v>
      </c>
      <c r="J881" s="33">
        <v>0</v>
      </c>
      <c r="K881" s="33">
        <v>0</v>
      </c>
      <c r="L881" s="33">
        <v>0</v>
      </c>
      <c r="M881">
        <v>15</v>
      </c>
      <c r="N881">
        <v>0</v>
      </c>
      <c r="O881">
        <v>0</v>
      </c>
      <c r="P881" t="s">
        <v>53</v>
      </c>
      <c r="Q881" t="s">
        <v>53</v>
      </c>
      <c r="R881" t="s">
        <v>53</v>
      </c>
      <c r="S881" t="s">
        <v>53</v>
      </c>
      <c r="T881" t="s">
        <v>53</v>
      </c>
      <c r="U881" t="s">
        <v>53</v>
      </c>
      <c r="V881" t="s">
        <v>53</v>
      </c>
      <c r="W881" t="s">
        <v>53</v>
      </c>
      <c r="X881" s="22" t="s">
        <v>53</v>
      </c>
      <c r="Y881" s="22" t="s">
        <v>53</v>
      </c>
      <c r="Z881" s="22" t="s">
        <v>53</v>
      </c>
      <c r="AA881" s="22" t="s">
        <v>53</v>
      </c>
      <c r="AB881" t="s">
        <v>53</v>
      </c>
      <c r="AC881" t="s">
        <v>53</v>
      </c>
      <c r="AD881" t="s">
        <v>53</v>
      </c>
      <c r="AE881" t="s">
        <v>53</v>
      </c>
      <c r="AF881" s="22" t="s">
        <v>53</v>
      </c>
      <c r="AG881" s="22" t="s">
        <v>53</v>
      </c>
      <c r="AH881" s="22" t="s">
        <v>53</v>
      </c>
      <c r="AI881" s="22" t="s">
        <v>53</v>
      </c>
      <c r="AJ881">
        <v>18</v>
      </c>
      <c r="AK881">
        <v>14</v>
      </c>
      <c r="AL881">
        <v>6</v>
      </c>
      <c r="AM881">
        <v>4</v>
      </c>
      <c r="AN881" s="22">
        <v>0.277777777777778</v>
      </c>
      <c r="AO881" s="22">
        <v>0</v>
      </c>
      <c r="AP881" s="22">
        <v>0</v>
      </c>
      <c r="AQ881" s="22">
        <v>0.25</v>
      </c>
      <c r="AR881" s="35">
        <v>0.714285714285714</v>
      </c>
      <c r="AS881" s="35">
        <v>42.8571428571429</v>
      </c>
      <c r="AT881" s="35">
        <v>-27.8571428571429</v>
      </c>
      <c r="AU881" s="31">
        <f t="shared" si="17"/>
        <v>21</v>
      </c>
      <c r="AV881" s="36">
        <f>IFERROR(时间!$B$4+AU881,"上周无销量")</f>
        <v>43339</v>
      </c>
    </row>
    <row r="882" spans="1:48">
      <c r="A882" s="20" t="s">
        <v>1967</v>
      </c>
      <c r="B882" t="s">
        <v>1968</v>
      </c>
      <c r="C882" t="s">
        <v>1941</v>
      </c>
      <c r="D882" s="31">
        <v>0</v>
      </c>
      <c r="E882" s="31">
        <v>0</v>
      </c>
      <c r="F882" s="31">
        <v>0</v>
      </c>
      <c r="G882" s="31">
        <v>1</v>
      </c>
      <c r="H882" s="32">
        <v>0</v>
      </c>
      <c r="I882">
        <v>20</v>
      </c>
      <c r="J882" s="33">
        <v>0</v>
      </c>
      <c r="K882" s="33">
        <v>0</v>
      </c>
      <c r="L882" s="33">
        <v>0</v>
      </c>
      <c r="M882">
        <v>20</v>
      </c>
      <c r="N882">
        <v>0</v>
      </c>
      <c r="O882">
        <v>0</v>
      </c>
      <c r="P882" t="s">
        <v>53</v>
      </c>
      <c r="Q882" t="s">
        <v>53</v>
      </c>
      <c r="R882" t="s">
        <v>53</v>
      </c>
      <c r="S882" t="s">
        <v>53</v>
      </c>
      <c r="T882" t="s">
        <v>53</v>
      </c>
      <c r="U882" t="s">
        <v>53</v>
      </c>
      <c r="V882" t="s">
        <v>53</v>
      </c>
      <c r="W882" t="s">
        <v>53</v>
      </c>
      <c r="X882" s="22" t="s">
        <v>53</v>
      </c>
      <c r="Y882" s="22" t="s">
        <v>53</v>
      </c>
      <c r="Z882" s="22" t="s">
        <v>53</v>
      </c>
      <c r="AA882" s="22" t="s">
        <v>53</v>
      </c>
      <c r="AB882" t="s">
        <v>53</v>
      </c>
      <c r="AC882" t="s">
        <v>53</v>
      </c>
      <c r="AD882" t="s">
        <v>53</v>
      </c>
      <c r="AE882" t="s">
        <v>53</v>
      </c>
      <c r="AF882" s="22" t="s">
        <v>53</v>
      </c>
      <c r="AG882" s="22" t="s">
        <v>53</v>
      </c>
      <c r="AH882" s="22" t="s">
        <v>53</v>
      </c>
      <c r="AI882" s="22" t="s">
        <v>53</v>
      </c>
      <c r="AJ882">
        <v>6</v>
      </c>
      <c r="AK882">
        <v>2</v>
      </c>
      <c r="AL882">
        <v>1</v>
      </c>
      <c r="AM882">
        <v>2</v>
      </c>
      <c r="AN882" s="22">
        <v>0</v>
      </c>
      <c r="AO882" s="22">
        <v>0</v>
      </c>
      <c r="AP882" s="22">
        <v>0</v>
      </c>
      <c r="AQ882" s="22">
        <v>0.5</v>
      </c>
      <c r="AR882" s="35">
        <v>0</v>
      </c>
      <c r="AS882" s="35">
        <v>0</v>
      </c>
      <c r="AT882" s="35">
        <v>20</v>
      </c>
      <c r="AU882" s="31" t="str">
        <f t="shared" si="17"/>
        <v>库存为20</v>
      </c>
      <c r="AV882" s="36" t="str">
        <f>IFERROR(时间!$B$4+AU882,"上周无销量")</f>
        <v>上周无销量</v>
      </c>
    </row>
    <row r="883" spans="1:48">
      <c r="A883" s="20" t="s">
        <v>1969</v>
      </c>
      <c r="B883" t="s">
        <v>1970</v>
      </c>
      <c r="C883" t="s">
        <v>1941</v>
      </c>
      <c r="D883" s="31">
        <v>0</v>
      </c>
      <c r="E883" s="31">
        <v>2</v>
      </c>
      <c r="F883" s="31">
        <v>0</v>
      </c>
      <c r="G883" s="31">
        <v>0</v>
      </c>
      <c r="H883" s="32">
        <v>13.99</v>
      </c>
      <c r="I883">
        <v>27</v>
      </c>
      <c r="J883" s="33">
        <v>0</v>
      </c>
      <c r="K883" s="33">
        <v>0</v>
      </c>
      <c r="L883" s="33">
        <v>0</v>
      </c>
      <c r="M883">
        <v>27</v>
      </c>
      <c r="N883">
        <v>1</v>
      </c>
      <c r="O883">
        <v>0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12</v>
      </c>
      <c r="AK883">
        <v>7</v>
      </c>
      <c r="AL883">
        <v>5</v>
      </c>
      <c r="AM883">
        <v>8</v>
      </c>
      <c r="AN883" s="22">
        <v>0</v>
      </c>
      <c r="AO883" s="22">
        <v>0.285714285714286</v>
      </c>
      <c r="AP883" s="22">
        <v>0</v>
      </c>
      <c r="AQ883" s="22">
        <v>0</v>
      </c>
      <c r="AR883" s="35">
        <v>0</v>
      </c>
      <c r="AS883" s="35">
        <v>0</v>
      </c>
      <c r="AT883" s="35">
        <v>27</v>
      </c>
      <c r="AU883" s="31" t="str">
        <f t="shared" si="17"/>
        <v>库存为27</v>
      </c>
      <c r="AV883" s="36" t="str">
        <f>IFERROR(时间!$B$4+AU883,"上周无销量")</f>
        <v>上周无销量</v>
      </c>
    </row>
    <row r="884" spans="1:48">
      <c r="A884" s="20" t="s">
        <v>1971</v>
      </c>
      <c r="B884" t="s">
        <v>1972</v>
      </c>
      <c r="C884" t="s">
        <v>1941</v>
      </c>
      <c r="D884" s="31">
        <v>0</v>
      </c>
      <c r="E884" s="31">
        <v>1</v>
      </c>
      <c r="F884" s="31">
        <v>0</v>
      </c>
      <c r="G884" s="31">
        <v>0</v>
      </c>
      <c r="H884" s="32">
        <v>13.99</v>
      </c>
      <c r="I884">
        <v>12</v>
      </c>
      <c r="J884" s="33">
        <v>0</v>
      </c>
      <c r="K884" s="33">
        <v>0</v>
      </c>
      <c r="L884" s="33">
        <v>0</v>
      </c>
      <c r="M884">
        <v>12</v>
      </c>
      <c r="N884">
        <v>0</v>
      </c>
      <c r="O884">
        <v>0</v>
      </c>
      <c r="P884" t="s">
        <v>53</v>
      </c>
      <c r="Q884" t="s">
        <v>53</v>
      </c>
      <c r="R884" t="s">
        <v>53</v>
      </c>
      <c r="S884" t="s">
        <v>53</v>
      </c>
      <c r="T884" t="s">
        <v>53</v>
      </c>
      <c r="U884" t="s">
        <v>53</v>
      </c>
      <c r="V884" t="s">
        <v>53</v>
      </c>
      <c r="W884" t="s">
        <v>53</v>
      </c>
      <c r="X884" s="22" t="s">
        <v>53</v>
      </c>
      <c r="Y884" s="22" t="s">
        <v>53</v>
      </c>
      <c r="Z884" s="22" t="s">
        <v>53</v>
      </c>
      <c r="AA884" s="22" t="s">
        <v>53</v>
      </c>
      <c r="AB884" t="s">
        <v>53</v>
      </c>
      <c r="AC884" t="s">
        <v>53</v>
      </c>
      <c r="AD884" t="s">
        <v>53</v>
      </c>
      <c r="AE884" t="s">
        <v>53</v>
      </c>
      <c r="AF884" s="22" t="s">
        <v>53</v>
      </c>
      <c r="AG884" s="22" t="s">
        <v>53</v>
      </c>
      <c r="AH884" s="22" t="s">
        <v>53</v>
      </c>
      <c r="AI884" s="22" t="s">
        <v>53</v>
      </c>
      <c r="AJ884">
        <v>9</v>
      </c>
      <c r="AK884">
        <v>6</v>
      </c>
      <c r="AL884">
        <v>1</v>
      </c>
      <c r="AM884">
        <v>3</v>
      </c>
      <c r="AN884" s="22">
        <v>0</v>
      </c>
      <c r="AO884" s="22">
        <v>0.166666666666667</v>
      </c>
      <c r="AP884" s="22">
        <v>0</v>
      </c>
      <c r="AQ884" s="22">
        <v>0</v>
      </c>
      <c r="AR884" s="35">
        <v>0</v>
      </c>
      <c r="AS884" s="35">
        <v>0</v>
      </c>
      <c r="AT884" s="35">
        <v>12</v>
      </c>
      <c r="AU884" s="31" t="str">
        <f t="shared" si="17"/>
        <v>库存为12</v>
      </c>
      <c r="AV884" s="36" t="str">
        <f>IFERROR(时间!$B$4+AU884,"上周无销量")</f>
        <v>上周无销量</v>
      </c>
    </row>
    <row r="885" spans="1:48">
      <c r="A885" s="20" t="s">
        <v>1973</v>
      </c>
      <c r="B885" t="s">
        <v>1974</v>
      </c>
      <c r="C885" t="s">
        <v>1941</v>
      </c>
      <c r="D885" s="31">
        <v>3</v>
      </c>
      <c r="E885" s="31">
        <v>2</v>
      </c>
      <c r="F885" s="31">
        <v>3</v>
      </c>
      <c r="G885" s="31">
        <v>12</v>
      </c>
      <c r="H885" s="32">
        <v>13.99</v>
      </c>
      <c r="I885">
        <v>18</v>
      </c>
      <c r="J885" s="33">
        <v>0</v>
      </c>
      <c r="K885" s="33">
        <v>0</v>
      </c>
      <c r="L885" s="33">
        <v>0</v>
      </c>
      <c r="M885">
        <v>18</v>
      </c>
      <c r="N885">
        <v>0</v>
      </c>
      <c r="O885">
        <v>0</v>
      </c>
      <c r="P885" t="s">
        <v>53</v>
      </c>
      <c r="Q885" t="s">
        <v>53</v>
      </c>
      <c r="R885" t="s">
        <v>53</v>
      </c>
      <c r="S885" t="s">
        <v>53</v>
      </c>
      <c r="T885" t="s">
        <v>53</v>
      </c>
      <c r="U885" t="s">
        <v>53</v>
      </c>
      <c r="V885" t="s">
        <v>53</v>
      </c>
      <c r="W885" t="s">
        <v>53</v>
      </c>
      <c r="X885" s="22" t="s">
        <v>53</v>
      </c>
      <c r="Y885" s="22" t="s">
        <v>53</v>
      </c>
      <c r="Z885" s="22" t="s">
        <v>53</v>
      </c>
      <c r="AA885" s="22" t="s">
        <v>53</v>
      </c>
      <c r="AB885" t="s">
        <v>53</v>
      </c>
      <c r="AC885" t="s">
        <v>53</v>
      </c>
      <c r="AD885" t="s">
        <v>53</v>
      </c>
      <c r="AE885" t="s">
        <v>53</v>
      </c>
      <c r="AF885" s="22" t="s">
        <v>53</v>
      </c>
      <c r="AG885" s="22" t="s">
        <v>53</v>
      </c>
      <c r="AH885" s="22" t="s">
        <v>53</v>
      </c>
      <c r="AI885" s="22" t="s">
        <v>53</v>
      </c>
      <c r="AJ885">
        <v>16</v>
      </c>
      <c r="AK885">
        <v>9</v>
      </c>
      <c r="AL885">
        <v>3</v>
      </c>
      <c r="AM885">
        <v>5</v>
      </c>
      <c r="AN885" s="22">
        <v>0.1875</v>
      </c>
      <c r="AO885" s="22">
        <v>0.222222222222222</v>
      </c>
      <c r="AP885" s="22">
        <v>1</v>
      </c>
      <c r="AQ885" s="22">
        <v>2.4</v>
      </c>
      <c r="AR885" s="35">
        <v>0.428571428571429</v>
      </c>
      <c r="AS885" s="35">
        <v>25.7142857142857</v>
      </c>
      <c r="AT885" s="35">
        <v>-7.71428571428571</v>
      </c>
      <c r="AU885" s="31">
        <f t="shared" si="17"/>
        <v>42</v>
      </c>
      <c r="AV885" s="36">
        <f>IFERROR(时间!$B$4+AU885,"上周无销量")</f>
        <v>43360</v>
      </c>
    </row>
    <row r="886" spans="1:48">
      <c r="A886" s="20" t="s">
        <v>1975</v>
      </c>
      <c r="B886" t="s">
        <v>1976</v>
      </c>
      <c r="C886" t="s">
        <v>1941</v>
      </c>
      <c r="D886" s="31">
        <v>2</v>
      </c>
      <c r="E886" s="31">
        <v>3</v>
      </c>
      <c r="F886" s="31">
        <v>0</v>
      </c>
      <c r="G886" s="31">
        <v>0</v>
      </c>
      <c r="H886" s="32">
        <v>13.99</v>
      </c>
      <c r="I886">
        <v>15</v>
      </c>
      <c r="J886" s="33">
        <v>0</v>
      </c>
      <c r="K886" s="33">
        <v>0</v>
      </c>
      <c r="L886" s="33">
        <v>1</v>
      </c>
      <c r="M886">
        <v>16</v>
      </c>
      <c r="N886">
        <v>1</v>
      </c>
      <c r="O886">
        <v>0</v>
      </c>
      <c r="P886" t="s">
        <v>53</v>
      </c>
      <c r="Q886" t="s">
        <v>53</v>
      </c>
      <c r="R886" t="s">
        <v>53</v>
      </c>
      <c r="S886" t="s">
        <v>53</v>
      </c>
      <c r="T886" t="s">
        <v>53</v>
      </c>
      <c r="U886" t="s">
        <v>53</v>
      </c>
      <c r="V886" t="s">
        <v>53</v>
      </c>
      <c r="W886" t="s">
        <v>53</v>
      </c>
      <c r="X886" s="22" t="s">
        <v>53</v>
      </c>
      <c r="Y886" s="22" t="s">
        <v>53</v>
      </c>
      <c r="Z886" s="22" t="s">
        <v>53</v>
      </c>
      <c r="AA886" s="22" t="s">
        <v>53</v>
      </c>
      <c r="AB886" t="s">
        <v>53</v>
      </c>
      <c r="AC886" t="s">
        <v>53</v>
      </c>
      <c r="AD886" t="s">
        <v>53</v>
      </c>
      <c r="AE886" t="s">
        <v>53</v>
      </c>
      <c r="AF886" s="22" t="s">
        <v>53</v>
      </c>
      <c r="AG886" s="22" t="s">
        <v>53</v>
      </c>
      <c r="AH886" s="22" t="s">
        <v>53</v>
      </c>
      <c r="AI886" s="22" t="s">
        <v>53</v>
      </c>
      <c r="AJ886">
        <v>24</v>
      </c>
      <c r="AK886">
        <v>23</v>
      </c>
      <c r="AL886">
        <v>10</v>
      </c>
      <c r="AM886">
        <v>7</v>
      </c>
      <c r="AN886" s="22">
        <v>0.0833333333333333</v>
      </c>
      <c r="AO886" s="22">
        <v>0.130434782608696</v>
      </c>
      <c r="AP886" s="22">
        <v>0</v>
      </c>
      <c r="AQ886" s="22">
        <v>0</v>
      </c>
      <c r="AR886" s="35">
        <v>0.285714285714286</v>
      </c>
      <c r="AS886" s="35">
        <v>17.1428571428571</v>
      </c>
      <c r="AT886" s="35">
        <v>-1.14285714285714</v>
      </c>
      <c r="AU886" s="31">
        <f t="shared" si="17"/>
        <v>56</v>
      </c>
      <c r="AV886" s="36">
        <f>IFERROR(时间!$B$4+AU886,"上周无销量")</f>
        <v>43374</v>
      </c>
    </row>
    <row r="887" spans="1:48">
      <c r="A887" s="20" t="s">
        <v>1977</v>
      </c>
      <c r="B887" t="s">
        <v>1978</v>
      </c>
      <c r="C887" t="s">
        <v>1941</v>
      </c>
      <c r="D887" s="31">
        <v>1</v>
      </c>
      <c r="E887" s="31">
        <v>4</v>
      </c>
      <c r="F887" s="31">
        <v>2</v>
      </c>
      <c r="G887" s="31">
        <v>1</v>
      </c>
      <c r="H887" s="32">
        <v>13.99</v>
      </c>
      <c r="I887">
        <v>27</v>
      </c>
      <c r="J887" s="33">
        <v>0</v>
      </c>
      <c r="K887" s="33">
        <v>0</v>
      </c>
      <c r="L887" s="33">
        <v>0</v>
      </c>
      <c r="M887">
        <v>27</v>
      </c>
      <c r="N887">
        <v>0</v>
      </c>
      <c r="O887">
        <v>0</v>
      </c>
      <c r="P887">
        <v>52123</v>
      </c>
      <c r="Q887">
        <v>18605</v>
      </c>
      <c r="R887">
        <v>6782</v>
      </c>
      <c r="S887">
        <v>350</v>
      </c>
      <c r="T887">
        <v>227</v>
      </c>
      <c r="U887">
        <v>94</v>
      </c>
      <c r="V887">
        <v>70</v>
      </c>
      <c r="W887">
        <v>8</v>
      </c>
      <c r="X887" s="22">
        <v>0.00435508316865875</v>
      </c>
      <c r="Y887" s="22">
        <v>0.00505240526740124</v>
      </c>
      <c r="Z887" s="22">
        <v>0.0103214391035093</v>
      </c>
      <c r="AA887" s="22">
        <v>0.0228571428571429</v>
      </c>
      <c r="AB887">
        <v>61.46</v>
      </c>
      <c r="AC887">
        <v>26.68</v>
      </c>
      <c r="AD887">
        <v>23.56</v>
      </c>
      <c r="AE887">
        <v>2.11</v>
      </c>
      <c r="AF887" s="22">
        <v>4.39313795568263</v>
      </c>
      <c r="AG887" s="22">
        <v>0.476769120800572</v>
      </c>
      <c r="AH887" s="22">
        <v>0.842030021443888</v>
      </c>
      <c r="AI887" s="22">
        <v>0.150822015725518</v>
      </c>
      <c r="AJ887">
        <v>121</v>
      </c>
      <c r="AK887">
        <v>64</v>
      </c>
      <c r="AL887">
        <v>51</v>
      </c>
      <c r="AM887">
        <v>9</v>
      </c>
      <c r="AN887" s="22">
        <v>0.00826446280991736</v>
      </c>
      <c r="AO887" s="22">
        <v>0.0625</v>
      </c>
      <c r="AP887" s="22">
        <v>0.0392156862745098</v>
      </c>
      <c r="AQ887" s="22">
        <v>0.111111111111111</v>
      </c>
      <c r="AR887" s="35">
        <v>0.142857142857143</v>
      </c>
      <c r="AS887" s="35">
        <v>8.57142857142857</v>
      </c>
      <c r="AT887" s="35">
        <v>18.4285714285714</v>
      </c>
      <c r="AU887" s="31">
        <f t="shared" si="17"/>
        <v>189</v>
      </c>
      <c r="AV887" s="36">
        <f>IFERROR(时间!$B$4+AU887,"上周无销量")</f>
        <v>43507</v>
      </c>
    </row>
    <row r="888" spans="1:48">
      <c r="A888" s="20" t="s">
        <v>1979</v>
      </c>
      <c r="B888" t="s">
        <v>1980</v>
      </c>
      <c r="C888" t="s">
        <v>1981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5</v>
      </c>
      <c r="J888" s="33">
        <v>0</v>
      </c>
      <c r="K888" s="33">
        <v>0</v>
      </c>
      <c r="L888" s="33">
        <v>0</v>
      </c>
      <c r="M888">
        <v>5</v>
      </c>
      <c r="N888">
        <v>0</v>
      </c>
      <c r="O888">
        <v>0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4</v>
      </c>
      <c r="AK888">
        <v>6</v>
      </c>
      <c r="AL888">
        <v>1</v>
      </c>
      <c r="AM888">
        <v>3</v>
      </c>
      <c r="AN888" s="22">
        <v>0</v>
      </c>
      <c r="AO888" s="22">
        <v>0</v>
      </c>
      <c r="AP888" s="22">
        <v>0</v>
      </c>
      <c r="AQ888" s="22">
        <v>0</v>
      </c>
      <c r="AR888" s="35">
        <v>0</v>
      </c>
      <c r="AS888" s="35">
        <v>0</v>
      </c>
      <c r="AT888" s="35">
        <v>5</v>
      </c>
      <c r="AU888" s="31" t="str">
        <f t="shared" si="17"/>
        <v>库存为5</v>
      </c>
      <c r="AV888" s="36" t="str">
        <f>IFERROR(时间!$B$4+AU888,"上周无销量")</f>
        <v>上周无销量</v>
      </c>
    </row>
    <row r="889" spans="1:48">
      <c r="A889" s="20" t="s">
        <v>1982</v>
      </c>
      <c r="B889" t="s">
        <v>1983</v>
      </c>
      <c r="C889" t="s">
        <v>1981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13</v>
      </c>
      <c r="J889" s="33">
        <v>0</v>
      </c>
      <c r="K889" s="33">
        <v>0</v>
      </c>
      <c r="L889" s="33">
        <v>0</v>
      </c>
      <c r="M889">
        <v>13</v>
      </c>
      <c r="N889">
        <v>0</v>
      </c>
      <c r="O889">
        <v>0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10</v>
      </c>
      <c r="AK889">
        <v>11</v>
      </c>
      <c r="AL889">
        <v>9</v>
      </c>
      <c r="AM889">
        <v>8</v>
      </c>
      <c r="AN889" s="22">
        <v>0</v>
      </c>
      <c r="AO889" s="22">
        <v>0</v>
      </c>
      <c r="AP889" s="22">
        <v>0</v>
      </c>
      <c r="AQ889" s="22">
        <v>0</v>
      </c>
      <c r="AR889" s="35">
        <v>0</v>
      </c>
      <c r="AS889" s="35">
        <v>0</v>
      </c>
      <c r="AT889" s="35">
        <v>13</v>
      </c>
      <c r="AU889" s="31" t="str">
        <f t="shared" si="17"/>
        <v>库存为13</v>
      </c>
      <c r="AV889" s="36" t="str">
        <f>IFERROR(时间!$B$4+AU889,"上周无销量")</f>
        <v>上周无销量</v>
      </c>
    </row>
    <row r="890" spans="1:48">
      <c r="A890" s="20" t="s">
        <v>1984</v>
      </c>
      <c r="B890" t="s">
        <v>1985</v>
      </c>
      <c r="C890" t="s">
        <v>1981</v>
      </c>
      <c r="D890" s="31">
        <v>0</v>
      </c>
      <c r="E890" s="31">
        <v>6</v>
      </c>
      <c r="F890" s="31">
        <v>0</v>
      </c>
      <c r="G890" s="31">
        <v>2</v>
      </c>
      <c r="H890" s="32">
        <v>10.99</v>
      </c>
      <c r="I890">
        <v>1</v>
      </c>
      <c r="J890" s="33">
        <v>0</v>
      </c>
      <c r="K890" s="33">
        <v>0</v>
      </c>
      <c r="L890" s="33">
        <v>0</v>
      </c>
      <c r="M890">
        <v>1</v>
      </c>
      <c r="N890">
        <v>0</v>
      </c>
      <c r="O890">
        <v>0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5</v>
      </c>
      <c r="AK890">
        <v>5</v>
      </c>
      <c r="AL890">
        <v>4</v>
      </c>
      <c r="AM890">
        <v>7</v>
      </c>
      <c r="AN890" s="22">
        <v>0</v>
      </c>
      <c r="AO890" s="22">
        <v>1.2</v>
      </c>
      <c r="AP890" s="22">
        <v>0</v>
      </c>
      <c r="AQ890" s="22">
        <v>0.285714285714286</v>
      </c>
      <c r="AR890" s="35">
        <v>0</v>
      </c>
      <c r="AS890" s="35">
        <v>0</v>
      </c>
      <c r="AT890" s="35">
        <v>1</v>
      </c>
      <c r="AU890" s="31" t="str">
        <f t="shared" si="17"/>
        <v>库存为1</v>
      </c>
      <c r="AV890" s="36" t="str">
        <f>IFERROR(时间!$B$4+AU890,"上周无销量")</f>
        <v>上周无销量</v>
      </c>
    </row>
    <row r="891" spans="1:48">
      <c r="A891" s="20" t="s">
        <v>1986</v>
      </c>
      <c r="B891" t="s">
        <v>1987</v>
      </c>
      <c r="C891" t="s">
        <v>1981</v>
      </c>
      <c r="D891" s="31">
        <v>1</v>
      </c>
      <c r="E891" s="31">
        <v>3</v>
      </c>
      <c r="F891" s="31">
        <v>1</v>
      </c>
      <c r="G891" s="31">
        <v>1</v>
      </c>
      <c r="H891" s="32">
        <v>10.99</v>
      </c>
      <c r="I891">
        <v>4</v>
      </c>
      <c r="J891" s="33">
        <v>0</v>
      </c>
      <c r="K891" s="33">
        <v>0</v>
      </c>
      <c r="L891" s="33">
        <v>0</v>
      </c>
      <c r="M891">
        <v>4</v>
      </c>
      <c r="N891">
        <v>1</v>
      </c>
      <c r="O891">
        <v>0</v>
      </c>
      <c r="P891">
        <v>3006</v>
      </c>
      <c r="Q891">
        <v>1354</v>
      </c>
      <c r="R891">
        <v>101</v>
      </c>
      <c r="S891">
        <v>66</v>
      </c>
      <c r="T891">
        <v>27</v>
      </c>
      <c r="U891">
        <v>13</v>
      </c>
      <c r="V891">
        <v>2</v>
      </c>
      <c r="W891">
        <v>1</v>
      </c>
      <c r="X891" s="22">
        <v>0.00898203592814371</v>
      </c>
      <c r="Y891" s="22">
        <v>0.00960118168389956</v>
      </c>
      <c r="Z891" s="22">
        <v>0.0198019801980198</v>
      </c>
      <c r="AA891" s="22">
        <v>0.0151515151515152</v>
      </c>
      <c r="AB891">
        <v>13.28</v>
      </c>
      <c r="AC891">
        <v>4.13</v>
      </c>
      <c r="AD891">
        <v>1.07</v>
      </c>
      <c r="AE891">
        <v>0.76</v>
      </c>
      <c r="AF891" s="22">
        <v>1.20837124658781</v>
      </c>
      <c r="AG891" s="22">
        <v>0.125265392781316</v>
      </c>
      <c r="AH891" s="22">
        <v>0.097361237488626</v>
      </c>
      <c r="AI891" s="22">
        <v>0.0691537761601456</v>
      </c>
      <c r="AJ891">
        <v>24</v>
      </c>
      <c r="AK891">
        <v>10</v>
      </c>
      <c r="AL891">
        <v>10</v>
      </c>
      <c r="AM891">
        <v>14</v>
      </c>
      <c r="AN891" s="22">
        <v>0.0416666666666667</v>
      </c>
      <c r="AO891" s="22">
        <v>0.3</v>
      </c>
      <c r="AP891" s="22">
        <v>0.1</v>
      </c>
      <c r="AQ891" s="22">
        <v>0.0714285714285714</v>
      </c>
      <c r="AR891" s="35">
        <v>0.142857142857143</v>
      </c>
      <c r="AS891" s="35">
        <v>8.57142857142857</v>
      </c>
      <c r="AT891" s="35">
        <v>-4.57142857142857</v>
      </c>
      <c r="AU891" s="31">
        <f t="shared" si="17"/>
        <v>28</v>
      </c>
      <c r="AV891" s="36">
        <f>IFERROR(时间!$B$4+AU891,"上周无销量")</f>
        <v>43346</v>
      </c>
    </row>
    <row r="892" spans="1:48">
      <c r="A892" s="20" t="s">
        <v>1988</v>
      </c>
      <c r="B892" t="s">
        <v>1989</v>
      </c>
      <c r="C892" t="s">
        <v>1981</v>
      </c>
      <c r="D892" s="31">
        <v>1</v>
      </c>
      <c r="E892" s="31">
        <v>1</v>
      </c>
      <c r="F892" s="31">
        <v>1</v>
      </c>
      <c r="G892" s="31">
        <v>0</v>
      </c>
      <c r="H892" s="32">
        <v>10.99</v>
      </c>
      <c r="I892">
        <v>5</v>
      </c>
      <c r="J892" s="33">
        <v>0</v>
      </c>
      <c r="K892" s="33">
        <v>0</v>
      </c>
      <c r="L892" s="33">
        <v>0</v>
      </c>
      <c r="M892">
        <v>5</v>
      </c>
      <c r="N892">
        <v>0</v>
      </c>
      <c r="O892">
        <v>0</v>
      </c>
      <c r="P892" t="s">
        <v>53</v>
      </c>
      <c r="Q892" t="s">
        <v>53</v>
      </c>
      <c r="R892" t="s">
        <v>53</v>
      </c>
      <c r="S892" t="s">
        <v>53</v>
      </c>
      <c r="T892" t="s">
        <v>53</v>
      </c>
      <c r="U892" t="s">
        <v>53</v>
      </c>
      <c r="V892" t="s">
        <v>53</v>
      </c>
      <c r="W892" t="s">
        <v>53</v>
      </c>
      <c r="X892" s="22" t="s">
        <v>53</v>
      </c>
      <c r="Y892" s="22" t="s">
        <v>53</v>
      </c>
      <c r="Z892" s="22" t="s">
        <v>53</v>
      </c>
      <c r="AA892" s="22" t="s">
        <v>53</v>
      </c>
      <c r="AB892" t="s">
        <v>53</v>
      </c>
      <c r="AC892" t="s">
        <v>53</v>
      </c>
      <c r="AD892" t="s">
        <v>53</v>
      </c>
      <c r="AE892" t="s">
        <v>53</v>
      </c>
      <c r="AF892" s="22" t="s">
        <v>53</v>
      </c>
      <c r="AG892" s="22" t="s">
        <v>53</v>
      </c>
      <c r="AH892" s="22" t="s">
        <v>53</v>
      </c>
      <c r="AI892" s="22" t="s">
        <v>53</v>
      </c>
      <c r="AJ892">
        <v>4</v>
      </c>
      <c r="AK892">
        <v>6</v>
      </c>
      <c r="AL892">
        <v>7</v>
      </c>
      <c r="AM892">
        <v>3</v>
      </c>
      <c r="AN892" s="22">
        <v>0.25</v>
      </c>
      <c r="AO892" s="22">
        <v>0.166666666666667</v>
      </c>
      <c r="AP892" s="22">
        <v>0.142857142857143</v>
      </c>
      <c r="AQ892" s="22">
        <v>0</v>
      </c>
      <c r="AR892" s="35">
        <v>0.142857142857143</v>
      </c>
      <c r="AS892" s="35">
        <v>8.57142857142857</v>
      </c>
      <c r="AT892" s="35">
        <v>-3.57142857142857</v>
      </c>
      <c r="AU892" s="31">
        <f t="shared" si="17"/>
        <v>35</v>
      </c>
      <c r="AV892" s="36">
        <f>IFERROR(时间!$B$4+AU892,"上周无销量")</f>
        <v>43353</v>
      </c>
    </row>
    <row r="893" spans="1:48">
      <c r="A893" s="20" t="s">
        <v>1990</v>
      </c>
      <c r="B893" t="s">
        <v>1991</v>
      </c>
      <c r="C893" t="s">
        <v>1981</v>
      </c>
      <c r="D893" s="31">
        <v>2</v>
      </c>
      <c r="E893" s="31">
        <v>0</v>
      </c>
      <c r="F893" s="31">
        <v>0</v>
      </c>
      <c r="G893" s="31">
        <v>1</v>
      </c>
      <c r="H893" s="32">
        <v>10.99</v>
      </c>
      <c r="I893">
        <v>8</v>
      </c>
      <c r="J893" s="33">
        <v>0</v>
      </c>
      <c r="K893" s="33">
        <v>0</v>
      </c>
      <c r="L893" s="33">
        <v>0</v>
      </c>
      <c r="M893">
        <v>8</v>
      </c>
      <c r="N893">
        <v>0</v>
      </c>
      <c r="O893">
        <v>0</v>
      </c>
      <c r="P893">
        <v>7679</v>
      </c>
      <c r="Q893">
        <v>52855</v>
      </c>
      <c r="R893">
        <v>74387</v>
      </c>
      <c r="S893">
        <v>20308</v>
      </c>
      <c r="T893">
        <v>28</v>
      </c>
      <c r="U893">
        <v>165</v>
      </c>
      <c r="V893">
        <v>203</v>
      </c>
      <c r="W893">
        <v>87</v>
      </c>
      <c r="X893" s="22">
        <v>0.00364630811303555</v>
      </c>
      <c r="Y893" s="22">
        <v>0.00312174817898023</v>
      </c>
      <c r="Z893" s="22">
        <v>0.00272897146006695</v>
      </c>
      <c r="AA893" s="22">
        <v>0.00428402599960607</v>
      </c>
      <c r="AB893">
        <v>16.12</v>
      </c>
      <c r="AC893">
        <v>89.62</v>
      </c>
      <c r="AD893">
        <v>97.95</v>
      </c>
      <c r="AE893">
        <v>40.35</v>
      </c>
      <c r="AF893" s="22">
        <v>0.733393994540491</v>
      </c>
      <c r="AG893" s="22" t="s">
        <v>1992</v>
      </c>
      <c r="AH893" s="22" t="s">
        <v>1993</v>
      </c>
      <c r="AI893" s="22">
        <v>3.67151956323931</v>
      </c>
      <c r="AJ893">
        <v>12</v>
      </c>
      <c r="AK893">
        <v>66</v>
      </c>
      <c r="AL893">
        <v>90</v>
      </c>
      <c r="AM893">
        <v>38</v>
      </c>
      <c r="AN893" s="22">
        <v>0.166666666666667</v>
      </c>
      <c r="AO893" s="22">
        <v>0</v>
      </c>
      <c r="AP893" s="22">
        <v>0</v>
      </c>
      <c r="AQ893" s="22">
        <v>0.0263157894736842</v>
      </c>
      <c r="AR893" s="35">
        <v>0.285714285714286</v>
      </c>
      <c r="AS893" s="35">
        <v>17.1428571428571</v>
      </c>
      <c r="AT893" s="35">
        <v>-9.14285714285714</v>
      </c>
      <c r="AU893" s="31">
        <f t="shared" si="17"/>
        <v>28</v>
      </c>
      <c r="AV893" s="36">
        <f>IFERROR(时间!$B$4+AU893,"上周无销量")</f>
        <v>43346</v>
      </c>
    </row>
    <row r="894" spans="1:48">
      <c r="A894" s="20" t="s">
        <v>1994</v>
      </c>
      <c r="B894" t="s">
        <v>1995</v>
      </c>
      <c r="C894" t="s">
        <v>1981</v>
      </c>
      <c r="D894" s="31">
        <v>0</v>
      </c>
      <c r="E894" s="31">
        <v>1</v>
      </c>
      <c r="F894" s="31">
        <v>0</v>
      </c>
      <c r="G894" s="31">
        <v>0</v>
      </c>
      <c r="H894" s="32">
        <v>10.99</v>
      </c>
      <c r="I894">
        <v>8</v>
      </c>
      <c r="J894" s="33">
        <v>0</v>
      </c>
      <c r="K894" s="33">
        <v>0</v>
      </c>
      <c r="L894" s="33">
        <v>0</v>
      </c>
      <c r="M894">
        <v>8</v>
      </c>
      <c r="N894">
        <v>0</v>
      </c>
      <c r="O894">
        <v>0</v>
      </c>
      <c r="P894">
        <v>28</v>
      </c>
      <c r="Q894">
        <v>26</v>
      </c>
      <c r="R894">
        <v>0</v>
      </c>
      <c r="S894">
        <v>0</v>
      </c>
      <c r="T894">
        <v>1</v>
      </c>
      <c r="U894">
        <v>0</v>
      </c>
      <c r="V894">
        <v>0</v>
      </c>
      <c r="W894">
        <v>0</v>
      </c>
      <c r="X894" s="22">
        <v>0.0357142857142857</v>
      </c>
      <c r="Y894" s="22">
        <v>0</v>
      </c>
      <c r="Z894" s="22" t="s">
        <v>53</v>
      </c>
      <c r="AA894" s="22" t="s">
        <v>53</v>
      </c>
      <c r="AB894">
        <v>0.52</v>
      </c>
      <c r="AC894">
        <v>0</v>
      </c>
      <c r="AD894">
        <v>0</v>
      </c>
      <c r="AE894">
        <v>0</v>
      </c>
      <c r="AF894" s="22" t="s">
        <v>1996</v>
      </c>
      <c r="AG894" s="22" t="s">
        <v>53</v>
      </c>
      <c r="AH894" s="22" t="s">
        <v>53</v>
      </c>
      <c r="AI894" s="22" t="s">
        <v>53</v>
      </c>
      <c r="AJ894">
        <v>8</v>
      </c>
      <c r="AK894">
        <v>6</v>
      </c>
      <c r="AL894">
        <v>4</v>
      </c>
      <c r="AM894">
        <v>4</v>
      </c>
      <c r="AN894" s="22">
        <v>0</v>
      </c>
      <c r="AO894" s="22">
        <v>0.166666666666667</v>
      </c>
      <c r="AP894" s="22">
        <v>0</v>
      </c>
      <c r="AQ894" s="22">
        <v>0</v>
      </c>
      <c r="AR894" s="35">
        <v>0</v>
      </c>
      <c r="AS894" s="35">
        <v>0</v>
      </c>
      <c r="AT894" s="35">
        <v>8</v>
      </c>
      <c r="AU894" s="31" t="str">
        <f t="shared" si="17"/>
        <v>库存为8</v>
      </c>
      <c r="AV894" s="36" t="str">
        <f>IFERROR(时间!$B$4+AU894,"上周无销量")</f>
        <v>上周无销量</v>
      </c>
    </row>
    <row r="895" spans="1:48">
      <c r="A895" s="20" t="s">
        <v>1997</v>
      </c>
      <c r="B895" t="s">
        <v>1998</v>
      </c>
      <c r="C895" t="s">
        <v>1981</v>
      </c>
      <c r="D895" s="31">
        <v>0</v>
      </c>
      <c r="E895" s="31">
        <v>1</v>
      </c>
      <c r="F895" s="31">
        <v>0</v>
      </c>
      <c r="G895" s="31">
        <v>1</v>
      </c>
      <c r="H895" s="32">
        <v>10.99</v>
      </c>
      <c r="I895">
        <v>8</v>
      </c>
      <c r="J895" s="33">
        <v>0</v>
      </c>
      <c r="K895" s="33">
        <v>0</v>
      </c>
      <c r="L895" s="33">
        <v>0</v>
      </c>
      <c r="M895">
        <v>8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7</v>
      </c>
      <c r="T895">
        <v>0</v>
      </c>
      <c r="U895">
        <v>0</v>
      </c>
      <c r="V895">
        <v>0</v>
      </c>
      <c r="W895">
        <v>0</v>
      </c>
      <c r="X895" s="22" t="s">
        <v>53</v>
      </c>
      <c r="Y895" s="22" t="s">
        <v>53</v>
      </c>
      <c r="Z895" s="22" t="s">
        <v>53</v>
      </c>
      <c r="AA895" s="22">
        <v>0</v>
      </c>
      <c r="AB895">
        <v>0</v>
      </c>
      <c r="AC895">
        <v>0</v>
      </c>
      <c r="AD895">
        <v>0</v>
      </c>
      <c r="AE895">
        <v>0</v>
      </c>
      <c r="AF895" s="22" t="s">
        <v>53</v>
      </c>
      <c r="AG895" s="22" t="s">
        <v>53</v>
      </c>
      <c r="AH895" s="22" t="s">
        <v>53</v>
      </c>
      <c r="AI895" s="22" t="s">
        <v>53</v>
      </c>
      <c r="AJ895">
        <v>5</v>
      </c>
      <c r="AK895">
        <v>6</v>
      </c>
      <c r="AL895">
        <v>11</v>
      </c>
      <c r="AM895">
        <v>17</v>
      </c>
      <c r="AN895" s="22">
        <v>0</v>
      </c>
      <c r="AO895" s="22">
        <v>0.166666666666667</v>
      </c>
      <c r="AP895" s="22">
        <v>0</v>
      </c>
      <c r="AQ895" s="22">
        <v>0.0588235294117647</v>
      </c>
      <c r="AR895" s="35">
        <v>0</v>
      </c>
      <c r="AS895" s="35">
        <v>0</v>
      </c>
      <c r="AT895" s="35">
        <v>8</v>
      </c>
      <c r="AU895" s="31" t="str">
        <f t="shared" si="17"/>
        <v>库存为8</v>
      </c>
      <c r="AV895" s="36" t="str">
        <f>IFERROR(时间!$B$4+AU895,"上周无销量")</f>
        <v>上周无销量</v>
      </c>
    </row>
    <row r="896" spans="1:48">
      <c r="A896" s="20" t="s">
        <v>1999</v>
      </c>
      <c r="B896" t="s">
        <v>2000</v>
      </c>
      <c r="C896" t="s">
        <v>2001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53</v>
      </c>
      <c r="Q896" t="s">
        <v>53</v>
      </c>
      <c r="R896" t="s">
        <v>53</v>
      </c>
      <c r="S896" t="s">
        <v>53</v>
      </c>
      <c r="T896" t="s">
        <v>53</v>
      </c>
      <c r="U896" t="s">
        <v>53</v>
      </c>
      <c r="V896" t="s">
        <v>53</v>
      </c>
      <c r="W896" t="s">
        <v>53</v>
      </c>
      <c r="X896" s="22" t="s">
        <v>53</v>
      </c>
      <c r="Y896" s="22" t="s">
        <v>53</v>
      </c>
      <c r="Z896" s="22" t="s">
        <v>53</v>
      </c>
      <c r="AA896" s="22" t="s">
        <v>53</v>
      </c>
      <c r="AB896" t="s">
        <v>53</v>
      </c>
      <c r="AC896" t="s">
        <v>53</v>
      </c>
      <c r="AD896" t="s">
        <v>53</v>
      </c>
      <c r="AE896" t="s">
        <v>53</v>
      </c>
      <c r="AF896" s="22" t="s">
        <v>53</v>
      </c>
      <c r="AG896" s="22" t="s">
        <v>53</v>
      </c>
      <c r="AH896" s="22" t="s">
        <v>53</v>
      </c>
      <c r="AI896" s="22" t="s">
        <v>53</v>
      </c>
      <c r="AJ896">
        <v>0</v>
      </c>
      <c r="AK896">
        <v>0</v>
      </c>
      <c r="AL896">
        <v>0</v>
      </c>
      <c r="AM896">
        <v>0</v>
      </c>
      <c r="AN896" s="22" t="s">
        <v>53</v>
      </c>
      <c r="AO896" s="22" t="s">
        <v>53</v>
      </c>
      <c r="AP896" s="22" t="s">
        <v>53</v>
      </c>
      <c r="AQ896" s="22" t="s">
        <v>53</v>
      </c>
      <c r="AR896" s="35">
        <v>0</v>
      </c>
      <c r="AS896" s="35">
        <v>0</v>
      </c>
      <c r="AT896" s="35">
        <v>0</v>
      </c>
      <c r="AU896" s="31" t="str">
        <f t="shared" si="17"/>
        <v>库存为0</v>
      </c>
      <c r="AV896" s="36" t="str">
        <f>IFERROR(时间!$B$4+AU896,"上周无销量")</f>
        <v>上周无销量</v>
      </c>
    </row>
    <row r="897" spans="1:48">
      <c r="A897" s="20" t="s">
        <v>2002</v>
      </c>
      <c r="B897" t="s">
        <v>2003</v>
      </c>
      <c r="C897" t="s">
        <v>2001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53</v>
      </c>
      <c r="Q897" t="s">
        <v>53</v>
      </c>
      <c r="R897" t="s">
        <v>53</v>
      </c>
      <c r="S897" t="s">
        <v>53</v>
      </c>
      <c r="T897" t="s">
        <v>53</v>
      </c>
      <c r="U897" t="s">
        <v>53</v>
      </c>
      <c r="V897" t="s">
        <v>53</v>
      </c>
      <c r="W897" t="s">
        <v>53</v>
      </c>
      <c r="X897" s="22" t="s">
        <v>53</v>
      </c>
      <c r="Y897" s="22" t="s">
        <v>53</v>
      </c>
      <c r="Z897" s="22" t="s">
        <v>53</v>
      </c>
      <c r="AA897" s="22" t="s">
        <v>53</v>
      </c>
      <c r="AB897" t="s">
        <v>53</v>
      </c>
      <c r="AC897" t="s">
        <v>53</v>
      </c>
      <c r="AD897" t="s">
        <v>53</v>
      </c>
      <c r="AE897" t="s">
        <v>53</v>
      </c>
      <c r="AF897" s="22" t="s">
        <v>53</v>
      </c>
      <c r="AG897" s="22" t="s">
        <v>53</v>
      </c>
      <c r="AH897" s="22" t="s">
        <v>53</v>
      </c>
      <c r="AI897" s="22" t="s">
        <v>53</v>
      </c>
      <c r="AJ897">
        <v>0</v>
      </c>
      <c r="AK897">
        <v>0</v>
      </c>
      <c r="AL897">
        <v>0</v>
      </c>
      <c r="AM897">
        <v>0</v>
      </c>
      <c r="AN897" s="22" t="s">
        <v>53</v>
      </c>
      <c r="AO897" s="22" t="s">
        <v>53</v>
      </c>
      <c r="AP897" s="22" t="s">
        <v>53</v>
      </c>
      <c r="AQ897" s="22" t="s">
        <v>53</v>
      </c>
      <c r="AR897" s="35">
        <v>0</v>
      </c>
      <c r="AS897" s="35">
        <v>0</v>
      </c>
      <c r="AT897" s="35">
        <v>0</v>
      </c>
      <c r="AU897" s="31" t="str">
        <f t="shared" si="17"/>
        <v>库存为0</v>
      </c>
      <c r="AV897" s="36" t="str">
        <f>IFERROR(时间!$B$4+AU897,"上周无销量")</f>
        <v>上周无销量</v>
      </c>
    </row>
    <row r="898" spans="1:48">
      <c r="A898" s="20" t="s">
        <v>2004</v>
      </c>
      <c r="B898" t="s">
        <v>2005</v>
      </c>
      <c r="C898" t="s">
        <v>2001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53</v>
      </c>
      <c r="Q898" t="s">
        <v>53</v>
      </c>
      <c r="R898" t="s">
        <v>53</v>
      </c>
      <c r="S898" t="s">
        <v>53</v>
      </c>
      <c r="T898" t="s">
        <v>53</v>
      </c>
      <c r="U898" t="s">
        <v>53</v>
      </c>
      <c r="V898" t="s">
        <v>53</v>
      </c>
      <c r="W898" t="s">
        <v>53</v>
      </c>
      <c r="X898" s="22" t="s">
        <v>53</v>
      </c>
      <c r="Y898" s="22" t="s">
        <v>53</v>
      </c>
      <c r="Z898" s="22" t="s">
        <v>53</v>
      </c>
      <c r="AA898" s="22" t="s">
        <v>53</v>
      </c>
      <c r="AB898" t="s">
        <v>53</v>
      </c>
      <c r="AC898" t="s">
        <v>53</v>
      </c>
      <c r="AD898" t="s">
        <v>53</v>
      </c>
      <c r="AE898" t="s">
        <v>53</v>
      </c>
      <c r="AF898" s="22" t="s">
        <v>53</v>
      </c>
      <c r="AG898" s="22" t="s">
        <v>53</v>
      </c>
      <c r="AH898" s="22" t="s">
        <v>53</v>
      </c>
      <c r="AI898" s="22" t="s">
        <v>53</v>
      </c>
      <c r="AJ898">
        <v>0</v>
      </c>
      <c r="AK898">
        <v>0</v>
      </c>
      <c r="AL898">
        <v>0</v>
      </c>
      <c r="AM898">
        <v>0</v>
      </c>
      <c r="AN898" s="22" t="s">
        <v>53</v>
      </c>
      <c r="AO898" s="22" t="s">
        <v>53</v>
      </c>
      <c r="AP898" s="22" t="s">
        <v>53</v>
      </c>
      <c r="AQ898" s="22" t="s">
        <v>53</v>
      </c>
      <c r="AR898" s="35">
        <v>0</v>
      </c>
      <c r="AS898" s="35">
        <v>0</v>
      </c>
      <c r="AT898" s="35">
        <v>0</v>
      </c>
      <c r="AU898" s="31" t="str">
        <f t="shared" si="17"/>
        <v>库存为0</v>
      </c>
      <c r="AV898" s="36" t="str">
        <f>IFERROR(时间!$B$4+AU898,"上周无销量")</f>
        <v>上周无销量</v>
      </c>
    </row>
    <row r="899" spans="1:48">
      <c r="A899" s="20" t="s">
        <v>2006</v>
      </c>
      <c r="B899" t="s">
        <v>2007</v>
      </c>
      <c r="C899" t="s">
        <v>2001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53</v>
      </c>
      <c r="Q899" t="s">
        <v>53</v>
      </c>
      <c r="R899" t="s">
        <v>53</v>
      </c>
      <c r="S899" t="s">
        <v>53</v>
      </c>
      <c r="T899" t="s">
        <v>53</v>
      </c>
      <c r="U899" t="s">
        <v>53</v>
      </c>
      <c r="V899" t="s">
        <v>53</v>
      </c>
      <c r="W899" t="s">
        <v>53</v>
      </c>
      <c r="X899" s="22" t="s">
        <v>53</v>
      </c>
      <c r="Y899" s="22" t="s">
        <v>53</v>
      </c>
      <c r="Z899" s="22" t="s">
        <v>53</v>
      </c>
      <c r="AA899" s="22" t="s">
        <v>53</v>
      </c>
      <c r="AB899" t="s">
        <v>53</v>
      </c>
      <c r="AC899" t="s">
        <v>53</v>
      </c>
      <c r="AD899" t="s">
        <v>53</v>
      </c>
      <c r="AE899" t="s">
        <v>53</v>
      </c>
      <c r="AF899" s="22" t="s">
        <v>53</v>
      </c>
      <c r="AG899" s="22" t="s">
        <v>53</v>
      </c>
      <c r="AH899" s="22" t="s">
        <v>53</v>
      </c>
      <c r="AI899" s="22" t="s">
        <v>53</v>
      </c>
      <c r="AJ899">
        <v>0</v>
      </c>
      <c r="AK899">
        <v>0</v>
      </c>
      <c r="AL899">
        <v>0</v>
      </c>
      <c r="AM899">
        <v>0</v>
      </c>
      <c r="AN899" s="22" t="s">
        <v>53</v>
      </c>
      <c r="AO899" s="22" t="s">
        <v>53</v>
      </c>
      <c r="AP899" s="22" t="s">
        <v>53</v>
      </c>
      <c r="AQ899" s="22" t="s">
        <v>53</v>
      </c>
      <c r="AR899" s="35">
        <v>0</v>
      </c>
      <c r="AS899" s="35">
        <v>0</v>
      </c>
      <c r="AT899" s="35">
        <v>0</v>
      </c>
      <c r="AU899" s="31" t="str">
        <f t="shared" si="17"/>
        <v>库存为0</v>
      </c>
      <c r="AV899" s="36" t="str">
        <f>IFERROR(时间!$B$4+AU899,"上周无销量")</f>
        <v>上周无销量</v>
      </c>
    </row>
    <row r="900" spans="1:48">
      <c r="A900" s="20" t="s">
        <v>2008</v>
      </c>
      <c r="B900" t="s">
        <v>2009</v>
      </c>
      <c r="C900" t="s">
        <v>2001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53</v>
      </c>
      <c r="Q900" t="s">
        <v>53</v>
      </c>
      <c r="R900" t="s">
        <v>53</v>
      </c>
      <c r="S900" t="s">
        <v>53</v>
      </c>
      <c r="T900" t="s">
        <v>53</v>
      </c>
      <c r="U900" t="s">
        <v>53</v>
      </c>
      <c r="V900" t="s">
        <v>53</v>
      </c>
      <c r="W900" t="s">
        <v>53</v>
      </c>
      <c r="X900" s="22" t="s">
        <v>53</v>
      </c>
      <c r="Y900" s="22" t="s">
        <v>53</v>
      </c>
      <c r="Z900" s="22" t="s">
        <v>53</v>
      </c>
      <c r="AA900" s="22" t="s">
        <v>53</v>
      </c>
      <c r="AB900" t="s">
        <v>53</v>
      </c>
      <c r="AC900" t="s">
        <v>53</v>
      </c>
      <c r="AD900" t="s">
        <v>53</v>
      </c>
      <c r="AE900" t="s">
        <v>53</v>
      </c>
      <c r="AF900" s="22" t="s">
        <v>53</v>
      </c>
      <c r="AG900" s="22" t="s">
        <v>53</v>
      </c>
      <c r="AH900" s="22" t="s">
        <v>53</v>
      </c>
      <c r="AI900" s="22" t="s">
        <v>53</v>
      </c>
      <c r="AJ900">
        <v>0</v>
      </c>
      <c r="AK900">
        <v>0</v>
      </c>
      <c r="AL900">
        <v>0</v>
      </c>
      <c r="AM900">
        <v>0</v>
      </c>
      <c r="AN900" s="22" t="s">
        <v>53</v>
      </c>
      <c r="AO900" s="22" t="s">
        <v>53</v>
      </c>
      <c r="AP900" s="22" t="s">
        <v>53</v>
      </c>
      <c r="AQ900" s="22" t="s">
        <v>53</v>
      </c>
      <c r="AR900" s="35">
        <v>0</v>
      </c>
      <c r="AS900" s="35">
        <v>0</v>
      </c>
      <c r="AT900" s="35">
        <v>0</v>
      </c>
      <c r="AU900" s="31" t="str">
        <f t="shared" si="17"/>
        <v>库存为0</v>
      </c>
      <c r="AV900" s="36" t="str">
        <f>IFERROR(时间!$B$4+AU900,"上周无销量")</f>
        <v>上周无销量</v>
      </c>
    </row>
    <row r="901" spans="1:48">
      <c r="A901" s="20" t="s">
        <v>2010</v>
      </c>
      <c r="B901" t="s">
        <v>1826</v>
      </c>
      <c r="C901" t="s">
        <v>2011</v>
      </c>
      <c r="D901" s="31">
        <v>6</v>
      </c>
      <c r="E901" s="31">
        <v>1</v>
      </c>
      <c r="F901" s="31">
        <v>4</v>
      </c>
      <c r="G901" s="31">
        <v>6</v>
      </c>
      <c r="H901" s="32">
        <v>22.99</v>
      </c>
      <c r="I901">
        <v>73</v>
      </c>
      <c r="J901" s="33">
        <v>0</v>
      </c>
      <c r="K901" s="33">
        <v>0</v>
      </c>
      <c r="L901" s="33">
        <v>0</v>
      </c>
      <c r="M901">
        <v>73</v>
      </c>
      <c r="N901">
        <v>0</v>
      </c>
      <c r="O901">
        <v>0</v>
      </c>
      <c r="P901">
        <v>0</v>
      </c>
      <c r="Q901">
        <v>1</v>
      </c>
      <c r="R901">
        <v>6</v>
      </c>
      <c r="S901">
        <v>65</v>
      </c>
      <c r="T901">
        <v>0</v>
      </c>
      <c r="U901">
        <v>0</v>
      </c>
      <c r="V901">
        <v>0</v>
      </c>
      <c r="W901">
        <v>1</v>
      </c>
      <c r="X901" s="22" t="s">
        <v>53</v>
      </c>
      <c r="Y901" s="22">
        <v>0</v>
      </c>
      <c r="Z901" s="22">
        <v>0</v>
      </c>
      <c r="AA901" s="22">
        <v>0.0153846153846154</v>
      </c>
      <c r="AB901">
        <v>0</v>
      </c>
      <c r="AC901">
        <v>0</v>
      </c>
      <c r="AD901">
        <v>0</v>
      </c>
      <c r="AE901">
        <v>0.15</v>
      </c>
      <c r="AF901" s="22" t="s">
        <v>53</v>
      </c>
      <c r="AG901" s="22" t="s">
        <v>53</v>
      </c>
      <c r="AH901" s="22" t="s">
        <v>53</v>
      </c>
      <c r="AI901" s="22">
        <v>0.00108742931709439</v>
      </c>
      <c r="AJ901">
        <v>237</v>
      </c>
      <c r="AK901">
        <v>14</v>
      </c>
      <c r="AL901">
        <v>98</v>
      </c>
      <c r="AM901">
        <v>126</v>
      </c>
      <c r="AN901" s="22">
        <v>0.0253164556962025</v>
      </c>
      <c r="AO901" s="22">
        <v>0.0714285714285714</v>
      </c>
      <c r="AP901" s="22">
        <v>0.0408163265306122</v>
      </c>
      <c r="AQ901" s="22">
        <v>0.0476190476190476</v>
      </c>
      <c r="AR901" s="35">
        <v>0.857142857142857</v>
      </c>
      <c r="AS901" s="35">
        <v>51.4285714285714</v>
      </c>
      <c r="AT901" s="35">
        <v>21.5714285714286</v>
      </c>
      <c r="AU901" s="31">
        <f t="shared" ref="AU901:AU964" si="18">IF(AR901="","库存为"&amp;M901,IF(AS901=0,"库存为"&amp;M901,INT(M901/AR901)))</f>
        <v>85</v>
      </c>
      <c r="AV901" s="36">
        <f>IFERROR(时间!$B$4+AU901,"上周无销量")</f>
        <v>43403</v>
      </c>
    </row>
    <row r="902" spans="1:48">
      <c r="A902" s="20" t="s">
        <v>2012</v>
      </c>
      <c r="B902" t="s">
        <v>1832</v>
      </c>
      <c r="C902" t="s">
        <v>2011</v>
      </c>
      <c r="D902" s="31">
        <v>2</v>
      </c>
      <c r="E902" s="31">
        <v>1</v>
      </c>
      <c r="F902" s="31">
        <v>3</v>
      </c>
      <c r="G902" s="31">
        <v>7</v>
      </c>
      <c r="H902" s="32">
        <v>22.99</v>
      </c>
      <c r="I902">
        <v>78</v>
      </c>
      <c r="J902" s="33">
        <v>0</v>
      </c>
      <c r="K902" s="33">
        <v>0</v>
      </c>
      <c r="L902" s="33">
        <v>0</v>
      </c>
      <c r="M902">
        <v>78</v>
      </c>
      <c r="N902">
        <v>0</v>
      </c>
      <c r="O902">
        <v>0</v>
      </c>
      <c r="P902">
        <v>0</v>
      </c>
      <c r="Q902">
        <v>0</v>
      </c>
      <c r="R902">
        <v>28</v>
      </c>
      <c r="S902">
        <v>14</v>
      </c>
      <c r="T902">
        <v>0</v>
      </c>
      <c r="U902">
        <v>0</v>
      </c>
      <c r="V902">
        <v>0</v>
      </c>
      <c r="W902">
        <v>0</v>
      </c>
      <c r="X902" s="22" t="s">
        <v>53</v>
      </c>
      <c r="Y902" s="22" t="s">
        <v>53</v>
      </c>
      <c r="Z902" s="22">
        <v>0</v>
      </c>
      <c r="AA902" s="22">
        <v>0</v>
      </c>
      <c r="AB902">
        <v>0</v>
      </c>
      <c r="AC902">
        <v>0</v>
      </c>
      <c r="AD902">
        <v>0</v>
      </c>
      <c r="AE902">
        <v>0</v>
      </c>
      <c r="AF902" s="22" t="s">
        <v>53</v>
      </c>
      <c r="AG902" s="22" t="s">
        <v>53</v>
      </c>
      <c r="AH902" s="22" t="s">
        <v>53</v>
      </c>
      <c r="AI902" s="22" t="s">
        <v>53</v>
      </c>
      <c r="AJ902">
        <v>35</v>
      </c>
      <c r="AK902">
        <v>23</v>
      </c>
      <c r="AL902">
        <v>19</v>
      </c>
      <c r="AM902">
        <v>83</v>
      </c>
      <c r="AN902" s="22">
        <v>0.0571428571428571</v>
      </c>
      <c r="AO902" s="22">
        <v>0.0434782608695652</v>
      </c>
      <c r="AP902" s="22">
        <v>0.157894736842105</v>
      </c>
      <c r="AQ902" s="22">
        <v>0.0843373493975904</v>
      </c>
      <c r="AR902" s="35">
        <v>0.285714285714286</v>
      </c>
      <c r="AS902" s="35">
        <v>17.1428571428571</v>
      </c>
      <c r="AT902" s="35">
        <v>60.8571428571429</v>
      </c>
      <c r="AU902" s="31">
        <f t="shared" si="18"/>
        <v>273</v>
      </c>
      <c r="AV902" s="36">
        <f>IFERROR(时间!$B$4+AU902,"上周无销量")</f>
        <v>43591</v>
      </c>
    </row>
    <row r="903" spans="1:48">
      <c r="A903" s="20" t="s">
        <v>2013</v>
      </c>
      <c r="B903" t="s">
        <v>1821</v>
      </c>
      <c r="C903" t="s">
        <v>2011</v>
      </c>
      <c r="D903" s="31">
        <v>1</v>
      </c>
      <c r="E903" s="31">
        <v>0</v>
      </c>
      <c r="F903" s="31">
        <v>11</v>
      </c>
      <c r="G903" s="31">
        <v>7</v>
      </c>
      <c r="H903" s="32">
        <v>22.99</v>
      </c>
      <c r="I903">
        <v>19</v>
      </c>
      <c r="J903" s="33">
        <v>0</v>
      </c>
      <c r="K903" s="33">
        <v>0</v>
      </c>
      <c r="L903" s="33">
        <v>0</v>
      </c>
      <c r="M903">
        <v>19</v>
      </c>
      <c r="N903">
        <v>0</v>
      </c>
      <c r="O903">
        <v>0</v>
      </c>
      <c r="P903">
        <v>0</v>
      </c>
      <c r="Q903">
        <v>0</v>
      </c>
      <c r="R903">
        <v>203</v>
      </c>
      <c r="S903">
        <v>168</v>
      </c>
      <c r="T903">
        <v>0</v>
      </c>
      <c r="U903">
        <v>0</v>
      </c>
      <c r="V903">
        <v>3</v>
      </c>
      <c r="W903">
        <v>3</v>
      </c>
      <c r="X903" s="22" t="s">
        <v>53</v>
      </c>
      <c r="Y903" s="22" t="s">
        <v>53</v>
      </c>
      <c r="Z903" s="22">
        <v>0.0147783251231527</v>
      </c>
      <c r="AA903" s="22">
        <v>0.0178571428571429</v>
      </c>
      <c r="AB903">
        <v>0</v>
      </c>
      <c r="AC903">
        <v>0</v>
      </c>
      <c r="AD903">
        <v>0.42</v>
      </c>
      <c r="AE903">
        <v>0.65</v>
      </c>
      <c r="AF903" s="22" t="s">
        <v>53</v>
      </c>
      <c r="AG903" s="22" t="s">
        <v>53</v>
      </c>
      <c r="AH903" s="22">
        <v>0.00166080113883507</v>
      </c>
      <c r="AI903" s="22">
        <v>0.00403902317777916</v>
      </c>
      <c r="AJ903">
        <v>57</v>
      </c>
      <c r="AK903">
        <v>0</v>
      </c>
      <c r="AL903">
        <v>178</v>
      </c>
      <c r="AM903">
        <v>78</v>
      </c>
      <c r="AN903" s="22">
        <v>0.0175438596491228</v>
      </c>
      <c r="AO903" s="22" t="s">
        <v>53</v>
      </c>
      <c r="AP903" s="22">
        <v>0.0617977528089888</v>
      </c>
      <c r="AQ903" s="22">
        <v>0.0897435897435897</v>
      </c>
      <c r="AR903" s="35">
        <v>0.142857142857143</v>
      </c>
      <c r="AS903" s="35">
        <v>8.57142857142857</v>
      </c>
      <c r="AT903" s="35">
        <v>10.4285714285714</v>
      </c>
      <c r="AU903" s="31">
        <f t="shared" si="18"/>
        <v>133</v>
      </c>
      <c r="AV903" s="36">
        <f>IFERROR(时间!$B$4+AU903,"上周无销量")</f>
        <v>43451</v>
      </c>
    </row>
    <row r="904" spans="1:48">
      <c r="A904" s="20" t="s">
        <v>2014</v>
      </c>
      <c r="B904" t="s">
        <v>1824</v>
      </c>
      <c r="C904" t="s">
        <v>2011</v>
      </c>
      <c r="D904" s="31">
        <v>2</v>
      </c>
      <c r="E904" s="31">
        <v>6</v>
      </c>
      <c r="F904" s="31">
        <v>7</v>
      </c>
      <c r="G904" s="31">
        <v>4</v>
      </c>
      <c r="H904" s="32">
        <v>22.99</v>
      </c>
      <c r="I904">
        <v>23</v>
      </c>
      <c r="J904" s="33">
        <v>0</v>
      </c>
      <c r="K904" s="33">
        <v>0</v>
      </c>
      <c r="L904" s="33">
        <v>0</v>
      </c>
      <c r="M904">
        <v>23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6</v>
      </c>
      <c r="T904">
        <v>0</v>
      </c>
      <c r="U904">
        <v>0</v>
      </c>
      <c r="V904">
        <v>0</v>
      </c>
      <c r="W904">
        <v>1</v>
      </c>
      <c r="X904" s="22" t="s">
        <v>53</v>
      </c>
      <c r="Y904" s="22" t="s">
        <v>53</v>
      </c>
      <c r="Z904" s="22" t="s">
        <v>53</v>
      </c>
      <c r="AA904" s="22">
        <v>0.166666666666667</v>
      </c>
      <c r="AB904">
        <v>0</v>
      </c>
      <c r="AC904">
        <v>0</v>
      </c>
      <c r="AD904">
        <v>0</v>
      </c>
      <c r="AE904">
        <v>0.15</v>
      </c>
      <c r="AF904" s="22" t="s">
        <v>53</v>
      </c>
      <c r="AG904" s="22" t="s">
        <v>53</v>
      </c>
      <c r="AH904" s="22" t="s">
        <v>53</v>
      </c>
      <c r="AI904" s="22">
        <v>0.00163114397564158</v>
      </c>
      <c r="AJ904">
        <v>38</v>
      </c>
      <c r="AK904">
        <v>20</v>
      </c>
      <c r="AL904">
        <v>86</v>
      </c>
      <c r="AM904">
        <v>73</v>
      </c>
      <c r="AN904" s="22">
        <v>0.0526315789473684</v>
      </c>
      <c r="AO904" s="22">
        <v>0.3</v>
      </c>
      <c r="AP904" s="22">
        <v>0.0813953488372093</v>
      </c>
      <c r="AQ904" s="22">
        <v>0.0547945205479452</v>
      </c>
      <c r="AR904" s="35">
        <v>0.285714285714286</v>
      </c>
      <c r="AS904" s="35">
        <v>17.1428571428571</v>
      </c>
      <c r="AT904" s="35">
        <v>5.85714285714286</v>
      </c>
      <c r="AU904" s="31">
        <f t="shared" si="18"/>
        <v>80</v>
      </c>
      <c r="AV904" s="36">
        <f>IFERROR(时间!$B$4+AU904,"上周无销量")</f>
        <v>43398</v>
      </c>
    </row>
    <row r="905" spans="1:48">
      <c r="A905" s="20" t="s">
        <v>2015</v>
      </c>
      <c r="B905" t="s">
        <v>1828</v>
      </c>
      <c r="C905" t="s">
        <v>2011</v>
      </c>
      <c r="D905" s="31">
        <v>1</v>
      </c>
      <c r="E905" s="31">
        <v>9</v>
      </c>
      <c r="F905" s="31">
        <v>6</v>
      </c>
      <c r="G905" s="31">
        <v>4</v>
      </c>
      <c r="H905" s="32">
        <v>22.99</v>
      </c>
      <c r="I905">
        <v>23</v>
      </c>
      <c r="J905" s="33">
        <v>0</v>
      </c>
      <c r="K905" s="33">
        <v>0</v>
      </c>
      <c r="L905" s="33">
        <v>0</v>
      </c>
      <c r="M905">
        <v>23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1</v>
      </c>
      <c r="T905">
        <v>0</v>
      </c>
      <c r="U905">
        <v>0</v>
      </c>
      <c r="V905">
        <v>0</v>
      </c>
      <c r="W905">
        <v>0</v>
      </c>
      <c r="X905" s="22" t="s">
        <v>53</v>
      </c>
      <c r="Y905" s="22" t="s">
        <v>53</v>
      </c>
      <c r="Z905" s="22" t="s">
        <v>53</v>
      </c>
      <c r="AA905" s="22">
        <v>0</v>
      </c>
      <c r="AB905">
        <v>0</v>
      </c>
      <c r="AC905">
        <v>0</v>
      </c>
      <c r="AD905">
        <v>0</v>
      </c>
      <c r="AE905">
        <v>0</v>
      </c>
      <c r="AF905" s="22" t="s">
        <v>53</v>
      </c>
      <c r="AG905" s="22" t="s">
        <v>53</v>
      </c>
      <c r="AH905" s="22" t="s">
        <v>53</v>
      </c>
      <c r="AI905" s="22" t="s">
        <v>53</v>
      </c>
      <c r="AJ905">
        <v>52</v>
      </c>
      <c r="AK905">
        <v>43</v>
      </c>
      <c r="AL905">
        <v>68</v>
      </c>
      <c r="AM905">
        <v>67</v>
      </c>
      <c r="AN905" s="22">
        <v>0.0192307692307692</v>
      </c>
      <c r="AO905" s="22">
        <v>0.209302325581395</v>
      </c>
      <c r="AP905" s="22">
        <v>0.0882352941176471</v>
      </c>
      <c r="AQ905" s="22">
        <v>0.0597014925373134</v>
      </c>
      <c r="AR905" s="35">
        <v>0.142857142857143</v>
      </c>
      <c r="AS905" s="35">
        <v>8.57142857142857</v>
      </c>
      <c r="AT905" s="35">
        <v>14.4285714285714</v>
      </c>
      <c r="AU905" s="31">
        <f t="shared" si="18"/>
        <v>161</v>
      </c>
      <c r="AV905" s="36">
        <f>IFERROR(时间!$B$4+AU905,"上周无销量")</f>
        <v>43479</v>
      </c>
    </row>
    <row r="906" spans="1:48">
      <c r="A906" s="20" t="s">
        <v>2016</v>
      </c>
      <c r="B906" t="s">
        <v>1830</v>
      </c>
      <c r="C906" t="s">
        <v>2011</v>
      </c>
      <c r="D906" s="31">
        <v>0</v>
      </c>
      <c r="E906" s="31">
        <v>2</v>
      </c>
      <c r="F906" s="31">
        <v>8</v>
      </c>
      <c r="G906" s="31">
        <v>6</v>
      </c>
      <c r="H906" s="32">
        <v>22.99</v>
      </c>
      <c r="I906">
        <v>20</v>
      </c>
      <c r="J906" s="33">
        <v>0</v>
      </c>
      <c r="K906" s="33">
        <v>0</v>
      </c>
      <c r="L906" s="33">
        <v>1</v>
      </c>
      <c r="M906">
        <v>21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 s="22" t="s">
        <v>53</v>
      </c>
      <c r="Y906" s="22" t="s">
        <v>53</v>
      </c>
      <c r="Z906" s="22" t="s">
        <v>53</v>
      </c>
      <c r="AA906" s="22" t="s">
        <v>53</v>
      </c>
      <c r="AB906">
        <v>0</v>
      </c>
      <c r="AC906">
        <v>0</v>
      </c>
      <c r="AD906">
        <v>0</v>
      </c>
      <c r="AE906">
        <v>0</v>
      </c>
      <c r="AF906" s="22" t="s">
        <v>53</v>
      </c>
      <c r="AG906" s="22" t="s">
        <v>53</v>
      </c>
      <c r="AH906" s="22" t="s">
        <v>53</v>
      </c>
      <c r="AI906" s="22" t="s">
        <v>53</v>
      </c>
      <c r="AJ906">
        <v>46</v>
      </c>
      <c r="AK906">
        <v>18</v>
      </c>
      <c r="AL906">
        <v>108</v>
      </c>
      <c r="AM906">
        <v>87</v>
      </c>
      <c r="AN906" s="22">
        <v>0</v>
      </c>
      <c r="AO906" s="22">
        <v>0.111111111111111</v>
      </c>
      <c r="AP906" s="22">
        <v>0.0740740740740741</v>
      </c>
      <c r="AQ906" s="22">
        <v>0.0689655172413793</v>
      </c>
      <c r="AR906" s="35">
        <v>0</v>
      </c>
      <c r="AS906" s="35">
        <v>0</v>
      </c>
      <c r="AT906" s="35">
        <v>21</v>
      </c>
      <c r="AU906" s="31" t="str">
        <f t="shared" si="18"/>
        <v>库存为21</v>
      </c>
      <c r="AV906" s="36" t="str">
        <f>IFERROR(时间!$B$4+AU906,"上周无销量")</f>
        <v>上周无销量</v>
      </c>
    </row>
    <row r="907" spans="1:48">
      <c r="A907" s="20" t="s">
        <v>2017</v>
      </c>
      <c r="B907" t="s">
        <v>1837</v>
      </c>
      <c r="C907" t="s">
        <v>2018</v>
      </c>
      <c r="D907" s="31">
        <v>29</v>
      </c>
      <c r="E907" s="31">
        <v>29</v>
      </c>
      <c r="F907" s="31">
        <v>27</v>
      </c>
      <c r="G907" s="31">
        <v>8</v>
      </c>
      <c r="H907" s="32">
        <v>22.7964516129032</v>
      </c>
      <c r="I907">
        <v>32</v>
      </c>
      <c r="J907" s="33">
        <v>0</v>
      </c>
      <c r="K907" s="33">
        <v>0</v>
      </c>
      <c r="L907" s="33">
        <v>3</v>
      </c>
      <c r="M907">
        <v>35</v>
      </c>
      <c r="N907">
        <v>0</v>
      </c>
      <c r="O907">
        <v>0</v>
      </c>
      <c r="P907" t="s">
        <v>53</v>
      </c>
      <c r="Q907" t="s">
        <v>53</v>
      </c>
      <c r="R907" t="s">
        <v>53</v>
      </c>
      <c r="S907" t="s">
        <v>53</v>
      </c>
      <c r="T907" t="s">
        <v>53</v>
      </c>
      <c r="U907" t="s">
        <v>53</v>
      </c>
      <c r="V907" t="s">
        <v>53</v>
      </c>
      <c r="W907" t="s">
        <v>53</v>
      </c>
      <c r="X907" s="22" t="s">
        <v>53</v>
      </c>
      <c r="Y907" s="22" t="s">
        <v>53</v>
      </c>
      <c r="Z907" s="22" t="s">
        <v>53</v>
      </c>
      <c r="AA907" s="22" t="s">
        <v>53</v>
      </c>
      <c r="AB907" t="s">
        <v>53</v>
      </c>
      <c r="AC907" t="s">
        <v>53</v>
      </c>
      <c r="AD907" t="s">
        <v>53</v>
      </c>
      <c r="AE907" t="s">
        <v>53</v>
      </c>
      <c r="AF907" s="22" t="s">
        <v>53</v>
      </c>
      <c r="AG907" s="22" t="s">
        <v>53</v>
      </c>
      <c r="AH907" s="22" t="s">
        <v>53</v>
      </c>
      <c r="AI907" s="22" t="s">
        <v>53</v>
      </c>
      <c r="AJ907">
        <v>786</v>
      </c>
      <c r="AK907">
        <v>510</v>
      </c>
      <c r="AL907">
        <v>50</v>
      </c>
      <c r="AM907">
        <v>263</v>
      </c>
      <c r="AN907" s="22">
        <v>0.0368956743002544</v>
      </c>
      <c r="AO907" s="22">
        <v>0.0568627450980392</v>
      </c>
      <c r="AP907" s="22">
        <v>0.54</v>
      </c>
      <c r="AQ907" s="22">
        <v>0.0304182509505703</v>
      </c>
      <c r="AR907" s="35">
        <v>4.14285714285714</v>
      </c>
      <c r="AS907" s="35">
        <v>248.571428571429</v>
      </c>
      <c r="AT907" s="35">
        <v>-213.571428571429</v>
      </c>
      <c r="AU907" s="31">
        <f t="shared" si="18"/>
        <v>8</v>
      </c>
      <c r="AV907" s="36">
        <f>IFERROR(时间!$B$4+AU907,"上周无销量")</f>
        <v>43326</v>
      </c>
    </row>
    <row r="908" spans="1:48">
      <c r="A908" s="20" t="s">
        <v>2019</v>
      </c>
      <c r="B908" t="s">
        <v>1834</v>
      </c>
      <c r="C908" t="s">
        <v>2018</v>
      </c>
      <c r="D908" s="31">
        <v>15</v>
      </c>
      <c r="E908" s="31">
        <v>17</v>
      </c>
      <c r="F908" s="31">
        <v>15</v>
      </c>
      <c r="G908" s="31">
        <v>3</v>
      </c>
      <c r="H908" s="32">
        <v>22.85</v>
      </c>
      <c r="I908">
        <v>61</v>
      </c>
      <c r="J908" s="33">
        <v>0</v>
      </c>
      <c r="K908" s="33">
        <v>0</v>
      </c>
      <c r="L908" s="33">
        <v>1</v>
      </c>
      <c r="M908">
        <v>62</v>
      </c>
      <c r="N908">
        <v>0</v>
      </c>
      <c r="O908">
        <v>0</v>
      </c>
      <c r="P908" t="s">
        <v>53</v>
      </c>
      <c r="Q908" t="s">
        <v>53</v>
      </c>
      <c r="R908" t="s">
        <v>53</v>
      </c>
      <c r="S908" t="s">
        <v>53</v>
      </c>
      <c r="T908" t="s">
        <v>53</v>
      </c>
      <c r="U908" t="s">
        <v>53</v>
      </c>
      <c r="V908" t="s">
        <v>53</v>
      </c>
      <c r="W908" t="s">
        <v>53</v>
      </c>
      <c r="X908" s="22" t="s">
        <v>53</v>
      </c>
      <c r="Y908" s="22" t="s">
        <v>53</v>
      </c>
      <c r="Z908" s="22" t="s">
        <v>53</v>
      </c>
      <c r="AA908" s="22" t="s">
        <v>53</v>
      </c>
      <c r="AB908" t="s">
        <v>53</v>
      </c>
      <c r="AC908" t="s">
        <v>53</v>
      </c>
      <c r="AD908" t="s">
        <v>53</v>
      </c>
      <c r="AE908" t="s">
        <v>53</v>
      </c>
      <c r="AF908" s="22" t="s">
        <v>53</v>
      </c>
      <c r="AG908" s="22" t="s">
        <v>53</v>
      </c>
      <c r="AH908" s="22" t="s">
        <v>53</v>
      </c>
      <c r="AI908" s="22" t="s">
        <v>53</v>
      </c>
      <c r="AJ908">
        <v>485</v>
      </c>
      <c r="AK908">
        <v>291</v>
      </c>
      <c r="AL908">
        <v>15</v>
      </c>
      <c r="AM908">
        <v>97</v>
      </c>
      <c r="AN908" s="22">
        <v>0.0309278350515464</v>
      </c>
      <c r="AO908" s="22">
        <v>0.0584192439862543</v>
      </c>
      <c r="AP908" s="22">
        <v>1</v>
      </c>
      <c r="AQ908" s="22">
        <v>0.0309278350515464</v>
      </c>
      <c r="AR908" s="35">
        <v>2.14285714285714</v>
      </c>
      <c r="AS908" s="35">
        <v>128.571428571429</v>
      </c>
      <c r="AT908" s="35">
        <v>-66.5714285714286</v>
      </c>
      <c r="AU908" s="31">
        <f t="shared" si="18"/>
        <v>28</v>
      </c>
      <c r="AV908" s="36">
        <f>IFERROR(时间!$B$4+AU908,"上周无销量")</f>
        <v>43346</v>
      </c>
    </row>
    <row r="909" spans="1:48">
      <c r="A909" s="20" t="s">
        <v>2020</v>
      </c>
      <c r="B909" t="s">
        <v>1839</v>
      </c>
      <c r="C909" t="s">
        <v>2018</v>
      </c>
      <c r="D909" s="31">
        <v>25</v>
      </c>
      <c r="E909" s="31">
        <v>16</v>
      </c>
      <c r="F909" s="31">
        <v>19</v>
      </c>
      <c r="G909" s="31">
        <v>1</v>
      </c>
      <c r="H909" s="32">
        <v>22.9572131147541</v>
      </c>
      <c r="I909">
        <v>45</v>
      </c>
      <c r="J909" s="33">
        <v>0</v>
      </c>
      <c r="K909" s="33">
        <v>0</v>
      </c>
      <c r="L909" s="33">
        <v>3</v>
      </c>
      <c r="M909">
        <v>48</v>
      </c>
      <c r="N909">
        <v>0</v>
      </c>
      <c r="O909">
        <v>0</v>
      </c>
      <c r="P909" t="s">
        <v>53</v>
      </c>
      <c r="Q909" t="s">
        <v>53</v>
      </c>
      <c r="R909" t="s">
        <v>53</v>
      </c>
      <c r="S909" t="s">
        <v>53</v>
      </c>
      <c r="T909" t="s">
        <v>53</v>
      </c>
      <c r="U909" t="s">
        <v>53</v>
      </c>
      <c r="V909" t="s">
        <v>53</v>
      </c>
      <c r="W909" t="s">
        <v>53</v>
      </c>
      <c r="X909" s="22" t="s">
        <v>53</v>
      </c>
      <c r="Y909" s="22" t="s">
        <v>53</v>
      </c>
      <c r="Z909" s="22" t="s">
        <v>53</v>
      </c>
      <c r="AA909" s="22" t="s">
        <v>53</v>
      </c>
      <c r="AB909" t="s">
        <v>53</v>
      </c>
      <c r="AC909" t="s">
        <v>53</v>
      </c>
      <c r="AD909" t="s">
        <v>53</v>
      </c>
      <c r="AE909" t="s">
        <v>53</v>
      </c>
      <c r="AF909" s="22" t="s">
        <v>53</v>
      </c>
      <c r="AG909" s="22" t="s">
        <v>53</v>
      </c>
      <c r="AH909" s="22" t="s">
        <v>53</v>
      </c>
      <c r="AI909" s="22" t="s">
        <v>53</v>
      </c>
      <c r="AJ909">
        <v>381</v>
      </c>
      <c r="AK909">
        <v>193</v>
      </c>
      <c r="AL909">
        <v>305</v>
      </c>
      <c r="AM909">
        <v>38</v>
      </c>
      <c r="AN909" s="22">
        <v>0.0656167979002625</v>
      </c>
      <c r="AO909" s="22">
        <v>0.0829015544041451</v>
      </c>
      <c r="AP909" s="22">
        <v>0.0622950819672131</v>
      </c>
      <c r="AQ909" s="22">
        <v>0.0263157894736842</v>
      </c>
      <c r="AR909" s="35">
        <v>3.57142857142857</v>
      </c>
      <c r="AS909" s="35">
        <v>214.285714285714</v>
      </c>
      <c r="AT909" s="35">
        <v>-166.285714285714</v>
      </c>
      <c r="AU909" s="31">
        <f t="shared" si="18"/>
        <v>13</v>
      </c>
      <c r="AV909" s="36">
        <f>IFERROR(时间!$B$4+AU909,"上周无销量")</f>
        <v>43331</v>
      </c>
    </row>
    <row r="910" spans="1:48">
      <c r="A910" s="20" t="s">
        <v>2021</v>
      </c>
      <c r="B910" t="s">
        <v>2022</v>
      </c>
      <c r="C910" t="s">
        <v>2023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53</v>
      </c>
      <c r="Q910" t="s">
        <v>53</v>
      </c>
      <c r="R910" t="s">
        <v>53</v>
      </c>
      <c r="S910" t="s">
        <v>53</v>
      </c>
      <c r="T910" t="s">
        <v>53</v>
      </c>
      <c r="U910" t="s">
        <v>53</v>
      </c>
      <c r="V910" t="s">
        <v>53</v>
      </c>
      <c r="W910" t="s">
        <v>53</v>
      </c>
      <c r="X910" s="22" t="s">
        <v>53</v>
      </c>
      <c r="Y910" s="22" t="s">
        <v>53</v>
      </c>
      <c r="Z910" s="22" t="s">
        <v>53</v>
      </c>
      <c r="AA910" s="22" t="s">
        <v>53</v>
      </c>
      <c r="AB910" t="s">
        <v>53</v>
      </c>
      <c r="AC910" t="s">
        <v>53</v>
      </c>
      <c r="AD910" t="s">
        <v>53</v>
      </c>
      <c r="AE910" t="s">
        <v>53</v>
      </c>
      <c r="AF910" s="22" t="s">
        <v>53</v>
      </c>
      <c r="AG910" s="22" t="s">
        <v>53</v>
      </c>
      <c r="AH910" s="22" t="s">
        <v>53</v>
      </c>
      <c r="AI910" s="22" t="s">
        <v>53</v>
      </c>
      <c r="AJ910">
        <v>0</v>
      </c>
      <c r="AK910">
        <v>0</v>
      </c>
      <c r="AL910">
        <v>0</v>
      </c>
      <c r="AM910">
        <v>0</v>
      </c>
      <c r="AN910" s="22" t="s">
        <v>53</v>
      </c>
      <c r="AO910" s="22" t="s">
        <v>53</v>
      </c>
      <c r="AP910" s="22" t="s">
        <v>53</v>
      </c>
      <c r="AQ910" s="22" t="s">
        <v>53</v>
      </c>
      <c r="AR910" s="35">
        <v>0</v>
      </c>
      <c r="AS910" s="35">
        <v>0</v>
      </c>
      <c r="AT910" s="35">
        <v>0</v>
      </c>
      <c r="AU910" s="31" t="str">
        <f t="shared" si="18"/>
        <v>库存为0</v>
      </c>
      <c r="AV910" s="36" t="str">
        <f>IFERROR(时间!$B$4+AU910,"上周无销量")</f>
        <v>上周无销量</v>
      </c>
    </row>
    <row r="911" spans="1:48">
      <c r="A911" s="20" t="s">
        <v>2024</v>
      </c>
      <c r="B911" t="s">
        <v>2025</v>
      </c>
      <c r="C911" t="s">
        <v>2023</v>
      </c>
      <c r="D911" s="31">
        <v>0</v>
      </c>
      <c r="E911" s="31">
        <v>0</v>
      </c>
      <c r="F911" s="31">
        <v>0</v>
      </c>
      <c r="G911" s="31">
        <v>0</v>
      </c>
      <c r="H911" s="32">
        <v>0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53</v>
      </c>
      <c r="Q911" t="s">
        <v>53</v>
      </c>
      <c r="R911" t="s">
        <v>53</v>
      </c>
      <c r="S911" t="s">
        <v>53</v>
      </c>
      <c r="T911" t="s">
        <v>53</v>
      </c>
      <c r="U911" t="s">
        <v>53</v>
      </c>
      <c r="V911" t="s">
        <v>53</v>
      </c>
      <c r="W911" t="s">
        <v>53</v>
      </c>
      <c r="X911" s="22" t="s">
        <v>53</v>
      </c>
      <c r="Y911" s="22" t="s">
        <v>53</v>
      </c>
      <c r="Z911" s="22" t="s">
        <v>53</v>
      </c>
      <c r="AA911" s="22" t="s">
        <v>53</v>
      </c>
      <c r="AB911" t="s">
        <v>53</v>
      </c>
      <c r="AC911" t="s">
        <v>53</v>
      </c>
      <c r="AD911" t="s">
        <v>53</v>
      </c>
      <c r="AE911" t="s">
        <v>53</v>
      </c>
      <c r="AF911" s="22" t="s">
        <v>53</v>
      </c>
      <c r="AG911" s="22" t="s">
        <v>53</v>
      </c>
      <c r="AH911" s="22" t="s">
        <v>53</v>
      </c>
      <c r="AI911" s="22" t="s">
        <v>53</v>
      </c>
      <c r="AJ911">
        <v>0</v>
      </c>
      <c r="AK911">
        <v>0</v>
      </c>
      <c r="AL911">
        <v>0</v>
      </c>
      <c r="AM911">
        <v>0</v>
      </c>
      <c r="AN911" s="22" t="s">
        <v>53</v>
      </c>
      <c r="AO911" s="22" t="s">
        <v>53</v>
      </c>
      <c r="AP911" s="22" t="s">
        <v>53</v>
      </c>
      <c r="AQ911" s="22" t="s">
        <v>53</v>
      </c>
      <c r="AR911" s="35">
        <v>0</v>
      </c>
      <c r="AS911" s="35">
        <v>0</v>
      </c>
      <c r="AT911" s="35">
        <v>0</v>
      </c>
      <c r="AU911" s="31" t="str">
        <f t="shared" si="18"/>
        <v>库存为0</v>
      </c>
      <c r="AV911" s="36" t="str">
        <f>IFERROR(时间!$B$4+AU911,"上周无销量")</f>
        <v>上周无销量</v>
      </c>
    </row>
    <row r="912" spans="1:48">
      <c r="A912" s="20" t="s">
        <v>2026</v>
      </c>
      <c r="B912" t="s">
        <v>2027</v>
      </c>
      <c r="C912" t="s">
        <v>2023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0</v>
      </c>
      <c r="J912" s="33">
        <v>0</v>
      </c>
      <c r="K912" s="33">
        <v>0</v>
      </c>
      <c r="L912" s="33">
        <v>0</v>
      </c>
      <c r="M912">
        <v>0</v>
      </c>
      <c r="N912">
        <v>0</v>
      </c>
      <c r="O912">
        <v>0</v>
      </c>
      <c r="P912" t="s">
        <v>53</v>
      </c>
      <c r="Q912" t="s">
        <v>53</v>
      </c>
      <c r="R912" t="s">
        <v>53</v>
      </c>
      <c r="S912" t="s">
        <v>53</v>
      </c>
      <c r="T912" t="s">
        <v>53</v>
      </c>
      <c r="U912" t="s">
        <v>53</v>
      </c>
      <c r="V912" t="s">
        <v>53</v>
      </c>
      <c r="W912" t="s">
        <v>53</v>
      </c>
      <c r="X912" s="22" t="s">
        <v>53</v>
      </c>
      <c r="Y912" s="22" t="s">
        <v>53</v>
      </c>
      <c r="Z912" s="22" t="s">
        <v>53</v>
      </c>
      <c r="AA912" s="22" t="s">
        <v>53</v>
      </c>
      <c r="AB912" t="s">
        <v>53</v>
      </c>
      <c r="AC912" t="s">
        <v>53</v>
      </c>
      <c r="AD912" t="s">
        <v>53</v>
      </c>
      <c r="AE912" t="s">
        <v>53</v>
      </c>
      <c r="AF912" s="22" t="s">
        <v>53</v>
      </c>
      <c r="AG912" s="22" t="s">
        <v>53</v>
      </c>
      <c r="AH912" s="22" t="s">
        <v>53</v>
      </c>
      <c r="AI912" s="22" t="s">
        <v>53</v>
      </c>
      <c r="AJ912">
        <v>0</v>
      </c>
      <c r="AK912">
        <v>0</v>
      </c>
      <c r="AL912">
        <v>0</v>
      </c>
      <c r="AM912">
        <v>0</v>
      </c>
      <c r="AN912" s="22" t="s">
        <v>53</v>
      </c>
      <c r="AO912" s="22" t="s">
        <v>53</v>
      </c>
      <c r="AP912" s="22" t="s">
        <v>53</v>
      </c>
      <c r="AQ912" s="22" t="s">
        <v>53</v>
      </c>
      <c r="AR912" s="35">
        <v>0</v>
      </c>
      <c r="AS912" s="35">
        <v>0</v>
      </c>
      <c r="AT912" s="35">
        <v>0</v>
      </c>
      <c r="AU912" s="31" t="str">
        <f t="shared" si="18"/>
        <v>库存为0</v>
      </c>
      <c r="AV912" s="36" t="str">
        <f>IFERROR(时间!$B$4+AU912,"上周无销量")</f>
        <v>上周无销量</v>
      </c>
    </row>
    <row r="913" spans="1:48">
      <c r="A913" s="20" t="s">
        <v>2028</v>
      </c>
      <c r="B913" t="s">
        <v>2029</v>
      </c>
      <c r="C913" t="s">
        <v>2023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0</v>
      </c>
      <c r="J913" s="33">
        <v>0</v>
      </c>
      <c r="K913" s="33">
        <v>0</v>
      </c>
      <c r="L913" s="33">
        <v>0</v>
      </c>
      <c r="M913">
        <v>0</v>
      </c>
      <c r="N913">
        <v>0</v>
      </c>
      <c r="O913">
        <v>0</v>
      </c>
      <c r="P913" t="s">
        <v>53</v>
      </c>
      <c r="Q913" t="s">
        <v>53</v>
      </c>
      <c r="R913" t="s">
        <v>53</v>
      </c>
      <c r="S913" t="s">
        <v>53</v>
      </c>
      <c r="T913" t="s">
        <v>53</v>
      </c>
      <c r="U913" t="s">
        <v>53</v>
      </c>
      <c r="V913" t="s">
        <v>53</v>
      </c>
      <c r="W913" t="s">
        <v>53</v>
      </c>
      <c r="X913" s="22" t="s">
        <v>53</v>
      </c>
      <c r="Y913" s="22" t="s">
        <v>53</v>
      </c>
      <c r="Z913" s="22" t="s">
        <v>53</v>
      </c>
      <c r="AA913" s="22" t="s">
        <v>53</v>
      </c>
      <c r="AB913" t="s">
        <v>53</v>
      </c>
      <c r="AC913" t="s">
        <v>53</v>
      </c>
      <c r="AD913" t="s">
        <v>53</v>
      </c>
      <c r="AE913" t="s">
        <v>53</v>
      </c>
      <c r="AF913" s="22" t="s">
        <v>53</v>
      </c>
      <c r="AG913" s="22" t="s">
        <v>53</v>
      </c>
      <c r="AH913" s="22" t="s">
        <v>53</v>
      </c>
      <c r="AI913" s="22" t="s">
        <v>53</v>
      </c>
      <c r="AJ913">
        <v>0</v>
      </c>
      <c r="AK913">
        <v>0</v>
      </c>
      <c r="AL913">
        <v>0</v>
      </c>
      <c r="AM913">
        <v>0</v>
      </c>
      <c r="AN913" s="22" t="s">
        <v>53</v>
      </c>
      <c r="AO913" s="22" t="s">
        <v>53</v>
      </c>
      <c r="AP913" s="22" t="s">
        <v>53</v>
      </c>
      <c r="AQ913" s="22" t="s">
        <v>53</v>
      </c>
      <c r="AR913" s="35">
        <v>0</v>
      </c>
      <c r="AS913" s="35">
        <v>0</v>
      </c>
      <c r="AT913" s="35">
        <v>0</v>
      </c>
      <c r="AU913" s="31" t="str">
        <f t="shared" si="18"/>
        <v>库存为0</v>
      </c>
      <c r="AV913" s="36" t="str">
        <f>IFERROR(时间!$B$4+AU913,"上周无销量")</f>
        <v>上周无销量</v>
      </c>
    </row>
    <row r="914" spans="1:48">
      <c r="A914" s="20" t="s">
        <v>2030</v>
      </c>
      <c r="B914" t="s">
        <v>2031</v>
      </c>
      <c r="C914" t="s">
        <v>2032</v>
      </c>
      <c r="D914" s="31">
        <v>0</v>
      </c>
      <c r="E914" s="31">
        <v>5</v>
      </c>
      <c r="F914" s="31">
        <v>6</v>
      </c>
      <c r="G914" s="31">
        <v>2</v>
      </c>
      <c r="H914" s="32">
        <v>12.99</v>
      </c>
      <c r="I914">
        <v>29</v>
      </c>
      <c r="J914" s="33">
        <v>0</v>
      </c>
      <c r="K914" s="33">
        <v>0</v>
      </c>
      <c r="L914" s="33">
        <v>5</v>
      </c>
      <c r="M914">
        <v>34</v>
      </c>
      <c r="N914">
        <v>1</v>
      </c>
      <c r="O914">
        <v>0</v>
      </c>
      <c r="P914">
        <v>0</v>
      </c>
      <c r="Q914">
        <v>0</v>
      </c>
      <c r="R914">
        <v>0</v>
      </c>
      <c r="S914">
        <v>34</v>
      </c>
      <c r="T914">
        <v>0</v>
      </c>
      <c r="U914">
        <v>0</v>
      </c>
      <c r="V914">
        <v>0</v>
      </c>
      <c r="W914">
        <v>1</v>
      </c>
      <c r="X914" s="22" t="s">
        <v>53</v>
      </c>
      <c r="Y914" s="22" t="s">
        <v>53</v>
      </c>
      <c r="Z914" s="22" t="s">
        <v>53</v>
      </c>
      <c r="AA914" s="22">
        <v>0.0294117647058824</v>
      </c>
      <c r="AB914">
        <v>0</v>
      </c>
      <c r="AC914">
        <v>0</v>
      </c>
      <c r="AD914">
        <v>0</v>
      </c>
      <c r="AE914">
        <v>0.3</v>
      </c>
      <c r="AF914" s="22" t="s">
        <v>53</v>
      </c>
      <c r="AG914" s="22" t="s">
        <v>53</v>
      </c>
      <c r="AH914" s="22" t="s">
        <v>53</v>
      </c>
      <c r="AI914" s="22">
        <v>0.0115473441108545</v>
      </c>
      <c r="AJ914">
        <v>6</v>
      </c>
      <c r="AK914">
        <v>13</v>
      </c>
      <c r="AL914">
        <v>13</v>
      </c>
      <c r="AM914">
        <v>12</v>
      </c>
      <c r="AN914" s="22">
        <v>0</v>
      </c>
      <c r="AO914" s="22">
        <v>0.384615384615385</v>
      </c>
      <c r="AP914" s="22">
        <v>0.461538461538462</v>
      </c>
      <c r="AQ914" s="22">
        <v>0.166666666666667</v>
      </c>
      <c r="AR914" s="35">
        <v>0</v>
      </c>
      <c r="AS914" s="35">
        <v>0</v>
      </c>
      <c r="AT914" s="35">
        <v>34</v>
      </c>
      <c r="AU914" s="31" t="str">
        <f t="shared" si="18"/>
        <v>库存为34</v>
      </c>
      <c r="AV914" s="36" t="str">
        <f>IFERROR(时间!$B$4+AU914,"上周无销量")</f>
        <v>上周无销量</v>
      </c>
    </row>
    <row r="915" spans="1:48">
      <c r="A915" s="20" t="s">
        <v>2033</v>
      </c>
      <c r="B915" t="s">
        <v>2034</v>
      </c>
      <c r="C915" t="s">
        <v>2032</v>
      </c>
      <c r="D915" s="31">
        <v>3</v>
      </c>
      <c r="E915" s="31">
        <v>0</v>
      </c>
      <c r="F915" s="31">
        <v>6</v>
      </c>
      <c r="G915" s="31">
        <v>2</v>
      </c>
      <c r="H915" s="32">
        <v>12.99</v>
      </c>
      <c r="I915">
        <v>31</v>
      </c>
      <c r="J915" s="33">
        <v>0</v>
      </c>
      <c r="K915" s="33">
        <v>0</v>
      </c>
      <c r="L915" s="33">
        <v>1</v>
      </c>
      <c r="M915">
        <v>32</v>
      </c>
      <c r="N915">
        <v>1</v>
      </c>
      <c r="O915">
        <v>0</v>
      </c>
      <c r="P915" t="s">
        <v>53</v>
      </c>
      <c r="Q915" t="s">
        <v>53</v>
      </c>
      <c r="R915" t="s">
        <v>53</v>
      </c>
      <c r="S915" t="s">
        <v>53</v>
      </c>
      <c r="T915" t="s">
        <v>53</v>
      </c>
      <c r="U915" t="s">
        <v>53</v>
      </c>
      <c r="V915" t="s">
        <v>53</v>
      </c>
      <c r="W915" t="s">
        <v>53</v>
      </c>
      <c r="X915" s="22" t="s">
        <v>53</v>
      </c>
      <c r="Y915" s="22" t="s">
        <v>53</v>
      </c>
      <c r="Z915" s="22" t="s">
        <v>53</v>
      </c>
      <c r="AA915" s="22" t="s">
        <v>53</v>
      </c>
      <c r="AB915" t="s">
        <v>53</v>
      </c>
      <c r="AC915" t="s">
        <v>53</v>
      </c>
      <c r="AD915" t="s">
        <v>53</v>
      </c>
      <c r="AE915" t="s">
        <v>53</v>
      </c>
      <c r="AF915" s="22" t="s">
        <v>53</v>
      </c>
      <c r="AG915" s="22" t="s">
        <v>53</v>
      </c>
      <c r="AH915" s="22" t="s">
        <v>53</v>
      </c>
      <c r="AI915" s="22" t="s">
        <v>53</v>
      </c>
      <c r="AJ915">
        <v>16</v>
      </c>
      <c r="AK915">
        <v>13</v>
      </c>
      <c r="AL915">
        <v>21</v>
      </c>
      <c r="AM915">
        <v>14</v>
      </c>
      <c r="AN915" s="22">
        <v>0.1875</v>
      </c>
      <c r="AO915" s="22">
        <v>0</v>
      </c>
      <c r="AP915" s="22">
        <v>0.285714285714286</v>
      </c>
      <c r="AQ915" s="22">
        <v>0.142857142857143</v>
      </c>
      <c r="AR915" s="35">
        <v>0.428571428571429</v>
      </c>
      <c r="AS915" s="35">
        <v>25.7142857142857</v>
      </c>
      <c r="AT915" s="35">
        <v>6.28571428571429</v>
      </c>
      <c r="AU915" s="31">
        <f t="shared" si="18"/>
        <v>74</v>
      </c>
      <c r="AV915" s="36">
        <f>IFERROR(时间!$B$4+AU915,"上周无销量")</f>
        <v>43392</v>
      </c>
    </row>
    <row r="916" spans="1:48">
      <c r="A916" s="20" t="s">
        <v>2035</v>
      </c>
      <c r="B916" t="s">
        <v>2036</v>
      </c>
      <c r="C916" t="s">
        <v>2032</v>
      </c>
      <c r="D916" s="31">
        <v>5</v>
      </c>
      <c r="E916" s="31">
        <v>1</v>
      </c>
      <c r="F916" s="31">
        <v>7</v>
      </c>
      <c r="G916" s="31">
        <v>4</v>
      </c>
      <c r="H916" s="32">
        <v>12.99</v>
      </c>
      <c r="I916">
        <v>31</v>
      </c>
      <c r="J916" s="33">
        <v>0</v>
      </c>
      <c r="K916" s="33">
        <v>0</v>
      </c>
      <c r="L916" s="33">
        <v>1</v>
      </c>
      <c r="M916">
        <v>32</v>
      </c>
      <c r="N916">
        <v>0</v>
      </c>
      <c r="O916">
        <v>0</v>
      </c>
      <c r="P916" t="s">
        <v>53</v>
      </c>
      <c r="Q916" t="s">
        <v>53</v>
      </c>
      <c r="R916" t="s">
        <v>53</v>
      </c>
      <c r="S916" t="s">
        <v>53</v>
      </c>
      <c r="T916" t="s">
        <v>53</v>
      </c>
      <c r="U916" t="s">
        <v>53</v>
      </c>
      <c r="V916" t="s">
        <v>53</v>
      </c>
      <c r="W916" t="s">
        <v>53</v>
      </c>
      <c r="X916" s="22" t="s">
        <v>53</v>
      </c>
      <c r="Y916" s="22" t="s">
        <v>53</v>
      </c>
      <c r="Z916" s="22" t="s">
        <v>53</v>
      </c>
      <c r="AA916" s="22" t="s">
        <v>53</v>
      </c>
      <c r="AB916" t="s">
        <v>53</v>
      </c>
      <c r="AC916" t="s">
        <v>53</v>
      </c>
      <c r="AD916" t="s">
        <v>53</v>
      </c>
      <c r="AE916" t="s">
        <v>53</v>
      </c>
      <c r="AF916" s="22" t="s">
        <v>53</v>
      </c>
      <c r="AG916" s="22" t="s">
        <v>53</v>
      </c>
      <c r="AH916" s="22" t="s">
        <v>53</v>
      </c>
      <c r="AI916" s="22" t="s">
        <v>53</v>
      </c>
      <c r="AJ916">
        <v>11</v>
      </c>
      <c r="AK916">
        <v>10</v>
      </c>
      <c r="AL916">
        <v>19</v>
      </c>
      <c r="AM916">
        <v>17</v>
      </c>
      <c r="AN916" s="22">
        <v>0.454545454545455</v>
      </c>
      <c r="AO916" s="22">
        <v>0.1</v>
      </c>
      <c r="AP916" s="22">
        <v>0.368421052631579</v>
      </c>
      <c r="AQ916" s="22">
        <v>0.235294117647059</v>
      </c>
      <c r="AR916" s="35">
        <v>0.714285714285714</v>
      </c>
      <c r="AS916" s="35">
        <v>42.8571428571429</v>
      </c>
      <c r="AT916" s="35">
        <v>-10.8571428571429</v>
      </c>
      <c r="AU916" s="31">
        <f t="shared" si="18"/>
        <v>44</v>
      </c>
      <c r="AV916" s="36">
        <f>IFERROR(时间!$B$4+AU916,"上周无销量")</f>
        <v>43362</v>
      </c>
    </row>
    <row r="917" spans="1:48">
      <c r="A917" s="20" t="s">
        <v>2037</v>
      </c>
      <c r="B917" t="s">
        <v>2038</v>
      </c>
      <c r="C917" t="s">
        <v>2032</v>
      </c>
      <c r="D917" s="31">
        <v>0</v>
      </c>
      <c r="E917" s="31">
        <v>1</v>
      </c>
      <c r="F917" s="31">
        <v>14</v>
      </c>
      <c r="G917" s="31">
        <v>1</v>
      </c>
      <c r="H917" s="32">
        <v>12.99</v>
      </c>
      <c r="I917">
        <v>66</v>
      </c>
      <c r="J917" s="33">
        <v>0</v>
      </c>
      <c r="K917" s="33">
        <v>0</v>
      </c>
      <c r="L917" s="33">
        <v>0</v>
      </c>
      <c r="M917">
        <v>66</v>
      </c>
      <c r="N917">
        <v>0</v>
      </c>
      <c r="O917">
        <v>0</v>
      </c>
      <c r="P917" t="s">
        <v>53</v>
      </c>
      <c r="Q917" t="s">
        <v>53</v>
      </c>
      <c r="R917" t="s">
        <v>53</v>
      </c>
      <c r="S917" t="s">
        <v>53</v>
      </c>
      <c r="T917" t="s">
        <v>53</v>
      </c>
      <c r="U917" t="s">
        <v>53</v>
      </c>
      <c r="V917" t="s">
        <v>53</v>
      </c>
      <c r="W917" t="s">
        <v>53</v>
      </c>
      <c r="X917" s="22" t="s">
        <v>53</v>
      </c>
      <c r="Y917" s="22" t="s">
        <v>53</v>
      </c>
      <c r="Z917" s="22" t="s">
        <v>53</v>
      </c>
      <c r="AA917" s="22" t="s">
        <v>53</v>
      </c>
      <c r="AB917" t="s">
        <v>53</v>
      </c>
      <c r="AC917" t="s">
        <v>53</v>
      </c>
      <c r="AD917" t="s">
        <v>53</v>
      </c>
      <c r="AE917" t="s">
        <v>53</v>
      </c>
      <c r="AF917" s="22" t="s">
        <v>53</v>
      </c>
      <c r="AG917" s="22" t="s">
        <v>53</v>
      </c>
      <c r="AH917" s="22" t="s">
        <v>53</v>
      </c>
      <c r="AI917" s="22" t="s">
        <v>53</v>
      </c>
      <c r="AJ917">
        <v>9</v>
      </c>
      <c r="AK917">
        <v>10</v>
      </c>
      <c r="AL917">
        <v>13</v>
      </c>
      <c r="AM917">
        <v>6</v>
      </c>
      <c r="AN917" s="22">
        <v>0</v>
      </c>
      <c r="AO917" s="22">
        <v>0.1</v>
      </c>
      <c r="AP917" s="22">
        <v>1.07692307692308</v>
      </c>
      <c r="AQ917" s="22">
        <v>0.166666666666667</v>
      </c>
      <c r="AR917" s="35">
        <v>0</v>
      </c>
      <c r="AS917" s="35">
        <v>0</v>
      </c>
      <c r="AT917" s="35">
        <v>66</v>
      </c>
      <c r="AU917" s="31" t="str">
        <f t="shared" si="18"/>
        <v>库存为66</v>
      </c>
      <c r="AV917" s="36" t="str">
        <f>IFERROR(时间!$B$4+AU917,"上周无销量")</f>
        <v>上周无销量</v>
      </c>
    </row>
    <row r="918" spans="1:48">
      <c r="A918" s="20" t="s">
        <v>2039</v>
      </c>
      <c r="B918" t="s">
        <v>2040</v>
      </c>
      <c r="C918" t="s">
        <v>2032</v>
      </c>
      <c r="D918" s="31">
        <v>0</v>
      </c>
      <c r="E918" s="31">
        <v>4</v>
      </c>
      <c r="F918" s="31">
        <v>3</v>
      </c>
      <c r="G918" s="31">
        <v>3</v>
      </c>
      <c r="H918" s="32">
        <v>12.99</v>
      </c>
      <c r="I918">
        <v>16</v>
      </c>
      <c r="J918" s="33">
        <v>0</v>
      </c>
      <c r="K918" s="33">
        <v>0</v>
      </c>
      <c r="L918" s="33">
        <v>5</v>
      </c>
      <c r="M918">
        <v>21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36</v>
      </c>
      <c r="T918">
        <v>0</v>
      </c>
      <c r="U918">
        <v>0</v>
      </c>
      <c r="V918">
        <v>0</v>
      </c>
      <c r="W918">
        <v>0</v>
      </c>
      <c r="X918" s="22" t="s">
        <v>53</v>
      </c>
      <c r="Y918" s="22" t="s">
        <v>53</v>
      </c>
      <c r="Z918" s="22" t="s">
        <v>53</v>
      </c>
      <c r="AA918" s="22">
        <v>0</v>
      </c>
      <c r="AB918">
        <v>0</v>
      </c>
      <c r="AC918">
        <v>0</v>
      </c>
      <c r="AD918">
        <v>0</v>
      </c>
      <c r="AE918">
        <v>0</v>
      </c>
      <c r="AF918" s="22" t="s">
        <v>53</v>
      </c>
      <c r="AG918" s="22" t="s">
        <v>53</v>
      </c>
      <c r="AH918" s="22" t="s">
        <v>53</v>
      </c>
      <c r="AI918" s="22" t="s">
        <v>53</v>
      </c>
      <c r="AJ918">
        <v>17</v>
      </c>
      <c r="AK918">
        <v>11</v>
      </c>
      <c r="AL918">
        <v>27</v>
      </c>
      <c r="AM918">
        <v>10</v>
      </c>
      <c r="AN918" s="22">
        <v>0</v>
      </c>
      <c r="AO918" s="22">
        <v>0.363636363636364</v>
      </c>
      <c r="AP918" s="22">
        <v>0.111111111111111</v>
      </c>
      <c r="AQ918" s="22">
        <v>0.3</v>
      </c>
      <c r="AR918" s="35">
        <v>0</v>
      </c>
      <c r="AS918" s="35">
        <v>0</v>
      </c>
      <c r="AT918" s="35">
        <v>21</v>
      </c>
      <c r="AU918" s="31" t="str">
        <f t="shared" si="18"/>
        <v>库存为21</v>
      </c>
      <c r="AV918" s="36" t="str">
        <f>IFERROR(时间!$B$4+AU918,"上周无销量")</f>
        <v>上周无销量</v>
      </c>
    </row>
    <row r="919" spans="1:48">
      <c r="A919" s="20" t="s">
        <v>2041</v>
      </c>
      <c r="B919" t="s">
        <v>2042</v>
      </c>
      <c r="C919" t="s">
        <v>2032</v>
      </c>
      <c r="D919" s="31">
        <v>1</v>
      </c>
      <c r="E919" s="31">
        <v>2</v>
      </c>
      <c r="F919" s="31">
        <v>3</v>
      </c>
      <c r="G919" s="31">
        <v>1</v>
      </c>
      <c r="H919" s="32">
        <v>12.99</v>
      </c>
      <c r="I919">
        <v>26</v>
      </c>
      <c r="J919" s="33">
        <v>0</v>
      </c>
      <c r="K919" s="33">
        <v>0</v>
      </c>
      <c r="L919" s="33">
        <v>0</v>
      </c>
      <c r="M919">
        <v>26</v>
      </c>
      <c r="N919">
        <v>0</v>
      </c>
      <c r="O919">
        <v>0</v>
      </c>
      <c r="P919">
        <v>24104</v>
      </c>
      <c r="Q919">
        <v>2203</v>
      </c>
      <c r="R919">
        <v>2830</v>
      </c>
      <c r="S919">
        <v>19318</v>
      </c>
      <c r="T919">
        <v>70</v>
      </c>
      <c r="U919">
        <v>8</v>
      </c>
      <c r="V919">
        <v>21</v>
      </c>
      <c r="W919">
        <v>71</v>
      </c>
      <c r="X919" s="22">
        <v>0.00290408230999004</v>
      </c>
      <c r="Y919" s="22">
        <v>0.00363141171130277</v>
      </c>
      <c r="Z919" s="22">
        <v>0.00742049469964664</v>
      </c>
      <c r="AA919" s="22">
        <v>0.00367532870897608</v>
      </c>
      <c r="AB919">
        <v>32.27</v>
      </c>
      <c r="AC919">
        <v>3.25</v>
      </c>
      <c r="AD919">
        <v>10.7</v>
      </c>
      <c r="AE919">
        <v>33.87</v>
      </c>
      <c r="AF919" s="22">
        <v>2.48421862971517</v>
      </c>
      <c r="AG919" s="22">
        <v>0.12509622786759</v>
      </c>
      <c r="AH919" s="22">
        <v>0.274570182191429</v>
      </c>
      <c r="AI919" s="22">
        <v>2.60739030023095</v>
      </c>
      <c r="AJ919">
        <v>26</v>
      </c>
      <c r="AK919">
        <v>14</v>
      </c>
      <c r="AL919">
        <v>21</v>
      </c>
      <c r="AM919">
        <v>37</v>
      </c>
      <c r="AN919" s="22">
        <v>0.0384615384615385</v>
      </c>
      <c r="AO919" s="22">
        <v>0.142857142857143</v>
      </c>
      <c r="AP919" s="22">
        <v>0.142857142857143</v>
      </c>
      <c r="AQ919" s="22">
        <v>0.027027027027027</v>
      </c>
      <c r="AR919" s="35">
        <v>0.142857142857143</v>
      </c>
      <c r="AS919" s="35">
        <v>8.57142857142857</v>
      </c>
      <c r="AT919" s="35">
        <v>17.4285714285714</v>
      </c>
      <c r="AU919" s="31">
        <f t="shared" si="18"/>
        <v>182</v>
      </c>
      <c r="AV919" s="36">
        <f>IFERROR(时间!$B$4+AU919,"上周无销量")</f>
        <v>43500</v>
      </c>
    </row>
    <row r="920" spans="1:48">
      <c r="A920" s="20" t="s">
        <v>2043</v>
      </c>
      <c r="B920" t="s">
        <v>2044</v>
      </c>
      <c r="C920" t="s">
        <v>2045</v>
      </c>
      <c r="D920" s="31">
        <v>16</v>
      </c>
      <c r="E920" s="31">
        <v>12</v>
      </c>
      <c r="F920" s="31">
        <v>16</v>
      </c>
      <c r="G920" s="31">
        <v>13</v>
      </c>
      <c r="H920" s="32">
        <v>22.9</v>
      </c>
      <c r="I920">
        <v>57</v>
      </c>
      <c r="J920" s="33">
        <v>25</v>
      </c>
      <c r="K920" s="33">
        <v>0</v>
      </c>
      <c r="L920" s="33">
        <v>2</v>
      </c>
      <c r="M920">
        <v>84</v>
      </c>
      <c r="N920">
        <v>0</v>
      </c>
      <c r="O920">
        <v>0</v>
      </c>
      <c r="P920" t="s">
        <v>53</v>
      </c>
      <c r="Q920" t="s">
        <v>53</v>
      </c>
      <c r="R920" t="s">
        <v>53</v>
      </c>
      <c r="S920" t="s">
        <v>53</v>
      </c>
      <c r="T920" t="s">
        <v>53</v>
      </c>
      <c r="U920" t="s">
        <v>53</v>
      </c>
      <c r="V920" t="s">
        <v>53</v>
      </c>
      <c r="W920" t="s">
        <v>53</v>
      </c>
      <c r="X920" s="22" t="s">
        <v>53</v>
      </c>
      <c r="Y920" s="22" t="s">
        <v>53</v>
      </c>
      <c r="Z920" s="22" t="s">
        <v>53</v>
      </c>
      <c r="AA920" s="22" t="s">
        <v>53</v>
      </c>
      <c r="AB920" t="s">
        <v>53</v>
      </c>
      <c r="AC920" t="s">
        <v>53</v>
      </c>
      <c r="AD920" t="s">
        <v>53</v>
      </c>
      <c r="AE920" t="s">
        <v>53</v>
      </c>
      <c r="AF920" s="22" t="s">
        <v>53</v>
      </c>
      <c r="AG920" s="22" t="s">
        <v>53</v>
      </c>
      <c r="AH920" s="22" t="s">
        <v>53</v>
      </c>
      <c r="AI920" s="22" t="s">
        <v>53</v>
      </c>
      <c r="AJ920">
        <v>179</v>
      </c>
      <c r="AK920">
        <v>175</v>
      </c>
      <c r="AL920">
        <v>127</v>
      </c>
      <c r="AM920">
        <v>122</v>
      </c>
      <c r="AN920" s="22">
        <v>0.0893854748603352</v>
      </c>
      <c r="AO920" s="22">
        <v>0.0685714285714286</v>
      </c>
      <c r="AP920" s="22">
        <v>0.125984251968504</v>
      </c>
      <c r="AQ920" s="22">
        <v>0.10655737704918</v>
      </c>
      <c r="AR920" s="35">
        <v>2.28571428571429</v>
      </c>
      <c r="AS920" s="35">
        <v>137.142857142857</v>
      </c>
      <c r="AT920" s="35">
        <v>-53.1428571428571</v>
      </c>
      <c r="AU920" s="31">
        <f t="shared" si="18"/>
        <v>36</v>
      </c>
      <c r="AV920" s="36">
        <f>IFERROR(时间!$B$4+AU920,"上周无销量")</f>
        <v>43354</v>
      </c>
    </row>
    <row r="921" spans="1:48">
      <c r="A921" s="20" t="s">
        <v>2046</v>
      </c>
      <c r="B921" t="s">
        <v>2047</v>
      </c>
      <c r="C921" t="s">
        <v>2045</v>
      </c>
      <c r="D921" s="31">
        <v>9</v>
      </c>
      <c r="E921" s="31">
        <v>13</v>
      </c>
      <c r="F921" s="31">
        <v>21</v>
      </c>
      <c r="G921" s="31">
        <v>6</v>
      </c>
      <c r="H921" s="32">
        <v>22.4510204081633</v>
      </c>
      <c r="I921">
        <v>123</v>
      </c>
      <c r="J921" s="33">
        <v>0</v>
      </c>
      <c r="K921" s="33">
        <v>0</v>
      </c>
      <c r="L921" s="33">
        <v>3</v>
      </c>
      <c r="M921">
        <v>126</v>
      </c>
      <c r="N921">
        <v>2</v>
      </c>
      <c r="O921">
        <v>0</v>
      </c>
      <c r="P921">
        <v>2388</v>
      </c>
      <c r="Q921">
        <v>15360</v>
      </c>
      <c r="R921">
        <v>80631</v>
      </c>
      <c r="S921">
        <v>38654</v>
      </c>
      <c r="T921">
        <v>6</v>
      </c>
      <c r="U921">
        <v>19</v>
      </c>
      <c r="V921">
        <v>128</v>
      </c>
      <c r="W921">
        <v>75</v>
      </c>
      <c r="X921" s="22">
        <v>0.00251256281407035</v>
      </c>
      <c r="Y921" s="22">
        <v>0.00123697916666667</v>
      </c>
      <c r="Z921" s="22">
        <v>0.00158747876127048</v>
      </c>
      <c r="AA921" s="22">
        <v>0.0019402907849123</v>
      </c>
      <c r="AB921">
        <v>1.25</v>
      </c>
      <c r="AC921">
        <v>8.45</v>
      </c>
      <c r="AD921">
        <v>61.73</v>
      </c>
      <c r="AE921">
        <v>33.39</v>
      </c>
      <c r="AF921" s="22">
        <v>0.00618630629538728</v>
      </c>
      <c r="AG921" s="22">
        <v>0.0289519134624125</v>
      </c>
      <c r="AH921" s="22">
        <v>0.130930521467745</v>
      </c>
      <c r="AI921" s="22">
        <v>0.247872920643578</v>
      </c>
      <c r="AJ921">
        <v>221</v>
      </c>
      <c r="AK921">
        <v>215</v>
      </c>
      <c r="AL921">
        <v>226</v>
      </c>
      <c r="AM921">
        <v>174</v>
      </c>
      <c r="AN921" s="22">
        <v>0.0407239819004525</v>
      </c>
      <c r="AO921" s="22">
        <v>0.0604651162790698</v>
      </c>
      <c r="AP921" s="22">
        <v>0.0929203539823009</v>
      </c>
      <c r="AQ921" s="22">
        <v>0.0344827586206897</v>
      </c>
      <c r="AR921" s="35">
        <v>1.28571428571429</v>
      </c>
      <c r="AS921" s="35">
        <v>77.1428571428572</v>
      </c>
      <c r="AT921" s="35">
        <v>48.8571428571428</v>
      </c>
      <c r="AU921" s="31">
        <f t="shared" si="18"/>
        <v>98</v>
      </c>
      <c r="AV921" s="36">
        <f>IFERROR(时间!$B$4+AU921,"上周无销量")</f>
        <v>43416</v>
      </c>
    </row>
    <row r="922" spans="1:48">
      <c r="A922" s="20" t="s">
        <v>2048</v>
      </c>
      <c r="B922" t="s">
        <v>2049</v>
      </c>
      <c r="C922" t="s">
        <v>2045</v>
      </c>
      <c r="D922" s="31">
        <v>16</v>
      </c>
      <c r="E922" s="31">
        <v>18</v>
      </c>
      <c r="F922" s="31">
        <v>13</v>
      </c>
      <c r="G922" s="31">
        <v>11</v>
      </c>
      <c r="H922" s="32">
        <v>22.9</v>
      </c>
      <c r="I922">
        <v>62</v>
      </c>
      <c r="J922" s="33">
        <v>30</v>
      </c>
      <c r="K922" s="33">
        <v>0</v>
      </c>
      <c r="L922" s="33">
        <v>1</v>
      </c>
      <c r="M922">
        <v>93</v>
      </c>
      <c r="N922">
        <v>1</v>
      </c>
      <c r="O922">
        <v>0</v>
      </c>
      <c r="P922">
        <v>65070</v>
      </c>
      <c r="Q922">
        <v>37538</v>
      </c>
      <c r="R922">
        <v>34226</v>
      </c>
      <c r="S922">
        <v>18217</v>
      </c>
      <c r="T922">
        <v>140</v>
      </c>
      <c r="U922">
        <v>148</v>
      </c>
      <c r="V922">
        <v>100</v>
      </c>
      <c r="W922">
        <v>74</v>
      </c>
      <c r="X922" s="22">
        <v>0.00215152912248348</v>
      </c>
      <c r="Y922" s="22">
        <v>0.00394267142628803</v>
      </c>
      <c r="Z922" s="22">
        <v>0.0029217553906387</v>
      </c>
      <c r="AA922" s="22">
        <v>0.00406213975956524</v>
      </c>
      <c r="AB922">
        <v>72.51</v>
      </c>
      <c r="AC922">
        <v>78.32</v>
      </c>
      <c r="AD922">
        <v>49.7</v>
      </c>
      <c r="AE922">
        <v>33.23</v>
      </c>
      <c r="AF922" s="22">
        <v>0.197898471615721</v>
      </c>
      <c r="AG922" s="22">
        <v>0.190004852013586</v>
      </c>
      <c r="AH922" s="22">
        <v>0.166946590527377</v>
      </c>
      <c r="AI922" s="22">
        <v>0.131917427550615</v>
      </c>
      <c r="AJ922">
        <v>265</v>
      </c>
      <c r="AK922">
        <v>300</v>
      </c>
      <c r="AL922">
        <v>223</v>
      </c>
      <c r="AM922">
        <v>278</v>
      </c>
      <c r="AN922" s="22">
        <v>0.060377358490566</v>
      </c>
      <c r="AO922" s="22">
        <v>0.06</v>
      </c>
      <c r="AP922" s="22">
        <v>0.0582959641255605</v>
      </c>
      <c r="AQ922" s="22">
        <v>0.039568345323741</v>
      </c>
      <c r="AR922" s="35">
        <v>2.28571428571429</v>
      </c>
      <c r="AS922" s="35">
        <v>137.142857142857</v>
      </c>
      <c r="AT922" s="35">
        <v>-44.1428571428571</v>
      </c>
      <c r="AU922" s="31">
        <f t="shared" si="18"/>
        <v>40</v>
      </c>
      <c r="AV922" s="36">
        <f>IFERROR(时间!$B$4+AU922,"上周无销量")</f>
        <v>43358</v>
      </c>
    </row>
    <row r="923" spans="1:48">
      <c r="A923" s="20" t="s">
        <v>2050</v>
      </c>
      <c r="B923" t="s">
        <v>2051</v>
      </c>
      <c r="C923" t="s">
        <v>2045</v>
      </c>
      <c r="D923" s="31">
        <v>48</v>
      </c>
      <c r="E923" s="31">
        <v>24</v>
      </c>
      <c r="F923" s="31">
        <v>19</v>
      </c>
      <c r="G923" s="31">
        <v>20</v>
      </c>
      <c r="H923" s="32">
        <v>22.6207207207208</v>
      </c>
      <c r="I923">
        <v>116</v>
      </c>
      <c r="J923" s="33">
        <v>0</v>
      </c>
      <c r="K923" s="33">
        <v>0</v>
      </c>
      <c r="L923" s="33">
        <v>1</v>
      </c>
      <c r="M923">
        <v>117</v>
      </c>
      <c r="N923">
        <v>2</v>
      </c>
      <c r="O923">
        <v>0</v>
      </c>
      <c r="P923">
        <v>0</v>
      </c>
      <c r="Q923">
        <v>23</v>
      </c>
      <c r="R923">
        <v>78</v>
      </c>
      <c r="S923">
        <v>71</v>
      </c>
      <c r="T923">
        <v>0</v>
      </c>
      <c r="U923">
        <v>0</v>
      </c>
      <c r="V923">
        <v>1</v>
      </c>
      <c r="W923">
        <v>1</v>
      </c>
      <c r="X923" s="22" t="s">
        <v>53</v>
      </c>
      <c r="Y923" s="22">
        <v>0</v>
      </c>
      <c r="Z923" s="22">
        <v>0.0128205128205128</v>
      </c>
      <c r="AA923" s="22">
        <v>0.0140845070422535</v>
      </c>
      <c r="AB923">
        <v>0</v>
      </c>
      <c r="AC923">
        <v>0</v>
      </c>
      <c r="AD923">
        <v>0.15</v>
      </c>
      <c r="AE923">
        <v>0.02</v>
      </c>
      <c r="AF923" s="22" t="s">
        <v>53</v>
      </c>
      <c r="AG923" s="22" t="s">
        <v>53</v>
      </c>
      <c r="AH923" s="22">
        <v>0.000349004655491529</v>
      </c>
      <c r="AI923" s="22">
        <v>4.42072563622604e-5</v>
      </c>
      <c r="AJ923">
        <v>522</v>
      </c>
      <c r="AK923">
        <v>384</v>
      </c>
      <c r="AL923">
        <v>221</v>
      </c>
      <c r="AM923">
        <v>212</v>
      </c>
      <c r="AN923" s="22">
        <v>0.0919540229885057</v>
      </c>
      <c r="AO923" s="22">
        <v>0.0625</v>
      </c>
      <c r="AP923" s="22">
        <v>0.085972850678733</v>
      </c>
      <c r="AQ923" s="22">
        <v>0.0943396226415094</v>
      </c>
      <c r="AR923" s="35">
        <v>6.85714285714286</v>
      </c>
      <c r="AS923" s="35">
        <v>411.428571428571</v>
      </c>
      <c r="AT923" s="35">
        <v>-294.428571428571</v>
      </c>
      <c r="AU923" s="31">
        <f t="shared" si="18"/>
        <v>17</v>
      </c>
      <c r="AV923" s="36">
        <f>IFERROR(时间!$B$4+AU923,"上周无销量")</f>
        <v>43335</v>
      </c>
    </row>
    <row r="924" spans="1:48">
      <c r="A924" s="20" t="s">
        <v>2052</v>
      </c>
      <c r="B924" t="s">
        <v>2053</v>
      </c>
      <c r="C924" t="s">
        <v>2045</v>
      </c>
      <c r="D924" s="31">
        <v>10</v>
      </c>
      <c r="E924" s="31">
        <v>15</v>
      </c>
      <c r="F924" s="31">
        <v>10</v>
      </c>
      <c r="G924" s="31">
        <v>9</v>
      </c>
      <c r="H924" s="32">
        <v>22.5363636363636</v>
      </c>
      <c r="I924">
        <v>150</v>
      </c>
      <c r="J924" s="33">
        <v>0</v>
      </c>
      <c r="K924" s="33">
        <v>0</v>
      </c>
      <c r="L924" s="33">
        <v>0</v>
      </c>
      <c r="M924">
        <v>150</v>
      </c>
      <c r="N924">
        <v>1</v>
      </c>
      <c r="O924">
        <v>0</v>
      </c>
      <c r="P924" t="s">
        <v>53</v>
      </c>
      <c r="Q924" t="s">
        <v>53</v>
      </c>
      <c r="R924" t="s">
        <v>53</v>
      </c>
      <c r="S924" t="s">
        <v>53</v>
      </c>
      <c r="T924" t="s">
        <v>53</v>
      </c>
      <c r="U924" t="s">
        <v>53</v>
      </c>
      <c r="V924" t="s">
        <v>53</v>
      </c>
      <c r="W924" t="s">
        <v>53</v>
      </c>
      <c r="X924" s="22" t="s">
        <v>53</v>
      </c>
      <c r="Y924" s="22" t="s">
        <v>53</v>
      </c>
      <c r="Z924" s="22" t="s">
        <v>53</v>
      </c>
      <c r="AA924" s="22" t="s">
        <v>53</v>
      </c>
      <c r="AB924" t="s">
        <v>53</v>
      </c>
      <c r="AC924" t="s">
        <v>53</v>
      </c>
      <c r="AD924" t="s">
        <v>53</v>
      </c>
      <c r="AE924" t="s">
        <v>53</v>
      </c>
      <c r="AF924" s="22" t="s">
        <v>53</v>
      </c>
      <c r="AG924" s="22" t="s">
        <v>53</v>
      </c>
      <c r="AH924" s="22" t="s">
        <v>53</v>
      </c>
      <c r="AI924" s="22" t="s">
        <v>53</v>
      </c>
      <c r="AJ924">
        <v>158</v>
      </c>
      <c r="AK924">
        <v>156</v>
      </c>
      <c r="AL924">
        <v>111</v>
      </c>
      <c r="AM924">
        <v>141</v>
      </c>
      <c r="AN924" s="22">
        <v>0.0632911392405063</v>
      </c>
      <c r="AO924" s="22">
        <v>0.0961538461538462</v>
      </c>
      <c r="AP924" s="22">
        <v>0.0900900900900901</v>
      </c>
      <c r="AQ924" s="22">
        <v>0.0638297872340425</v>
      </c>
      <c r="AR924" s="35">
        <v>1.42857142857143</v>
      </c>
      <c r="AS924" s="35">
        <v>85.7142857142857</v>
      </c>
      <c r="AT924" s="35">
        <v>64.2857142857143</v>
      </c>
      <c r="AU924" s="31">
        <f t="shared" si="18"/>
        <v>105</v>
      </c>
      <c r="AV924" s="36">
        <f>IFERROR(时间!$B$4+AU924,"上周无销量")</f>
        <v>43423</v>
      </c>
    </row>
    <row r="925" spans="1:48">
      <c r="A925" s="20" t="s">
        <v>2054</v>
      </c>
      <c r="B925" t="s">
        <v>2055</v>
      </c>
      <c r="C925" t="s">
        <v>2056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0</v>
      </c>
      <c r="J925" s="33">
        <v>0</v>
      </c>
      <c r="K925" s="33">
        <v>0</v>
      </c>
      <c r="L925" s="33">
        <v>0</v>
      </c>
      <c r="M925">
        <v>0</v>
      </c>
      <c r="N925">
        <v>0</v>
      </c>
      <c r="O925">
        <v>0</v>
      </c>
      <c r="P925" t="s">
        <v>53</v>
      </c>
      <c r="Q925" t="s">
        <v>53</v>
      </c>
      <c r="R925" t="s">
        <v>53</v>
      </c>
      <c r="S925" t="s">
        <v>53</v>
      </c>
      <c r="T925" t="s">
        <v>53</v>
      </c>
      <c r="U925" t="s">
        <v>53</v>
      </c>
      <c r="V925" t="s">
        <v>53</v>
      </c>
      <c r="W925" t="s">
        <v>53</v>
      </c>
      <c r="X925" s="22" t="s">
        <v>53</v>
      </c>
      <c r="Y925" s="22" t="s">
        <v>53</v>
      </c>
      <c r="Z925" s="22" t="s">
        <v>53</v>
      </c>
      <c r="AA925" s="22" t="s">
        <v>53</v>
      </c>
      <c r="AB925" t="s">
        <v>53</v>
      </c>
      <c r="AC925" t="s">
        <v>53</v>
      </c>
      <c r="AD925" t="s">
        <v>53</v>
      </c>
      <c r="AE925" t="s">
        <v>53</v>
      </c>
      <c r="AF925" s="22" t="s">
        <v>53</v>
      </c>
      <c r="AG925" s="22" t="s">
        <v>53</v>
      </c>
      <c r="AH925" s="22" t="s">
        <v>53</v>
      </c>
      <c r="AI925" s="22" t="s">
        <v>53</v>
      </c>
      <c r="AJ925">
        <v>0</v>
      </c>
      <c r="AK925">
        <v>0</v>
      </c>
      <c r="AL925">
        <v>0</v>
      </c>
      <c r="AM925">
        <v>0</v>
      </c>
      <c r="AN925" s="22" t="s">
        <v>53</v>
      </c>
      <c r="AO925" s="22" t="s">
        <v>53</v>
      </c>
      <c r="AP925" s="22" t="s">
        <v>53</v>
      </c>
      <c r="AQ925" s="22" t="s">
        <v>53</v>
      </c>
      <c r="AR925" s="35">
        <v>0</v>
      </c>
      <c r="AS925" s="35">
        <v>0</v>
      </c>
      <c r="AT925" s="35">
        <v>0</v>
      </c>
      <c r="AU925" s="31" t="str">
        <f t="shared" si="18"/>
        <v>库存为0</v>
      </c>
      <c r="AV925" s="36" t="str">
        <f>IFERROR(时间!$B$4+AU925,"上周无销量")</f>
        <v>上周无销量</v>
      </c>
    </row>
    <row r="926" spans="1:48">
      <c r="A926" s="20" t="s">
        <v>2057</v>
      </c>
      <c r="B926" t="s">
        <v>2058</v>
      </c>
      <c r="C926" t="s">
        <v>2056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53</v>
      </c>
      <c r="Q926" t="s">
        <v>53</v>
      </c>
      <c r="R926" t="s">
        <v>53</v>
      </c>
      <c r="S926" t="s">
        <v>53</v>
      </c>
      <c r="T926" t="s">
        <v>53</v>
      </c>
      <c r="U926" t="s">
        <v>53</v>
      </c>
      <c r="V926" t="s">
        <v>53</v>
      </c>
      <c r="W926" t="s">
        <v>53</v>
      </c>
      <c r="X926" s="22" t="s">
        <v>53</v>
      </c>
      <c r="Y926" s="22" t="s">
        <v>53</v>
      </c>
      <c r="Z926" s="22" t="s">
        <v>53</v>
      </c>
      <c r="AA926" s="22" t="s">
        <v>53</v>
      </c>
      <c r="AB926" t="s">
        <v>53</v>
      </c>
      <c r="AC926" t="s">
        <v>53</v>
      </c>
      <c r="AD926" t="s">
        <v>53</v>
      </c>
      <c r="AE926" t="s">
        <v>53</v>
      </c>
      <c r="AF926" s="22" t="s">
        <v>53</v>
      </c>
      <c r="AG926" s="22" t="s">
        <v>53</v>
      </c>
      <c r="AH926" s="22" t="s">
        <v>53</v>
      </c>
      <c r="AI926" s="22" t="s">
        <v>53</v>
      </c>
      <c r="AJ926">
        <v>0</v>
      </c>
      <c r="AK926">
        <v>0</v>
      </c>
      <c r="AL926">
        <v>0</v>
      </c>
      <c r="AM926">
        <v>0</v>
      </c>
      <c r="AN926" s="22" t="s">
        <v>53</v>
      </c>
      <c r="AO926" s="22" t="s">
        <v>53</v>
      </c>
      <c r="AP926" s="22" t="s">
        <v>53</v>
      </c>
      <c r="AQ926" s="22" t="s">
        <v>53</v>
      </c>
      <c r="AR926" s="35">
        <v>0</v>
      </c>
      <c r="AS926" s="35">
        <v>0</v>
      </c>
      <c r="AT926" s="35">
        <v>0</v>
      </c>
      <c r="AU926" s="31" t="str">
        <f t="shared" si="18"/>
        <v>库存为0</v>
      </c>
      <c r="AV926" s="36" t="str">
        <f>IFERROR(时间!$B$4+AU926,"上周无销量")</f>
        <v>上周无销量</v>
      </c>
    </row>
    <row r="927" spans="1:48">
      <c r="A927" s="20" t="s">
        <v>2059</v>
      </c>
      <c r="B927" t="s">
        <v>2060</v>
      </c>
      <c r="C927" t="s">
        <v>2061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0</v>
      </c>
      <c r="J927" s="33">
        <v>0</v>
      </c>
      <c r="K927" s="33">
        <v>0</v>
      </c>
      <c r="L927" s="33">
        <v>0</v>
      </c>
      <c r="M927">
        <v>0</v>
      </c>
      <c r="N927">
        <v>0</v>
      </c>
      <c r="O927">
        <v>0</v>
      </c>
      <c r="P927" t="s">
        <v>53</v>
      </c>
      <c r="Q927" t="s">
        <v>53</v>
      </c>
      <c r="R927" t="s">
        <v>53</v>
      </c>
      <c r="S927" t="s">
        <v>53</v>
      </c>
      <c r="T927" t="s">
        <v>53</v>
      </c>
      <c r="U927" t="s">
        <v>53</v>
      </c>
      <c r="V927" t="s">
        <v>53</v>
      </c>
      <c r="W927" t="s">
        <v>53</v>
      </c>
      <c r="X927" s="22" t="s">
        <v>53</v>
      </c>
      <c r="Y927" s="22" t="s">
        <v>53</v>
      </c>
      <c r="Z927" s="22" t="s">
        <v>53</v>
      </c>
      <c r="AA927" s="22" t="s">
        <v>53</v>
      </c>
      <c r="AB927" t="s">
        <v>53</v>
      </c>
      <c r="AC927" t="s">
        <v>53</v>
      </c>
      <c r="AD927" t="s">
        <v>53</v>
      </c>
      <c r="AE927" t="s">
        <v>53</v>
      </c>
      <c r="AF927" s="22" t="s">
        <v>53</v>
      </c>
      <c r="AG927" s="22" t="s">
        <v>53</v>
      </c>
      <c r="AH927" s="22" t="s">
        <v>53</v>
      </c>
      <c r="AI927" s="22" t="s">
        <v>53</v>
      </c>
      <c r="AJ927">
        <v>0</v>
      </c>
      <c r="AK927">
        <v>0</v>
      </c>
      <c r="AL927">
        <v>0</v>
      </c>
      <c r="AM927">
        <v>0</v>
      </c>
      <c r="AN927" s="22" t="s">
        <v>53</v>
      </c>
      <c r="AO927" s="22" t="s">
        <v>53</v>
      </c>
      <c r="AP927" s="22" t="s">
        <v>53</v>
      </c>
      <c r="AQ927" s="22" t="s">
        <v>53</v>
      </c>
      <c r="AR927" s="35">
        <v>0</v>
      </c>
      <c r="AS927" s="35">
        <v>0</v>
      </c>
      <c r="AT927" s="35">
        <v>0</v>
      </c>
      <c r="AU927" s="31" t="str">
        <f t="shared" si="18"/>
        <v>库存为0</v>
      </c>
      <c r="AV927" s="36" t="str">
        <f>IFERROR(时间!$B$4+AU927,"上周无销量")</f>
        <v>上周无销量</v>
      </c>
    </row>
    <row r="928" spans="1:48">
      <c r="A928" s="20" t="s">
        <v>2062</v>
      </c>
      <c r="B928" t="s">
        <v>2063</v>
      </c>
      <c r="C928" t="s">
        <v>2061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53</v>
      </c>
      <c r="Q928" t="s">
        <v>53</v>
      </c>
      <c r="R928" t="s">
        <v>53</v>
      </c>
      <c r="S928" t="s">
        <v>53</v>
      </c>
      <c r="T928" t="s">
        <v>53</v>
      </c>
      <c r="U928" t="s">
        <v>53</v>
      </c>
      <c r="V928" t="s">
        <v>53</v>
      </c>
      <c r="W928" t="s">
        <v>53</v>
      </c>
      <c r="X928" s="22" t="s">
        <v>53</v>
      </c>
      <c r="Y928" s="22" t="s">
        <v>53</v>
      </c>
      <c r="Z928" s="22" t="s">
        <v>53</v>
      </c>
      <c r="AA928" s="22" t="s">
        <v>53</v>
      </c>
      <c r="AB928" t="s">
        <v>53</v>
      </c>
      <c r="AC928" t="s">
        <v>53</v>
      </c>
      <c r="AD928" t="s">
        <v>53</v>
      </c>
      <c r="AE928" t="s">
        <v>53</v>
      </c>
      <c r="AF928" s="22" t="s">
        <v>53</v>
      </c>
      <c r="AG928" s="22" t="s">
        <v>53</v>
      </c>
      <c r="AH928" s="22" t="s">
        <v>53</v>
      </c>
      <c r="AI928" s="22" t="s">
        <v>53</v>
      </c>
      <c r="AJ928">
        <v>0</v>
      </c>
      <c r="AK928">
        <v>0</v>
      </c>
      <c r="AL928">
        <v>0</v>
      </c>
      <c r="AM928">
        <v>0</v>
      </c>
      <c r="AN928" s="22" t="s">
        <v>53</v>
      </c>
      <c r="AO928" s="22" t="s">
        <v>53</v>
      </c>
      <c r="AP928" s="22" t="s">
        <v>53</v>
      </c>
      <c r="AQ928" s="22" t="s">
        <v>53</v>
      </c>
      <c r="AR928" s="35">
        <v>0</v>
      </c>
      <c r="AS928" s="35">
        <v>0</v>
      </c>
      <c r="AT928" s="35">
        <v>0</v>
      </c>
      <c r="AU928" s="31" t="str">
        <f t="shared" si="18"/>
        <v>库存为0</v>
      </c>
      <c r="AV928" s="36" t="str">
        <f>IFERROR(时间!$B$4+AU928,"上周无销量")</f>
        <v>上周无销量</v>
      </c>
    </row>
    <row r="929" spans="1:48">
      <c r="A929" s="20" t="s">
        <v>2064</v>
      </c>
      <c r="B929" t="s">
        <v>2065</v>
      </c>
      <c r="C929" t="s">
        <v>2066</v>
      </c>
      <c r="D929" s="31">
        <v>2</v>
      </c>
      <c r="E929" s="31">
        <v>3</v>
      </c>
      <c r="F929" s="31">
        <v>2</v>
      </c>
      <c r="G929" s="31">
        <v>1</v>
      </c>
      <c r="H929" s="32">
        <v>19.99</v>
      </c>
      <c r="I929">
        <v>81</v>
      </c>
      <c r="J929" s="33">
        <v>0</v>
      </c>
      <c r="K929" s="33">
        <v>0</v>
      </c>
      <c r="L929" s="33">
        <v>0</v>
      </c>
      <c r="M929">
        <v>81</v>
      </c>
      <c r="N929">
        <v>0</v>
      </c>
      <c r="O929">
        <v>80</v>
      </c>
      <c r="P929">
        <v>31627</v>
      </c>
      <c r="Q929">
        <v>5454</v>
      </c>
      <c r="R929">
        <v>0</v>
      </c>
      <c r="S929">
        <v>0</v>
      </c>
      <c r="T929">
        <v>56</v>
      </c>
      <c r="U929">
        <v>26</v>
      </c>
      <c r="V929">
        <v>0</v>
      </c>
      <c r="W929">
        <v>0</v>
      </c>
      <c r="X929" s="22">
        <v>0.00177063901097164</v>
      </c>
      <c r="Y929" s="22">
        <v>0.00476714338100477</v>
      </c>
      <c r="Z929" s="22" t="s">
        <v>53</v>
      </c>
      <c r="AA929" s="22" t="s">
        <v>53</v>
      </c>
      <c r="AB929">
        <v>14.11</v>
      </c>
      <c r="AC929">
        <v>10.12</v>
      </c>
      <c r="AD929">
        <v>0</v>
      </c>
      <c r="AE929">
        <v>0</v>
      </c>
      <c r="AF929" s="22">
        <v>0.352926463231616</v>
      </c>
      <c r="AG929" s="22">
        <v>0.168751042187761</v>
      </c>
      <c r="AH929" s="22" t="s">
        <v>53</v>
      </c>
      <c r="AI929" s="22" t="s">
        <v>53</v>
      </c>
      <c r="AJ929">
        <v>104</v>
      </c>
      <c r="AK929">
        <v>83</v>
      </c>
      <c r="AL929">
        <v>76</v>
      </c>
      <c r="AM929">
        <v>75</v>
      </c>
      <c r="AN929" s="22">
        <v>0.0192307692307692</v>
      </c>
      <c r="AO929" s="22">
        <v>0.036144578313253</v>
      </c>
      <c r="AP929" s="22">
        <v>0.0263157894736842</v>
      </c>
      <c r="AQ929" s="22">
        <v>0.0133333333333333</v>
      </c>
      <c r="AR929" s="35">
        <v>0.285714285714286</v>
      </c>
      <c r="AS929" s="35">
        <v>17.1428571428571</v>
      </c>
      <c r="AT929" s="35">
        <v>63.8571428571429</v>
      </c>
      <c r="AU929" s="31">
        <f t="shared" si="18"/>
        <v>283</v>
      </c>
      <c r="AV929" s="36">
        <f>IFERROR(时间!$B$4+AU929,"上周无销量")</f>
        <v>43601</v>
      </c>
    </row>
    <row r="930" spans="1:48">
      <c r="A930" s="20" t="s">
        <v>2067</v>
      </c>
      <c r="B930" t="s">
        <v>2068</v>
      </c>
      <c r="C930" t="s">
        <v>2066</v>
      </c>
      <c r="D930" s="31">
        <v>0</v>
      </c>
      <c r="E930" s="31">
        <v>0</v>
      </c>
      <c r="F930" s="31">
        <v>1</v>
      </c>
      <c r="G930" s="31">
        <v>0</v>
      </c>
      <c r="H930" s="32">
        <v>19.99</v>
      </c>
      <c r="I930">
        <v>10</v>
      </c>
      <c r="J930" s="33">
        <v>0</v>
      </c>
      <c r="K930" s="33">
        <v>0</v>
      </c>
      <c r="L930" s="33">
        <v>0</v>
      </c>
      <c r="M930">
        <v>10</v>
      </c>
      <c r="N930">
        <v>0</v>
      </c>
      <c r="O930">
        <v>0</v>
      </c>
      <c r="P930" t="s">
        <v>53</v>
      </c>
      <c r="Q930" t="s">
        <v>53</v>
      </c>
      <c r="R930" t="s">
        <v>53</v>
      </c>
      <c r="S930" t="s">
        <v>53</v>
      </c>
      <c r="T930" t="s">
        <v>53</v>
      </c>
      <c r="U930" t="s">
        <v>53</v>
      </c>
      <c r="V930" t="s">
        <v>53</v>
      </c>
      <c r="W930" t="s">
        <v>53</v>
      </c>
      <c r="X930" s="22" t="s">
        <v>53</v>
      </c>
      <c r="Y930" s="22" t="s">
        <v>53</v>
      </c>
      <c r="Z930" s="22" t="s">
        <v>53</v>
      </c>
      <c r="AA930" s="22" t="s">
        <v>53</v>
      </c>
      <c r="AB930" t="s">
        <v>53</v>
      </c>
      <c r="AC930" t="s">
        <v>53</v>
      </c>
      <c r="AD930" t="s">
        <v>53</v>
      </c>
      <c r="AE930" t="s">
        <v>53</v>
      </c>
      <c r="AF930" s="22" t="s">
        <v>53</v>
      </c>
      <c r="AG930" s="22" t="s">
        <v>53</v>
      </c>
      <c r="AH930" s="22" t="s">
        <v>53</v>
      </c>
      <c r="AI930" s="22" t="s">
        <v>53</v>
      </c>
      <c r="AJ930">
        <v>16</v>
      </c>
      <c r="AK930">
        <v>6</v>
      </c>
      <c r="AL930">
        <v>5</v>
      </c>
      <c r="AM930">
        <v>8</v>
      </c>
      <c r="AN930" s="22">
        <v>0</v>
      </c>
      <c r="AO930" s="22">
        <v>0</v>
      </c>
      <c r="AP930" s="22">
        <v>0.2</v>
      </c>
      <c r="AQ930" s="22">
        <v>0</v>
      </c>
      <c r="AR930" s="35">
        <v>0</v>
      </c>
      <c r="AS930" s="35">
        <v>0</v>
      </c>
      <c r="AT930" s="35">
        <v>10</v>
      </c>
      <c r="AU930" s="31" t="str">
        <f t="shared" si="18"/>
        <v>库存为10</v>
      </c>
      <c r="AV930" s="36" t="str">
        <f>IFERROR(时间!$B$4+AU930,"上周无销量")</f>
        <v>上周无销量</v>
      </c>
    </row>
    <row r="931" spans="1:48">
      <c r="A931" s="20" t="s">
        <v>2069</v>
      </c>
      <c r="B931" t="s">
        <v>2070</v>
      </c>
      <c r="C931" t="s">
        <v>2066</v>
      </c>
      <c r="D931" s="31">
        <v>1</v>
      </c>
      <c r="E931" s="31">
        <v>2</v>
      </c>
      <c r="F931" s="31">
        <v>2</v>
      </c>
      <c r="G931" s="31">
        <v>0</v>
      </c>
      <c r="H931" s="32">
        <v>20.39</v>
      </c>
      <c r="I931">
        <v>6</v>
      </c>
      <c r="J931" s="33">
        <v>0</v>
      </c>
      <c r="K931" s="33">
        <v>0</v>
      </c>
      <c r="L931" s="33">
        <v>0</v>
      </c>
      <c r="M931">
        <v>6</v>
      </c>
      <c r="N931">
        <v>0</v>
      </c>
      <c r="O931">
        <v>3</v>
      </c>
      <c r="P931" t="s">
        <v>53</v>
      </c>
      <c r="Q931" t="s">
        <v>53</v>
      </c>
      <c r="R931" t="s">
        <v>53</v>
      </c>
      <c r="S931" t="s">
        <v>53</v>
      </c>
      <c r="T931" t="s">
        <v>53</v>
      </c>
      <c r="U931" t="s">
        <v>53</v>
      </c>
      <c r="V931" t="s">
        <v>53</v>
      </c>
      <c r="W931" t="s">
        <v>53</v>
      </c>
      <c r="X931" s="22" t="s">
        <v>53</v>
      </c>
      <c r="Y931" s="22" t="s">
        <v>53</v>
      </c>
      <c r="Z931" s="22" t="s">
        <v>53</v>
      </c>
      <c r="AA931" s="22" t="s">
        <v>53</v>
      </c>
      <c r="AB931" t="s">
        <v>53</v>
      </c>
      <c r="AC931" t="s">
        <v>53</v>
      </c>
      <c r="AD931" t="s">
        <v>53</v>
      </c>
      <c r="AE931" t="s">
        <v>53</v>
      </c>
      <c r="AF931" s="22" t="s">
        <v>53</v>
      </c>
      <c r="AG931" s="22" t="s">
        <v>53</v>
      </c>
      <c r="AH931" s="22" t="s">
        <v>53</v>
      </c>
      <c r="AI931" s="22" t="s">
        <v>53</v>
      </c>
      <c r="AJ931">
        <v>20</v>
      </c>
      <c r="AK931">
        <v>16</v>
      </c>
      <c r="AL931">
        <v>16</v>
      </c>
      <c r="AM931">
        <v>13</v>
      </c>
      <c r="AN931" s="22">
        <v>0.05</v>
      </c>
      <c r="AO931" s="22">
        <v>0.125</v>
      </c>
      <c r="AP931" s="22">
        <v>0.125</v>
      </c>
      <c r="AQ931" s="22">
        <v>0</v>
      </c>
      <c r="AR931" s="35">
        <v>0.142857142857143</v>
      </c>
      <c r="AS931" s="35">
        <v>8.57142857142857</v>
      </c>
      <c r="AT931" s="35">
        <v>-2.57142857142857</v>
      </c>
      <c r="AU931" s="31">
        <f t="shared" si="18"/>
        <v>42</v>
      </c>
      <c r="AV931" s="36">
        <f>IFERROR(时间!$B$4+AU931,"上周无销量")</f>
        <v>43360</v>
      </c>
    </row>
    <row r="932" spans="1:48">
      <c r="A932" s="20" t="s">
        <v>2071</v>
      </c>
      <c r="B932" t="s">
        <v>2072</v>
      </c>
      <c r="C932" t="s">
        <v>2066</v>
      </c>
      <c r="D932" s="31">
        <v>0</v>
      </c>
      <c r="E932" s="31">
        <v>2</v>
      </c>
      <c r="F932" s="31">
        <v>0</v>
      </c>
      <c r="G932" s="31">
        <v>0</v>
      </c>
      <c r="H932" s="32">
        <v>19.99</v>
      </c>
      <c r="I932">
        <v>11</v>
      </c>
      <c r="J932" s="33">
        <v>0</v>
      </c>
      <c r="K932" s="33">
        <v>0</v>
      </c>
      <c r="L932" s="33">
        <v>1</v>
      </c>
      <c r="M932">
        <v>12</v>
      </c>
      <c r="N932">
        <v>0</v>
      </c>
      <c r="O932">
        <v>13</v>
      </c>
      <c r="P932" t="s">
        <v>53</v>
      </c>
      <c r="Q932" t="s">
        <v>53</v>
      </c>
      <c r="R932" t="s">
        <v>53</v>
      </c>
      <c r="S932" t="s">
        <v>53</v>
      </c>
      <c r="T932" t="s">
        <v>53</v>
      </c>
      <c r="U932" t="s">
        <v>53</v>
      </c>
      <c r="V932" t="s">
        <v>53</v>
      </c>
      <c r="W932" t="s">
        <v>53</v>
      </c>
      <c r="X932" s="22" t="s">
        <v>53</v>
      </c>
      <c r="Y932" s="22" t="s">
        <v>53</v>
      </c>
      <c r="Z932" s="22" t="s">
        <v>53</v>
      </c>
      <c r="AA932" s="22" t="s">
        <v>53</v>
      </c>
      <c r="AB932" t="s">
        <v>53</v>
      </c>
      <c r="AC932" t="s">
        <v>53</v>
      </c>
      <c r="AD932" t="s">
        <v>53</v>
      </c>
      <c r="AE932" t="s">
        <v>53</v>
      </c>
      <c r="AF932" s="22" t="s">
        <v>53</v>
      </c>
      <c r="AG932" s="22" t="s">
        <v>53</v>
      </c>
      <c r="AH932" s="22" t="s">
        <v>53</v>
      </c>
      <c r="AI932" s="22" t="s">
        <v>53</v>
      </c>
      <c r="AJ932">
        <v>5</v>
      </c>
      <c r="AK932">
        <v>6</v>
      </c>
      <c r="AL932">
        <v>8</v>
      </c>
      <c r="AM932">
        <v>2</v>
      </c>
      <c r="AN932" s="22">
        <v>0</v>
      </c>
      <c r="AO932" s="22">
        <v>0.333333333333333</v>
      </c>
      <c r="AP932" s="22">
        <v>0</v>
      </c>
      <c r="AQ932" s="22">
        <v>0</v>
      </c>
      <c r="AR932" s="35">
        <v>0</v>
      </c>
      <c r="AS932" s="35">
        <v>0</v>
      </c>
      <c r="AT932" s="35">
        <v>12</v>
      </c>
      <c r="AU932" s="31" t="str">
        <f t="shared" si="18"/>
        <v>库存为12</v>
      </c>
      <c r="AV932" s="36" t="str">
        <f>IFERROR(时间!$B$4+AU932,"上周无销量")</f>
        <v>上周无销量</v>
      </c>
    </row>
    <row r="933" spans="1:48">
      <c r="A933" s="20" t="s">
        <v>2073</v>
      </c>
      <c r="B933" t="s">
        <v>2074</v>
      </c>
      <c r="C933" t="s">
        <v>2075</v>
      </c>
      <c r="D933" s="31">
        <v>2</v>
      </c>
      <c r="E933" s="31">
        <v>1</v>
      </c>
      <c r="F933" s="31">
        <v>0</v>
      </c>
      <c r="G933" s="31">
        <v>0</v>
      </c>
      <c r="H933" s="32">
        <v>13.99</v>
      </c>
      <c r="I933">
        <v>6</v>
      </c>
      <c r="J933" s="33">
        <v>0</v>
      </c>
      <c r="K933" s="33">
        <v>0</v>
      </c>
      <c r="L933" s="33">
        <v>0</v>
      </c>
      <c r="M933">
        <v>6</v>
      </c>
      <c r="N933">
        <v>0</v>
      </c>
      <c r="O933">
        <v>7</v>
      </c>
      <c r="P933" t="s">
        <v>53</v>
      </c>
      <c r="Q933" t="s">
        <v>53</v>
      </c>
      <c r="R933" t="s">
        <v>53</v>
      </c>
      <c r="S933" t="s">
        <v>53</v>
      </c>
      <c r="T933" t="s">
        <v>53</v>
      </c>
      <c r="U933" t="s">
        <v>53</v>
      </c>
      <c r="V933" t="s">
        <v>53</v>
      </c>
      <c r="W933" t="s">
        <v>53</v>
      </c>
      <c r="X933" s="22" t="s">
        <v>53</v>
      </c>
      <c r="Y933" s="22" t="s">
        <v>53</v>
      </c>
      <c r="Z933" s="22" t="s">
        <v>53</v>
      </c>
      <c r="AA933" s="22" t="s">
        <v>53</v>
      </c>
      <c r="AB933" t="s">
        <v>53</v>
      </c>
      <c r="AC933" t="s">
        <v>53</v>
      </c>
      <c r="AD933" t="s">
        <v>53</v>
      </c>
      <c r="AE933" t="s">
        <v>53</v>
      </c>
      <c r="AF933" s="22" t="s">
        <v>53</v>
      </c>
      <c r="AG933" s="22" t="s">
        <v>53</v>
      </c>
      <c r="AH933" s="22" t="s">
        <v>53</v>
      </c>
      <c r="AI933" s="22" t="s">
        <v>53</v>
      </c>
      <c r="AJ933">
        <v>15</v>
      </c>
      <c r="AK933">
        <v>7</v>
      </c>
      <c r="AL933">
        <v>6</v>
      </c>
      <c r="AM933">
        <v>5</v>
      </c>
      <c r="AN933" s="22">
        <v>0.133333333333333</v>
      </c>
      <c r="AO933" s="22">
        <v>0.142857142857143</v>
      </c>
      <c r="AP933" s="22">
        <v>0</v>
      </c>
      <c r="AQ933" s="22">
        <v>0</v>
      </c>
      <c r="AR933" s="35">
        <v>0.285714285714286</v>
      </c>
      <c r="AS933" s="35">
        <v>17.1428571428571</v>
      </c>
      <c r="AT933" s="35">
        <v>-11.1428571428571</v>
      </c>
      <c r="AU933" s="31">
        <f t="shared" si="18"/>
        <v>21</v>
      </c>
      <c r="AV933" s="36">
        <f>IFERROR(时间!$B$4+AU933,"上周无销量")</f>
        <v>43339</v>
      </c>
    </row>
    <row r="934" spans="1:48">
      <c r="A934" s="20" t="s">
        <v>2076</v>
      </c>
      <c r="B934" t="s">
        <v>2077</v>
      </c>
      <c r="C934" t="s">
        <v>2075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25</v>
      </c>
      <c r="J934" s="33">
        <v>0</v>
      </c>
      <c r="K934" s="33">
        <v>0</v>
      </c>
      <c r="L934" s="33">
        <v>0</v>
      </c>
      <c r="M934">
        <v>25</v>
      </c>
      <c r="N934">
        <v>0</v>
      </c>
      <c r="O934">
        <v>25</v>
      </c>
      <c r="P934" t="s">
        <v>53</v>
      </c>
      <c r="Q934" t="s">
        <v>53</v>
      </c>
      <c r="R934" t="s">
        <v>53</v>
      </c>
      <c r="S934" t="s">
        <v>53</v>
      </c>
      <c r="T934" t="s">
        <v>53</v>
      </c>
      <c r="U934" t="s">
        <v>53</v>
      </c>
      <c r="V934" t="s">
        <v>53</v>
      </c>
      <c r="W934" t="s">
        <v>53</v>
      </c>
      <c r="X934" s="22" t="s">
        <v>53</v>
      </c>
      <c r="Y934" s="22" t="s">
        <v>53</v>
      </c>
      <c r="Z934" s="22" t="s">
        <v>53</v>
      </c>
      <c r="AA934" s="22" t="s">
        <v>53</v>
      </c>
      <c r="AB934" t="s">
        <v>53</v>
      </c>
      <c r="AC934" t="s">
        <v>53</v>
      </c>
      <c r="AD934" t="s">
        <v>53</v>
      </c>
      <c r="AE934" t="s">
        <v>53</v>
      </c>
      <c r="AF934" s="22" t="s">
        <v>53</v>
      </c>
      <c r="AG934" s="22" t="s">
        <v>53</v>
      </c>
      <c r="AH934" s="22" t="s">
        <v>53</v>
      </c>
      <c r="AI934" s="22" t="s">
        <v>53</v>
      </c>
      <c r="AJ934">
        <v>0</v>
      </c>
      <c r="AK934">
        <v>0</v>
      </c>
      <c r="AL934">
        <v>0</v>
      </c>
      <c r="AM934">
        <v>0</v>
      </c>
      <c r="AN934" s="22" t="s">
        <v>53</v>
      </c>
      <c r="AO934" s="22" t="s">
        <v>53</v>
      </c>
      <c r="AP934" s="22" t="s">
        <v>53</v>
      </c>
      <c r="AQ934" s="22" t="s">
        <v>53</v>
      </c>
      <c r="AR934" s="35">
        <v>0</v>
      </c>
      <c r="AS934" s="35">
        <v>0</v>
      </c>
      <c r="AT934" s="35">
        <v>25</v>
      </c>
      <c r="AU934" s="31" t="str">
        <f t="shared" si="18"/>
        <v>库存为25</v>
      </c>
      <c r="AV934" s="36" t="str">
        <f>IFERROR(时间!$B$4+AU934,"上周无销量")</f>
        <v>上周无销量</v>
      </c>
    </row>
    <row r="935" spans="1:48">
      <c r="A935" s="20" t="s">
        <v>2078</v>
      </c>
      <c r="B935" t="s">
        <v>2079</v>
      </c>
      <c r="C935" t="s">
        <v>2075</v>
      </c>
      <c r="D935" s="31">
        <v>0</v>
      </c>
      <c r="E935" s="31">
        <v>0</v>
      </c>
      <c r="F935" s="31">
        <v>0</v>
      </c>
      <c r="G935" s="31">
        <v>1</v>
      </c>
      <c r="H935" s="32">
        <v>15.99</v>
      </c>
      <c r="I935">
        <v>3</v>
      </c>
      <c r="J935" s="33">
        <v>0</v>
      </c>
      <c r="K935" s="33">
        <v>0</v>
      </c>
      <c r="L935" s="33">
        <v>0</v>
      </c>
      <c r="M935">
        <v>3</v>
      </c>
      <c r="N935">
        <v>0</v>
      </c>
      <c r="O935">
        <v>2</v>
      </c>
      <c r="P935" t="s">
        <v>53</v>
      </c>
      <c r="Q935" t="s">
        <v>53</v>
      </c>
      <c r="R935" t="s">
        <v>53</v>
      </c>
      <c r="S935" t="s">
        <v>53</v>
      </c>
      <c r="T935" t="s">
        <v>53</v>
      </c>
      <c r="U935" t="s">
        <v>53</v>
      </c>
      <c r="V935" t="s">
        <v>53</v>
      </c>
      <c r="W935" t="s">
        <v>53</v>
      </c>
      <c r="X935" s="22" t="s">
        <v>53</v>
      </c>
      <c r="Y935" s="22" t="s">
        <v>53</v>
      </c>
      <c r="Z935" s="22" t="s">
        <v>53</v>
      </c>
      <c r="AA935" s="22" t="s">
        <v>53</v>
      </c>
      <c r="AB935" t="s">
        <v>53</v>
      </c>
      <c r="AC935" t="s">
        <v>53</v>
      </c>
      <c r="AD935" t="s">
        <v>53</v>
      </c>
      <c r="AE935" t="s">
        <v>53</v>
      </c>
      <c r="AF935" s="22" t="s">
        <v>53</v>
      </c>
      <c r="AG935" s="22" t="s">
        <v>53</v>
      </c>
      <c r="AH935" s="22" t="s">
        <v>53</v>
      </c>
      <c r="AI935" s="22" t="s">
        <v>53</v>
      </c>
      <c r="AJ935">
        <v>5</v>
      </c>
      <c r="AK935">
        <v>6</v>
      </c>
      <c r="AL935">
        <v>0</v>
      </c>
      <c r="AM935">
        <v>0</v>
      </c>
      <c r="AN935" s="22">
        <v>0</v>
      </c>
      <c r="AO935" s="22">
        <v>0</v>
      </c>
      <c r="AP935" s="22" t="s">
        <v>53</v>
      </c>
      <c r="AQ935" s="22" t="s">
        <v>53</v>
      </c>
      <c r="AR935" s="35">
        <v>0</v>
      </c>
      <c r="AS935" s="35">
        <v>0</v>
      </c>
      <c r="AT935" s="35">
        <v>3</v>
      </c>
      <c r="AU935" s="31" t="str">
        <f t="shared" si="18"/>
        <v>库存为3</v>
      </c>
      <c r="AV935" s="36" t="str">
        <f>IFERROR(时间!$B$4+AU935,"上周无销量")</f>
        <v>上周无销量</v>
      </c>
    </row>
    <row r="936" spans="1:48">
      <c r="A936" s="20" t="s">
        <v>2080</v>
      </c>
      <c r="B936" t="s">
        <v>2081</v>
      </c>
      <c r="C936" t="s">
        <v>2075</v>
      </c>
      <c r="D936" s="31">
        <v>0</v>
      </c>
      <c r="E936" s="31">
        <v>0</v>
      </c>
      <c r="F936" s="31">
        <v>0</v>
      </c>
      <c r="G936" s="31">
        <v>1</v>
      </c>
      <c r="H936" s="32">
        <v>15.99</v>
      </c>
      <c r="I936">
        <v>4</v>
      </c>
      <c r="J936" s="33">
        <v>0</v>
      </c>
      <c r="K936" s="33">
        <v>0</v>
      </c>
      <c r="L936" s="33">
        <v>1</v>
      </c>
      <c r="M936">
        <v>5</v>
      </c>
      <c r="N936">
        <v>0</v>
      </c>
      <c r="O936">
        <v>6</v>
      </c>
      <c r="P936">
        <v>213</v>
      </c>
      <c r="Q936">
        <v>253</v>
      </c>
      <c r="R936">
        <v>94</v>
      </c>
      <c r="S936">
        <v>0</v>
      </c>
      <c r="T936">
        <v>3</v>
      </c>
      <c r="U936">
        <v>3</v>
      </c>
      <c r="V936">
        <v>0</v>
      </c>
      <c r="W936">
        <v>0</v>
      </c>
      <c r="X936" s="22">
        <v>0.0140845070422535</v>
      </c>
      <c r="Y936" s="22">
        <v>0.0118577075098814</v>
      </c>
      <c r="Z936" s="22">
        <v>0</v>
      </c>
      <c r="AA936" s="22" t="s">
        <v>53</v>
      </c>
      <c r="AB936">
        <v>1.07</v>
      </c>
      <c r="AC936">
        <v>0.72</v>
      </c>
      <c r="AD936">
        <v>0</v>
      </c>
      <c r="AE936">
        <v>0</v>
      </c>
      <c r="AF936" s="22" t="s">
        <v>2082</v>
      </c>
      <c r="AG936" s="22" t="s">
        <v>2083</v>
      </c>
      <c r="AH936" s="22" t="s">
        <v>53</v>
      </c>
      <c r="AI936" s="22" t="s">
        <v>53</v>
      </c>
      <c r="AJ936">
        <v>3</v>
      </c>
      <c r="AK936">
        <v>4</v>
      </c>
      <c r="AL936">
        <v>2</v>
      </c>
      <c r="AM936">
        <v>2</v>
      </c>
      <c r="AN936" s="22">
        <v>0</v>
      </c>
      <c r="AO936" s="22">
        <v>0</v>
      </c>
      <c r="AP936" s="22">
        <v>0</v>
      </c>
      <c r="AQ936" s="22">
        <v>0.5</v>
      </c>
      <c r="AR936" s="35">
        <v>0</v>
      </c>
      <c r="AS936" s="35">
        <v>0</v>
      </c>
      <c r="AT936" s="35">
        <v>5</v>
      </c>
      <c r="AU936" s="31" t="str">
        <f t="shared" si="18"/>
        <v>库存为5</v>
      </c>
      <c r="AV936" s="36" t="str">
        <f>IFERROR(时间!$B$4+AU936,"上周无销量")</f>
        <v>上周无销量</v>
      </c>
    </row>
    <row r="937" spans="1:48">
      <c r="A937" s="20" t="s">
        <v>2084</v>
      </c>
      <c r="B937" t="s">
        <v>2085</v>
      </c>
      <c r="C937" t="s">
        <v>2075</v>
      </c>
      <c r="D937" s="31">
        <v>1</v>
      </c>
      <c r="E937" s="31">
        <v>0</v>
      </c>
      <c r="F937" s="31">
        <v>0</v>
      </c>
      <c r="G937" s="31">
        <v>0</v>
      </c>
      <c r="H937" s="32">
        <v>10</v>
      </c>
      <c r="I937">
        <v>17</v>
      </c>
      <c r="J937" s="33">
        <v>0</v>
      </c>
      <c r="K937" s="33">
        <v>0</v>
      </c>
      <c r="L937" s="33">
        <v>0</v>
      </c>
      <c r="M937">
        <v>17</v>
      </c>
      <c r="N937">
        <v>0</v>
      </c>
      <c r="O937">
        <v>18</v>
      </c>
      <c r="P937" t="s">
        <v>53</v>
      </c>
      <c r="Q937" t="s">
        <v>53</v>
      </c>
      <c r="R937" t="s">
        <v>53</v>
      </c>
      <c r="S937" t="s">
        <v>53</v>
      </c>
      <c r="T937" t="s">
        <v>53</v>
      </c>
      <c r="U937" t="s">
        <v>53</v>
      </c>
      <c r="V937" t="s">
        <v>53</v>
      </c>
      <c r="W937" t="s">
        <v>53</v>
      </c>
      <c r="X937" s="22" t="s">
        <v>53</v>
      </c>
      <c r="Y937" s="22" t="s">
        <v>53</v>
      </c>
      <c r="Z937" s="22" t="s">
        <v>53</v>
      </c>
      <c r="AA937" s="22" t="s">
        <v>53</v>
      </c>
      <c r="AB937" t="s">
        <v>53</v>
      </c>
      <c r="AC937" t="s">
        <v>53</v>
      </c>
      <c r="AD937" t="s">
        <v>53</v>
      </c>
      <c r="AE937" t="s">
        <v>53</v>
      </c>
      <c r="AF937" s="22" t="s">
        <v>53</v>
      </c>
      <c r="AG937" s="22" t="s">
        <v>53</v>
      </c>
      <c r="AH937" s="22" t="s">
        <v>53</v>
      </c>
      <c r="AI937" s="22" t="s">
        <v>53</v>
      </c>
      <c r="AJ937">
        <v>8</v>
      </c>
      <c r="AK937">
        <v>9</v>
      </c>
      <c r="AL937">
        <v>2</v>
      </c>
      <c r="AM937">
        <v>4</v>
      </c>
      <c r="AN937" s="22">
        <v>0.125</v>
      </c>
      <c r="AO937" s="22">
        <v>0</v>
      </c>
      <c r="AP937" s="22">
        <v>0</v>
      </c>
      <c r="AQ937" s="22">
        <v>0</v>
      </c>
      <c r="AR937" s="35">
        <v>0.142857142857143</v>
      </c>
      <c r="AS937" s="35">
        <v>8.57142857142857</v>
      </c>
      <c r="AT937" s="35">
        <v>8.42857142857143</v>
      </c>
      <c r="AU937" s="31">
        <f t="shared" si="18"/>
        <v>119</v>
      </c>
      <c r="AV937" s="36">
        <f>IFERROR(时间!$B$4+AU937,"上周无销量")</f>
        <v>43437</v>
      </c>
    </row>
    <row r="938" spans="1:48">
      <c r="A938" s="20" t="s">
        <v>2086</v>
      </c>
      <c r="B938" t="s">
        <v>2087</v>
      </c>
      <c r="C938" t="s">
        <v>2075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0</v>
      </c>
      <c r="O938">
        <v>0</v>
      </c>
      <c r="P938" t="s">
        <v>53</v>
      </c>
      <c r="Q938" t="s">
        <v>53</v>
      </c>
      <c r="R938" t="s">
        <v>53</v>
      </c>
      <c r="S938" t="s">
        <v>53</v>
      </c>
      <c r="T938" t="s">
        <v>53</v>
      </c>
      <c r="U938" t="s">
        <v>53</v>
      </c>
      <c r="V938" t="s">
        <v>53</v>
      </c>
      <c r="W938" t="s">
        <v>53</v>
      </c>
      <c r="X938" s="22" t="s">
        <v>53</v>
      </c>
      <c r="Y938" s="22" t="s">
        <v>53</v>
      </c>
      <c r="Z938" s="22" t="s">
        <v>53</v>
      </c>
      <c r="AA938" s="22" t="s">
        <v>53</v>
      </c>
      <c r="AB938" t="s">
        <v>53</v>
      </c>
      <c r="AC938" t="s">
        <v>53</v>
      </c>
      <c r="AD938" t="s">
        <v>53</v>
      </c>
      <c r="AE938" t="s">
        <v>53</v>
      </c>
      <c r="AF938" s="22" t="s">
        <v>53</v>
      </c>
      <c r="AG938" s="22" t="s">
        <v>53</v>
      </c>
      <c r="AH938" s="22" t="s">
        <v>53</v>
      </c>
      <c r="AI938" s="22" t="s">
        <v>53</v>
      </c>
      <c r="AJ938">
        <v>0</v>
      </c>
      <c r="AK938">
        <v>0</v>
      </c>
      <c r="AL938">
        <v>0</v>
      </c>
      <c r="AM938">
        <v>0</v>
      </c>
      <c r="AN938" s="22" t="s">
        <v>53</v>
      </c>
      <c r="AO938" s="22" t="s">
        <v>53</v>
      </c>
      <c r="AP938" s="22" t="s">
        <v>53</v>
      </c>
      <c r="AQ938" s="22" t="s">
        <v>53</v>
      </c>
      <c r="AR938" s="35">
        <v>0</v>
      </c>
      <c r="AS938" s="35">
        <v>0</v>
      </c>
      <c r="AT938" s="35">
        <v>0</v>
      </c>
      <c r="AU938" s="31" t="str">
        <f t="shared" si="18"/>
        <v>库存为0</v>
      </c>
      <c r="AV938" s="36" t="str">
        <f>IFERROR(时间!$B$4+AU938,"上周无销量")</f>
        <v>上周无销量</v>
      </c>
    </row>
    <row r="939" spans="1:48">
      <c r="A939" s="20" t="s">
        <v>2088</v>
      </c>
      <c r="B939" t="s">
        <v>2089</v>
      </c>
      <c r="C939" t="s">
        <v>2075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12</v>
      </c>
      <c r="J939" s="33">
        <v>0</v>
      </c>
      <c r="K939" s="33">
        <v>0</v>
      </c>
      <c r="L939" s="33">
        <v>0</v>
      </c>
      <c r="M939">
        <v>12</v>
      </c>
      <c r="N939">
        <v>0</v>
      </c>
      <c r="O939">
        <v>12</v>
      </c>
      <c r="P939" t="s">
        <v>53</v>
      </c>
      <c r="Q939" t="s">
        <v>53</v>
      </c>
      <c r="R939" t="s">
        <v>53</v>
      </c>
      <c r="S939" t="s">
        <v>53</v>
      </c>
      <c r="T939" t="s">
        <v>53</v>
      </c>
      <c r="U939" t="s">
        <v>53</v>
      </c>
      <c r="V939" t="s">
        <v>53</v>
      </c>
      <c r="W939" t="s">
        <v>53</v>
      </c>
      <c r="X939" s="22" t="s">
        <v>53</v>
      </c>
      <c r="Y939" s="22" t="s">
        <v>53</v>
      </c>
      <c r="Z939" s="22" t="s">
        <v>53</v>
      </c>
      <c r="AA939" s="22" t="s">
        <v>53</v>
      </c>
      <c r="AB939" t="s">
        <v>53</v>
      </c>
      <c r="AC939" t="s">
        <v>53</v>
      </c>
      <c r="AD939" t="s">
        <v>53</v>
      </c>
      <c r="AE939" t="s">
        <v>53</v>
      </c>
      <c r="AF939" s="22" t="s">
        <v>53</v>
      </c>
      <c r="AG939" s="22" t="s">
        <v>53</v>
      </c>
      <c r="AH939" s="22" t="s">
        <v>53</v>
      </c>
      <c r="AI939" s="22" t="s">
        <v>53</v>
      </c>
      <c r="AJ939">
        <v>0</v>
      </c>
      <c r="AK939">
        <v>0</v>
      </c>
      <c r="AL939">
        <v>0</v>
      </c>
      <c r="AM939">
        <v>0</v>
      </c>
      <c r="AN939" s="22" t="s">
        <v>53</v>
      </c>
      <c r="AO939" s="22" t="s">
        <v>53</v>
      </c>
      <c r="AP939" s="22" t="s">
        <v>53</v>
      </c>
      <c r="AQ939" s="22" t="s">
        <v>53</v>
      </c>
      <c r="AR939" s="35">
        <v>0</v>
      </c>
      <c r="AS939" s="35">
        <v>0</v>
      </c>
      <c r="AT939" s="35">
        <v>12</v>
      </c>
      <c r="AU939" s="31" t="str">
        <f t="shared" si="18"/>
        <v>库存为12</v>
      </c>
      <c r="AV939" s="36" t="str">
        <f>IFERROR(时间!$B$4+AU939,"上周无销量")</f>
        <v>上周无销量</v>
      </c>
    </row>
    <row r="940" spans="1:48">
      <c r="A940" s="20" t="s">
        <v>2090</v>
      </c>
      <c r="B940" t="s">
        <v>2091</v>
      </c>
      <c r="C940" t="s">
        <v>2075</v>
      </c>
      <c r="D940" s="31">
        <v>1</v>
      </c>
      <c r="E940" s="31">
        <v>0</v>
      </c>
      <c r="F940" s="31">
        <v>0</v>
      </c>
      <c r="G940" s="31">
        <v>0</v>
      </c>
      <c r="H940" s="32">
        <v>13.99</v>
      </c>
      <c r="I940">
        <v>15</v>
      </c>
      <c r="J940" s="33">
        <v>0</v>
      </c>
      <c r="K940" s="33">
        <v>0</v>
      </c>
      <c r="L940" s="33">
        <v>0</v>
      </c>
      <c r="M940">
        <v>15</v>
      </c>
      <c r="N940">
        <v>0</v>
      </c>
      <c r="O940">
        <v>15</v>
      </c>
      <c r="P940" t="s">
        <v>53</v>
      </c>
      <c r="Q940" t="s">
        <v>53</v>
      </c>
      <c r="R940" t="s">
        <v>53</v>
      </c>
      <c r="S940" t="s">
        <v>53</v>
      </c>
      <c r="T940" t="s">
        <v>53</v>
      </c>
      <c r="U940" t="s">
        <v>53</v>
      </c>
      <c r="V940" t="s">
        <v>53</v>
      </c>
      <c r="W940" t="s">
        <v>53</v>
      </c>
      <c r="X940" s="22" t="s">
        <v>53</v>
      </c>
      <c r="Y940" s="22" t="s">
        <v>53</v>
      </c>
      <c r="Z940" s="22" t="s">
        <v>53</v>
      </c>
      <c r="AA940" s="22" t="s">
        <v>53</v>
      </c>
      <c r="AB940" t="s">
        <v>53</v>
      </c>
      <c r="AC940" t="s">
        <v>53</v>
      </c>
      <c r="AD940" t="s">
        <v>53</v>
      </c>
      <c r="AE940" t="s">
        <v>53</v>
      </c>
      <c r="AF940" s="22" t="s">
        <v>53</v>
      </c>
      <c r="AG940" s="22" t="s">
        <v>53</v>
      </c>
      <c r="AH940" s="22" t="s">
        <v>53</v>
      </c>
      <c r="AI940" s="22" t="s">
        <v>53</v>
      </c>
      <c r="AJ940">
        <v>3</v>
      </c>
      <c r="AK940">
        <v>3</v>
      </c>
      <c r="AL940">
        <v>3</v>
      </c>
      <c r="AM940">
        <v>2</v>
      </c>
      <c r="AN940" s="22">
        <v>0.333333333333333</v>
      </c>
      <c r="AO940" s="22">
        <v>0</v>
      </c>
      <c r="AP940" s="22">
        <v>0</v>
      </c>
      <c r="AQ940" s="22">
        <v>0</v>
      </c>
      <c r="AR940" s="35">
        <v>0.142857142857143</v>
      </c>
      <c r="AS940" s="35">
        <v>8.57142857142857</v>
      </c>
      <c r="AT940" s="35">
        <v>6.42857142857143</v>
      </c>
      <c r="AU940" s="31">
        <f t="shared" si="18"/>
        <v>105</v>
      </c>
      <c r="AV940" s="36">
        <f>IFERROR(时间!$B$4+AU940,"上周无销量")</f>
        <v>43423</v>
      </c>
    </row>
    <row r="941" spans="1:48">
      <c r="A941" s="20" t="s">
        <v>2092</v>
      </c>
      <c r="B941" t="s">
        <v>2093</v>
      </c>
      <c r="C941" t="s">
        <v>2075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37</v>
      </c>
      <c r="J941" s="33">
        <v>0</v>
      </c>
      <c r="K941" s="33">
        <v>0</v>
      </c>
      <c r="L941" s="33">
        <v>0</v>
      </c>
      <c r="M941">
        <v>37</v>
      </c>
      <c r="N941">
        <v>0</v>
      </c>
      <c r="O941">
        <v>37</v>
      </c>
      <c r="P941">
        <v>79</v>
      </c>
      <c r="Q941">
        <v>135</v>
      </c>
      <c r="R941">
        <v>38</v>
      </c>
      <c r="S941">
        <v>0</v>
      </c>
      <c r="T941">
        <v>2</v>
      </c>
      <c r="U941">
        <v>5</v>
      </c>
      <c r="V941">
        <v>0</v>
      </c>
      <c r="W941">
        <v>0</v>
      </c>
      <c r="X941" s="22">
        <v>0.0253164556962025</v>
      </c>
      <c r="Y941" s="22">
        <v>0.037037037037037</v>
      </c>
      <c r="Z941" s="22">
        <v>0</v>
      </c>
      <c r="AA941" s="22" t="s">
        <v>53</v>
      </c>
      <c r="AB941">
        <v>0.63</v>
      </c>
      <c r="AC941">
        <v>1.5</v>
      </c>
      <c r="AD941">
        <v>0</v>
      </c>
      <c r="AE941">
        <v>0</v>
      </c>
      <c r="AF941" s="22" t="s">
        <v>1161</v>
      </c>
      <c r="AG941" s="22" t="s">
        <v>2094</v>
      </c>
      <c r="AH941" s="22" t="s">
        <v>53</v>
      </c>
      <c r="AI941" s="22" t="s">
        <v>53</v>
      </c>
      <c r="AJ941">
        <v>2</v>
      </c>
      <c r="AK941">
        <v>9</v>
      </c>
      <c r="AL941">
        <v>1</v>
      </c>
      <c r="AM941">
        <v>2</v>
      </c>
      <c r="AN941" s="22">
        <v>0</v>
      </c>
      <c r="AO941" s="22">
        <v>0</v>
      </c>
      <c r="AP941" s="22">
        <v>0</v>
      </c>
      <c r="AQ941" s="22">
        <v>0</v>
      </c>
      <c r="AR941" s="35">
        <v>0</v>
      </c>
      <c r="AS941" s="35">
        <v>0</v>
      </c>
      <c r="AT941" s="35">
        <v>37</v>
      </c>
      <c r="AU941" s="31" t="str">
        <f t="shared" si="18"/>
        <v>库存为37</v>
      </c>
      <c r="AV941" s="36" t="str">
        <f>IFERROR(时间!$B$4+AU941,"上周无销量")</f>
        <v>上周无销量</v>
      </c>
    </row>
    <row r="942" spans="1:48">
      <c r="A942" s="20" t="s">
        <v>2095</v>
      </c>
      <c r="B942" t="s">
        <v>2096</v>
      </c>
      <c r="C942" t="s">
        <v>2075</v>
      </c>
      <c r="D942" s="31">
        <v>1</v>
      </c>
      <c r="E942" s="31">
        <v>0</v>
      </c>
      <c r="F942" s="31">
        <v>1</v>
      </c>
      <c r="G942" s="31">
        <v>2</v>
      </c>
      <c r="H942" s="32">
        <v>17.49</v>
      </c>
      <c r="I942">
        <v>25</v>
      </c>
      <c r="J942" s="33">
        <v>0</v>
      </c>
      <c r="K942" s="33">
        <v>0</v>
      </c>
      <c r="L942" s="33">
        <v>0</v>
      </c>
      <c r="M942">
        <v>25</v>
      </c>
      <c r="N942">
        <v>0</v>
      </c>
      <c r="O942">
        <v>27</v>
      </c>
      <c r="P942">
        <v>6082</v>
      </c>
      <c r="Q942">
        <v>2885</v>
      </c>
      <c r="R942">
        <v>0</v>
      </c>
      <c r="S942">
        <v>0</v>
      </c>
      <c r="T942">
        <v>67</v>
      </c>
      <c r="U942">
        <v>31</v>
      </c>
      <c r="V942">
        <v>0</v>
      </c>
      <c r="W942">
        <v>0</v>
      </c>
      <c r="X942" s="22">
        <v>0.011016113120684</v>
      </c>
      <c r="Y942" s="22">
        <v>0.0107452339688042</v>
      </c>
      <c r="Z942" s="22" t="s">
        <v>53</v>
      </c>
      <c r="AA942" s="22" t="s">
        <v>53</v>
      </c>
      <c r="AB942">
        <v>32.92</v>
      </c>
      <c r="AC942">
        <v>12.72</v>
      </c>
      <c r="AD942">
        <v>0</v>
      </c>
      <c r="AE942">
        <v>0</v>
      </c>
      <c r="AF942" s="22">
        <v>1.8822184105203</v>
      </c>
      <c r="AG942" s="22" t="s">
        <v>2097</v>
      </c>
      <c r="AH942" s="22" t="s">
        <v>53</v>
      </c>
      <c r="AI942" s="22" t="s">
        <v>53</v>
      </c>
      <c r="AJ942">
        <v>80</v>
      </c>
      <c r="AK942">
        <v>56</v>
      </c>
      <c r="AL942">
        <v>63</v>
      </c>
      <c r="AM942">
        <v>78</v>
      </c>
      <c r="AN942" s="22">
        <v>0.0125</v>
      </c>
      <c r="AO942" s="22">
        <v>0</v>
      </c>
      <c r="AP942" s="22">
        <v>0.0158730158730159</v>
      </c>
      <c r="AQ942" s="22">
        <v>0.0256410256410256</v>
      </c>
      <c r="AR942" s="35">
        <v>0.142857142857143</v>
      </c>
      <c r="AS942" s="35">
        <v>8.57142857142857</v>
      </c>
      <c r="AT942" s="35">
        <v>16.4285714285714</v>
      </c>
      <c r="AU942" s="31">
        <f t="shared" si="18"/>
        <v>175</v>
      </c>
      <c r="AV942" s="36">
        <f>IFERROR(时间!$B$4+AU942,"上周无销量")</f>
        <v>43493</v>
      </c>
    </row>
    <row r="943" spans="1:48">
      <c r="A943" s="20" t="s">
        <v>2098</v>
      </c>
      <c r="B943" t="s">
        <v>2099</v>
      </c>
      <c r="C943" t="s">
        <v>2075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0</v>
      </c>
      <c r="J943" s="33">
        <v>0</v>
      </c>
      <c r="K943" s="33">
        <v>0</v>
      </c>
      <c r="L943" s="33">
        <v>0</v>
      </c>
      <c r="M943">
        <v>0</v>
      </c>
      <c r="N943">
        <v>0</v>
      </c>
      <c r="O943">
        <v>0</v>
      </c>
      <c r="P943" t="s">
        <v>53</v>
      </c>
      <c r="Q943" t="s">
        <v>53</v>
      </c>
      <c r="R943" t="s">
        <v>53</v>
      </c>
      <c r="S943" t="s">
        <v>53</v>
      </c>
      <c r="T943" t="s">
        <v>53</v>
      </c>
      <c r="U943" t="s">
        <v>53</v>
      </c>
      <c r="V943" t="s">
        <v>53</v>
      </c>
      <c r="W943" t="s">
        <v>53</v>
      </c>
      <c r="X943" s="22" t="s">
        <v>53</v>
      </c>
      <c r="Y943" s="22" t="s">
        <v>53</v>
      </c>
      <c r="Z943" s="22" t="s">
        <v>53</v>
      </c>
      <c r="AA943" s="22" t="s">
        <v>53</v>
      </c>
      <c r="AB943" t="s">
        <v>53</v>
      </c>
      <c r="AC943" t="s">
        <v>53</v>
      </c>
      <c r="AD943" t="s">
        <v>53</v>
      </c>
      <c r="AE943" t="s">
        <v>53</v>
      </c>
      <c r="AF943" s="22" t="s">
        <v>53</v>
      </c>
      <c r="AG943" s="22" t="s">
        <v>53</v>
      </c>
      <c r="AH943" s="22" t="s">
        <v>53</v>
      </c>
      <c r="AI943" s="22" t="s">
        <v>53</v>
      </c>
      <c r="AJ943">
        <v>0</v>
      </c>
      <c r="AK943">
        <v>0</v>
      </c>
      <c r="AL943">
        <v>0</v>
      </c>
      <c r="AM943">
        <v>0</v>
      </c>
      <c r="AN943" s="22" t="s">
        <v>53</v>
      </c>
      <c r="AO943" s="22" t="s">
        <v>53</v>
      </c>
      <c r="AP943" s="22" t="s">
        <v>53</v>
      </c>
      <c r="AQ943" s="22" t="s">
        <v>53</v>
      </c>
      <c r="AR943" s="35">
        <v>0</v>
      </c>
      <c r="AS943" s="35">
        <v>0</v>
      </c>
      <c r="AT943" s="35">
        <v>0</v>
      </c>
      <c r="AU943" s="31" t="str">
        <f t="shared" si="18"/>
        <v>库存为0</v>
      </c>
      <c r="AV943" s="36" t="str">
        <f>IFERROR(时间!$B$4+AU943,"上周无销量")</f>
        <v>上周无销量</v>
      </c>
    </row>
    <row r="944" spans="1:48">
      <c r="A944" s="20" t="s">
        <v>2100</v>
      </c>
      <c r="B944" t="s">
        <v>2101</v>
      </c>
      <c r="C944" t="s">
        <v>2075</v>
      </c>
      <c r="D944" s="31">
        <v>2</v>
      </c>
      <c r="E944" s="31">
        <v>0</v>
      </c>
      <c r="F944" s="31">
        <v>1</v>
      </c>
      <c r="G944" s="31">
        <v>5</v>
      </c>
      <c r="H944" s="32">
        <v>19.99</v>
      </c>
      <c r="I944">
        <v>0</v>
      </c>
      <c r="J944" s="33">
        <v>0</v>
      </c>
      <c r="K944" s="33">
        <v>0</v>
      </c>
      <c r="L944" s="33">
        <v>0</v>
      </c>
      <c r="M944">
        <v>0</v>
      </c>
      <c r="N944">
        <v>0</v>
      </c>
      <c r="O944">
        <v>0</v>
      </c>
      <c r="P944" t="s">
        <v>53</v>
      </c>
      <c r="Q944" t="s">
        <v>53</v>
      </c>
      <c r="R944" t="s">
        <v>53</v>
      </c>
      <c r="S944" t="s">
        <v>53</v>
      </c>
      <c r="T944" t="s">
        <v>53</v>
      </c>
      <c r="U944" t="s">
        <v>53</v>
      </c>
      <c r="V944" t="s">
        <v>53</v>
      </c>
      <c r="W944" t="s">
        <v>53</v>
      </c>
      <c r="X944" s="22" t="s">
        <v>53</v>
      </c>
      <c r="Y944" s="22" t="s">
        <v>53</v>
      </c>
      <c r="Z944" s="22" t="s">
        <v>53</v>
      </c>
      <c r="AA944" s="22" t="s">
        <v>53</v>
      </c>
      <c r="AB944" t="s">
        <v>53</v>
      </c>
      <c r="AC944" t="s">
        <v>53</v>
      </c>
      <c r="AD944" t="s">
        <v>53</v>
      </c>
      <c r="AE944" t="s">
        <v>53</v>
      </c>
      <c r="AF944" s="22" t="s">
        <v>53</v>
      </c>
      <c r="AG944" s="22" t="s">
        <v>53</v>
      </c>
      <c r="AH944" s="22" t="s">
        <v>53</v>
      </c>
      <c r="AI944" s="22" t="s">
        <v>53</v>
      </c>
      <c r="AJ944">
        <v>42</v>
      </c>
      <c r="AK944">
        <v>13</v>
      </c>
      <c r="AL944">
        <v>10</v>
      </c>
      <c r="AM944">
        <v>76</v>
      </c>
      <c r="AN944" s="22">
        <v>0.0476190476190476</v>
      </c>
      <c r="AO944" s="22">
        <v>0</v>
      </c>
      <c r="AP944" s="22">
        <v>0.1</v>
      </c>
      <c r="AQ944" s="22">
        <v>0.0657894736842105</v>
      </c>
      <c r="AR944" s="35">
        <v>0.285714285714286</v>
      </c>
      <c r="AS944" s="35">
        <v>17.1428571428571</v>
      </c>
      <c r="AT944" s="35">
        <v>-17.1428571428571</v>
      </c>
      <c r="AU944" s="31">
        <f t="shared" si="18"/>
        <v>0</v>
      </c>
      <c r="AV944" s="36">
        <f>IFERROR(时间!$B$4+AU944,"上周无销量")</f>
        <v>43318</v>
      </c>
    </row>
    <row r="945" spans="1:48">
      <c r="A945" s="20" t="s">
        <v>2102</v>
      </c>
      <c r="B945" t="s">
        <v>2103</v>
      </c>
      <c r="C945" t="s">
        <v>2075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0</v>
      </c>
      <c r="O945">
        <v>0</v>
      </c>
      <c r="P945" t="s">
        <v>53</v>
      </c>
      <c r="Q945" t="s">
        <v>53</v>
      </c>
      <c r="R945" t="s">
        <v>53</v>
      </c>
      <c r="S945" t="s">
        <v>53</v>
      </c>
      <c r="T945" t="s">
        <v>53</v>
      </c>
      <c r="U945" t="s">
        <v>53</v>
      </c>
      <c r="V945" t="s">
        <v>53</v>
      </c>
      <c r="W945" t="s">
        <v>53</v>
      </c>
      <c r="X945" s="22" t="s">
        <v>53</v>
      </c>
      <c r="Y945" s="22" t="s">
        <v>53</v>
      </c>
      <c r="Z945" s="22" t="s">
        <v>53</v>
      </c>
      <c r="AA945" s="22" t="s">
        <v>53</v>
      </c>
      <c r="AB945" t="s">
        <v>53</v>
      </c>
      <c r="AC945" t="s">
        <v>53</v>
      </c>
      <c r="AD945" t="s">
        <v>53</v>
      </c>
      <c r="AE945" t="s">
        <v>53</v>
      </c>
      <c r="AF945" s="22" t="s">
        <v>53</v>
      </c>
      <c r="AG945" s="22" t="s">
        <v>53</v>
      </c>
      <c r="AH945" s="22" t="s">
        <v>53</v>
      </c>
      <c r="AI945" s="22" t="s">
        <v>53</v>
      </c>
      <c r="AJ945">
        <v>0</v>
      </c>
      <c r="AK945">
        <v>0</v>
      </c>
      <c r="AL945">
        <v>0</v>
      </c>
      <c r="AM945">
        <v>0</v>
      </c>
      <c r="AN945" s="22" t="s">
        <v>53</v>
      </c>
      <c r="AO945" s="22" t="s">
        <v>53</v>
      </c>
      <c r="AP945" s="22" t="s">
        <v>53</v>
      </c>
      <c r="AQ945" s="22" t="s">
        <v>53</v>
      </c>
      <c r="AR945" s="35">
        <v>0</v>
      </c>
      <c r="AS945" s="35">
        <v>0</v>
      </c>
      <c r="AT945" s="35">
        <v>0</v>
      </c>
      <c r="AU945" s="31" t="str">
        <f t="shared" si="18"/>
        <v>库存为0</v>
      </c>
      <c r="AV945" s="36" t="str">
        <f>IFERROR(时间!$B$4+AU945,"上周无销量")</f>
        <v>上周无销量</v>
      </c>
    </row>
    <row r="946" spans="1:48">
      <c r="A946" s="20" t="s">
        <v>2104</v>
      </c>
      <c r="B946" t="s">
        <v>2105</v>
      </c>
      <c r="C946" t="s">
        <v>2075</v>
      </c>
      <c r="D946" s="31">
        <v>0</v>
      </c>
      <c r="E946" s="31">
        <v>0</v>
      </c>
      <c r="F946" s="31">
        <v>0</v>
      </c>
      <c r="G946" s="31">
        <v>0</v>
      </c>
      <c r="H946" s="32">
        <v>0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53</v>
      </c>
      <c r="Q946" t="s">
        <v>53</v>
      </c>
      <c r="R946" t="s">
        <v>53</v>
      </c>
      <c r="S946" t="s">
        <v>53</v>
      </c>
      <c r="T946" t="s">
        <v>53</v>
      </c>
      <c r="U946" t="s">
        <v>53</v>
      </c>
      <c r="V946" t="s">
        <v>53</v>
      </c>
      <c r="W946" t="s">
        <v>53</v>
      </c>
      <c r="X946" s="22" t="s">
        <v>53</v>
      </c>
      <c r="Y946" s="22" t="s">
        <v>53</v>
      </c>
      <c r="Z946" s="22" t="s">
        <v>53</v>
      </c>
      <c r="AA946" s="22" t="s">
        <v>53</v>
      </c>
      <c r="AB946" t="s">
        <v>53</v>
      </c>
      <c r="AC946" t="s">
        <v>53</v>
      </c>
      <c r="AD946" t="s">
        <v>53</v>
      </c>
      <c r="AE946" t="s">
        <v>53</v>
      </c>
      <c r="AF946" s="22" t="s">
        <v>53</v>
      </c>
      <c r="AG946" s="22" t="s">
        <v>53</v>
      </c>
      <c r="AH946" s="22" t="s">
        <v>53</v>
      </c>
      <c r="AI946" s="22" t="s">
        <v>53</v>
      </c>
      <c r="AJ946">
        <v>0</v>
      </c>
      <c r="AK946">
        <v>0</v>
      </c>
      <c r="AL946">
        <v>0</v>
      </c>
      <c r="AM946">
        <v>0</v>
      </c>
      <c r="AN946" s="22" t="s">
        <v>53</v>
      </c>
      <c r="AO946" s="22" t="s">
        <v>53</v>
      </c>
      <c r="AP946" s="22" t="s">
        <v>53</v>
      </c>
      <c r="AQ946" s="22" t="s">
        <v>53</v>
      </c>
      <c r="AR946" s="35">
        <v>0</v>
      </c>
      <c r="AS946" s="35">
        <v>0</v>
      </c>
      <c r="AT946" s="35">
        <v>0</v>
      </c>
      <c r="AU946" s="31" t="str">
        <f t="shared" si="18"/>
        <v>库存为0</v>
      </c>
      <c r="AV946" s="36" t="str">
        <f>IFERROR(时间!$B$4+AU946,"上周无销量")</f>
        <v>上周无销量</v>
      </c>
    </row>
    <row r="947" spans="1:48">
      <c r="A947" s="20" t="s">
        <v>2106</v>
      </c>
      <c r="B947" t="s">
        <v>2107</v>
      </c>
      <c r="C947" t="s">
        <v>2075</v>
      </c>
      <c r="D947" s="31">
        <v>0</v>
      </c>
      <c r="E947" s="31">
        <v>0</v>
      </c>
      <c r="F947" s="31">
        <v>0</v>
      </c>
      <c r="G947" s="31">
        <v>0</v>
      </c>
      <c r="H947" s="32">
        <v>0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 t="s">
        <v>53</v>
      </c>
      <c r="Q947" t="s">
        <v>53</v>
      </c>
      <c r="R947" t="s">
        <v>53</v>
      </c>
      <c r="S947" t="s">
        <v>53</v>
      </c>
      <c r="T947" t="s">
        <v>53</v>
      </c>
      <c r="U947" t="s">
        <v>53</v>
      </c>
      <c r="V947" t="s">
        <v>53</v>
      </c>
      <c r="W947" t="s">
        <v>53</v>
      </c>
      <c r="X947" s="22" t="s">
        <v>53</v>
      </c>
      <c r="Y947" s="22" t="s">
        <v>53</v>
      </c>
      <c r="Z947" s="22" t="s">
        <v>53</v>
      </c>
      <c r="AA947" s="22" t="s">
        <v>53</v>
      </c>
      <c r="AB947" t="s">
        <v>53</v>
      </c>
      <c r="AC947" t="s">
        <v>53</v>
      </c>
      <c r="AD947" t="s">
        <v>53</v>
      </c>
      <c r="AE947" t="s">
        <v>53</v>
      </c>
      <c r="AF947" s="22" t="s">
        <v>53</v>
      </c>
      <c r="AG947" s="22" t="s">
        <v>53</v>
      </c>
      <c r="AH947" s="22" t="s">
        <v>53</v>
      </c>
      <c r="AI947" s="22" t="s">
        <v>53</v>
      </c>
      <c r="AJ947">
        <v>0</v>
      </c>
      <c r="AK947">
        <v>0</v>
      </c>
      <c r="AL947">
        <v>0</v>
      </c>
      <c r="AM947">
        <v>0</v>
      </c>
      <c r="AN947" s="22" t="s">
        <v>53</v>
      </c>
      <c r="AO947" s="22" t="s">
        <v>53</v>
      </c>
      <c r="AP947" s="22" t="s">
        <v>53</v>
      </c>
      <c r="AQ947" s="22" t="s">
        <v>53</v>
      </c>
      <c r="AR947" s="35">
        <v>0</v>
      </c>
      <c r="AS947" s="35">
        <v>0</v>
      </c>
      <c r="AT947" s="35">
        <v>0</v>
      </c>
      <c r="AU947" s="31" t="str">
        <f t="shared" si="18"/>
        <v>库存为0</v>
      </c>
      <c r="AV947" s="36" t="str">
        <f>IFERROR(时间!$B$4+AU947,"上周无销量")</f>
        <v>上周无销量</v>
      </c>
    </row>
    <row r="948" spans="1:48">
      <c r="A948" s="20" t="s">
        <v>2108</v>
      </c>
      <c r="B948" t="s">
        <v>2109</v>
      </c>
      <c r="C948" t="s">
        <v>2075</v>
      </c>
      <c r="D948" s="31">
        <v>0</v>
      </c>
      <c r="E948" s="31">
        <v>0</v>
      </c>
      <c r="F948" s="31">
        <v>0</v>
      </c>
      <c r="G948" s="31">
        <v>1</v>
      </c>
      <c r="H948" s="32">
        <v>19.99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0</v>
      </c>
      <c r="O948">
        <v>0</v>
      </c>
      <c r="P948" t="s">
        <v>53</v>
      </c>
      <c r="Q948" t="s">
        <v>53</v>
      </c>
      <c r="R948" t="s">
        <v>53</v>
      </c>
      <c r="S948" t="s">
        <v>53</v>
      </c>
      <c r="T948" t="s">
        <v>53</v>
      </c>
      <c r="U948" t="s">
        <v>53</v>
      </c>
      <c r="V948" t="s">
        <v>53</v>
      </c>
      <c r="W948" t="s">
        <v>53</v>
      </c>
      <c r="X948" s="22" t="s">
        <v>53</v>
      </c>
      <c r="Y948" s="22" t="s">
        <v>53</v>
      </c>
      <c r="Z948" s="22" t="s">
        <v>53</v>
      </c>
      <c r="AA948" s="22" t="s">
        <v>53</v>
      </c>
      <c r="AB948" t="s">
        <v>53</v>
      </c>
      <c r="AC948" t="s">
        <v>53</v>
      </c>
      <c r="AD948" t="s">
        <v>53</v>
      </c>
      <c r="AE948" t="s">
        <v>53</v>
      </c>
      <c r="AF948" s="22" t="s">
        <v>53</v>
      </c>
      <c r="AG948" s="22" t="s">
        <v>53</v>
      </c>
      <c r="AH948" s="22" t="s">
        <v>53</v>
      </c>
      <c r="AI948" s="22" t="s">
        <v>53</v>
      </c>
      <c r="AJ948">
        <v>0</v>
      </c>
      <c r="AK948">
        <v>0</v>
      </c>
      <c r="AL948">
        <v>0</v>
      </c>
      <c r="AM948">
        <v>4</v>
      </c>
      <c r="AN948" s="22" t="s">
        <v>53</v>
      </c>
      <c r="AO948" s="22" t="s">
        <v>53</v>
      </c>
      <c r="AP948" s="22" t="s">
        <v>53</v>
      </c>
      <c r="AQ948" s="22">
        <v>0.25</v>
      </c>
      <c r="AR948" s="35">
        <v>0</v>
      </c>
      <c r="AS948" s="35">
        <v>0</v>
      </c>
      <c r="AT948" s="35">
        <v>0</v>
      </c>
      <c r="AU948" s="31" t="str">
        <f t="shared" si="18"/>
        <v>库存为0</v>
      </c>
      <c r="AV948" s="36" t="str">
        <f>IFERROR(时间!$B$4+AU948,"上周无销量")</f>
        <v>上周无销量</v>
      </c>
    </row>
    <row r="949" spans="1:48">
      <c r="A949" s="20" t="s">
        <v>2110</v>
      </c>
      <c r="B949" t="s">
        <v>2111</v>
      </c>
      <c r="C949" t="s">
        <v>2075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5</v>
      </c>
      <c r="J949" s="33">
        <v>0</v>
      </c>
      <c r="K949" s="33">
        <v>0</v>
      </c>
      <c r="L949" s="33">
        <v>0</v>
      </c>
      <c r="M949">
        <v>5</v>
      </c>
      <c r="N949">
        <v>0</v>
      </c>
      <c r="O949">
        <v>6</v>
      </c>
      <c r="P949" t="s">
        <v>53</v>
      </c>
      <c r="Q949" t="s">
        <v>53</v>
      </c>
      <c r="R949" t="s">
        <v>53</v>
      </c>
      <c r="S949" t="s">
        <v>53</v>
      </c>
      <c r="T949" t="s">
        <v>53</v>
      </c>
      <c r="U949" t="s">
        <v>53</v>
      </c>
      <c r="V949" t="s">
        <v>53</v>
      </c>
      <c r="W949" t="s">
        <v>53</v>
      </c>
      <c r="X949" s="22" t="s">
        <v>53</v>
      </c>
      <c r="Y949" s="22" t="s">
        <v>53</v>
      </c>
      <c r="Z949" s="22" t="s">
        <v>53</v>
      </c>
      <c r="AA949" s="22" t="s">
        <v>53</v>
      </c>
      <c r="AB949" t="s">
        <v>53</v>
      </c>
      <c r="AC949" t="s">
        <v>53</v>
      </c>
      <c r="AD949" t="s">
        <v>53</v>
      </c>
      <c r="AE949" t="s">
        <v>53</v>
      </c>
      <c r="AF949" s="22" t="s">
        <v>53</v>
      </c>
      <c r="AG949" s="22" t="s">
        <v>53</v>
      </c>
      <c r="AH949" s="22" t="s">
        <v>53</v>
      </c>
      <c r="AI949" s="22" t="s">
        <v>53</v>
      </c>
      <c r="AJ949">
        <v>6</v>
      </c>
      <c r="AK949">
        <v>9</v>
      </c>
      <c r="AL949">
        <v>1</v>
      </c>
      <c r="AM949">
        <v>2</v>
      </c>
      <c r="AN949" s="22">
        <v>0</v>
      </c>
      <c r="AO949" s="22">
        <v>0</v>
      </c>
      <c r="AP949" s="22">
        <v>0</v>
      </c>
      <c r="AQ949" s="22">
        <v>0</v>
      </c>
      <c r="AR949" s="35">
        <v>0</v>
      </c>
      <c r="AS949" s="35">
        <v>0</v>
      </c>
      <c r="AT949" s="35">
        <v>5</v>
      </c>
      <c r="AU949" s="31" t="str">
        <f t="shared" si="18"/>
        <v>库存为5</v>
      </c>
      <c r="AV949" s="36" t="str">
        <f>IFERROR(时间!$B$4+AU949,"上周无销量")</f>
        <v>上周无销量</v>
      </c>
    </row>
    <row r="950" spans="1:48">
      <c r="A950" s="20" t="s">
        <v>2112</v>
      </c>
      <c r="B950" t="s">
        <v>2113</v>
      </c>
      <c r="C950" t="s">
        <v>2075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8</v>
      </c>
      <c r="J950" s="33">
        <v>0</v>
      </c>
      <c r="K950" s="33">
        <v>0</v>
      </c>
      <c r="L950" s="33">
        <v>0</v>
      </c>
      <c r="M950">
        <v>8</v>
      </c>
      <c r="N950">
        <v>0</v>
      </c>
      <c r="O950">
        <v>8</v>
      </c>
      <c r="P950">
        <v>173</v>
      </c>
      <c r="Q950">
        <v>373</v>
      </c>
      <c r="R950">
        <v>111</v>
      </c>
      <c r="S950">
        <v>0</v>
      </c>
      <c r="T950">
        <v>2</v>
      </c>
      <c r="U950">
        <v>4</v>
      </c>
      <c r="V950">
        <v>0</v>
      </c>
      <c r="W950">
        <v>0</v>
      </c>
      <c r="X950" s="22">
        <v>0.0115606936416185</v>
      </c>
      <c r="Y950" s="22">
        <v>0.0107238605898123</v>
      </c>
      <c r="Z950" s="22">
        <v>0</v>
      </c>
      <c r="AA950" s="22" t="s">
        <v>53</v>
      </c>
      <c r="AB950">
        <v>0.26</v>
      </c>
      <c r="AC950">
        <v>1.04</v>
      </c>
      <c r="AD950">
        <v>0</v>
      </c>
      <c r="AE950">
        <v>0</v>
      </c>
      <c r="AF950" s="22" t="s">
        <v>2114</v>
      </c>
      <c r="AG950" s="22" t="s">
        <v>2115</v>
      </c>
      <c r="AH950" s="22" t="s">
        <v>53</v>
      </c>
      <c r="AI950" s="22" t="s">
        <v>53</v>
      </c>
      <c r="AJ950">
        <v>4</v>
      </c>
      <c r="AK950">
        <v>7</v>
      </c>
      <c r="AL950">
        <v>1</v>
      </c>
      <c r="AM950">
        <v>3</v>
      </c>
      <c r="AN950" s="22">
        <v>0</v>
      </c>
      <c r="AO950" s="22">
        <v>0</v>
      </c>
      <c r="AP950" s="22">
        <v>0</v>
      </c>
      <c r="AQ950" s="22">
        <v>0</v>
      </c>
      <c r="AR950" s="35">
        <v>0</v>
      </c>
      <c r="AS950" s="35">
        <v>0</v>
      </c>
      <c r="AT950" s="35">
        <v>8</v>
      </c>
      <c r="AU950" s="31" t="str">
        <f t="shared" si="18"/>
        <v>库存为8</v>
      </c>
      <c r="AV950" s="36" t="str">
        <f>IFERROR(时间!$B$4+AU950,"上周无销量")</f>
        <v>上周无销量</v>
      </c>
    </row>
    <row r="951" spans="1:48">
      <c r="A951" s="20" t="s">
        <v>2116</v>
      </c>
      <c r="B951" t="s">
        <v>2117</v>
      </c>
      <c r="C951" t="s">
        <v>2118</v>
      </c>
      <c r="D951" s="31">
        <v>0</v>
      </c>
      <c r="E951" s="31">
        <v>0</v>
      </c>
      <c r="F951" s="31">
        <v>0</v>
      </c>
      <c r="G951" s="31">
        <v>1</v>
      </c>
      <c r="H951" s="32">
        <v>24.49</v>
      </c>
      <c r="I951">
        <v>13</v>
      </c>
      <c r="J951" s="33">
        <v>0</v>
      </c>
      <c r="K951" s="33">
        <v>0</v>
      </c>
      <c r="L951" s="33">
        <v>0</v>
      </c>
      <c r="M951">
        <v>13</v>
      </c>
      <c r="N951">
        <v>0</v>
      </c>
      <c r="O951">
        <v>0</v>
      </c>
      <c r="P951" t="s">
        <v>53</v>
      </c>
      <c r="Q951" t="s">
        <v>53</v>
      </c>
      <c r="R951" t="s">
        <v>53</v>
      </c>
      <c r="S951" t="s">
        <v>53</v>
      </c>
      <c r="T951" t="s">
        <v>53</v>
      </c>
      <c r="U951" t="s">
        <v>53</v>
      </c>
      <c r="V951" t="s">
        <v>53</v>
      </c>
      <c r="W951" t="s">
        <v>53</v>
      </c>
      <c r="X951" s="22" t="s">
        <v>53</v>
      </c>
      <c r="Y951" s="22" t="s">
        <v>53</v>
      </c>
      <c r="Z951" s="22" t="s">
        <v>53</v>
      </c>
      <c r="AA951" s="22" t="s">
        <v>53</v>
      </c>
      <c r="AB951" t="s">
        <v>53</v>
      </c>
      <c r="AC951" t="s">
        <v>53</v>
      </c>
      <c r="AD951" t="s">
        <v>53</v>
      </c>
      <c r="AE951" t="s">
        <v>53</v>
      </c>
      <c r="AF951" s="22" t="s">
        <v>53</v>
      </c>
      <c r="AG951" s="22" t="s">
        <v>53</v>
      </c>
      <c r="AH951" s="22" t="s">
        <v>53</v>
      </c>
      <c r="AI951" s="22" t="s">
        <v>53</v>
      </c>
      <c r="AJ951">
        <v>49</v>
      </c>
      <c r="AK951">
        <v>44</v>
      </c>
      <c r="AL951">
        <v>45</v>
      </c>
      <c r="AM951">
        <v>46</v>
      </c>
      <c r="AN951" s="22">
        <v>0</v>
      </c>
      <c r="AO951" s="22">
        <v>0</v>
      </c>
      <c r="AP951" s="22">
        <v>0</v>
      </c>
      <c r="AQ951" s="22">
        <v>0.0217391304347826</v>
      </c>
      <c r="AR951" s="35">
        <v>0</v>
      </c>
      <c r="AS951" s="35">
        <v>0</v>
      </c>
      <c r="AT951" s="35">
        <v>13</v>
      </c>
      <c r="AU951" s="31" t="str">
        <f t="shared" si="18"/>
        <v>库存为13</v>
      </c>
      <c r="AV951" s="36" t="str">
        <f>IFERROR(时间!$B$4+AU951,"上周无销量")</f>
        <v>上周无销量</v>
      </c>
    </row>
    <row r="952" spans="1:48">
      <c r="A952" s="20" t="s">
        <v>2119</v>
      </c>
      <c r="B952" t="s">
        <v>2120</v>
      </c>
      <c r="C952" t="s">
        <v>2118</v>
      </c>
      <c r="D952" s="31">
        <v>0</v>
      </c>
      <c r="E952" s="31">
        <v>2</v>
      </c>
      <c r="F952" s="31">
        <v>0</v>
      </c>
      <c r="G952" s="31">
        <v>0</v>
      </c>
      <c r="H952" s="32">
        <v>9.9</v>
      </c>
      <c r="I952">
        <v>24</v>
      </c>
      <c r="J952" s="33">
        <v>0</v>
      </c>
      <c r="K952" s="33">
        <v>0</v>
      </c>
      <c r="L952" s="33">
        <v>0</v>
      </c>
      <c r="M952">
        <v>24</v>
      </c>
      <c r="N952">
        <v>0</v>
      </c>
      <c r="O952">
        <v>0</v>
      </c>
      <c r="P952" t="s">
        <v>53</v>
      </c>
      <c r="Q952" t="s">
        <v>53</v>
      </c>
      <c r="R952" t="s">
        <v>53</v>
      </c>
      <c r="S952" t="s">
        <v>53</v>
      </c>
      <c r="T952" t="s">
        <v>53</v>
      </c>
      <c r="U952" t="s">
        <v>53</v>
      </c>
      <c r="V952" t="s">
        <v>53</v>
      </c>
      <c r="W952" t="s">
        <v>53</v>
      </c>
      <c r="X952" s="22" t="s">
        <v>53</v>
      </c>
      <c r="Y952" s="22" t="s">
        <v>53</v>
      </c>
      <c r="Z952" s="22" t="s">
        <v>53</v>
      </c>
      <c r="AA952" s="22" t="s">
        <v>53</v>
      </c>
      <c r="AB952" t="s">
        <v>53</v>
      </c>
      <c r="AC952" t="s">
        <v>53</v>
      </c>
      <c r="AD952" t="s">
        <v>53</v>
      </c>
      <c r="AE952" t="s">
        <v>53</v>
      </c>
      <c r="AF952" s="22" t="s">
        <v>53</v>
      </c>
      <c r="AG952" s="22" t="s">
        <v>53</v>
      </c>
      <c r="AH952" s="22" t="s">
        <v>53</v>
      </c>
      <c r="AI952" s="22" t="s">
        <v>53</v>
      </c>
      <c r="AJ952">
        <v>35</v>
      </c>
      <c r="AK952">
        <v>46</v>
      </c>
      <c r="AL952">
        <v>45</v>
      </c>
      <c r="AM952">
        <v>30</v>
      </c>
      <c r="AN952" s="22">
        <v>0</v>
      </c>
      <c r="AO952" s="22">
        <v>0.0434782608695652</v>
      </c>
      <c r="AP952" s="22">
        <v>0</v>
      </c>
      <c r="AQ952" s="22">
        <v>0</v>
      </c>
      <c r="AR952" s="35">
        <v>0</v>
      </c>
      <c r="AS952" s="35">
        <v>0</v>
      </c>
      <c r="AT952" s="35">
        <v>24</v>
      </c>
      <c r="AU952" s="31" t="str">
        <f t="shared" si="18"/>
        <v>库存为24</v>
      </c>
      <c r="AV952" s="36" t="str">
        <f>IFERROR(时间!$B$4+AU952,"上周无销量")</f>
        <v>上周无销量</v>
      </c>
    </row>
    <row r="953" spans="1:48">
      <c r="A953" s="20" t="s">
        <v>2121</v>
      </c>
      <c r="B953" t="s">
        <v>2122</v>
      </c>
      <c r="C953" t="s">
        <v>2123</v>
      </c>
      <c r="D953" s="31">
        <v>2</v>
      </c>
      <c r="E953" s="31">
        <v>3</v>
      </c>
      <c r="F953" s="31">
        <v>6</v>
      </c>
      <c r="G953" s="31">
        <v>4</v>
      </c>
      <c r="H953" s="32">
        <v>9.9</v>
      </c>
      <c r="I953">
        <v>16</v>
      </c>
      <c r="J953" s="33">
        <v>0</v>
      </c>
      <c r="K953" s="33">
        <v>0</v>
      </c>
      <c r="L953" s="33">
        <v>2</v>
      </c>
      <c r="M953">
        <v>18</v>
      </c>
      <c r="N953">
        <v>1</v>
      </c>
      <c r="O953">
        <v>0</v>
      </c>
      <c r="P953">
        <v>116</v>
      </c>
      <c r="Q953">
        <v>150</v>
      </c>
      <c r="R953">
        <v>0</v>
      </c>
      <c r="S953">
        <v>0</v>
      </c>
      <c r="T953">
        <v>0</v>
      </c>
      <c r="U953">
        <v>3</v>
      </c>
      <c r="V953">
        <v>0</v>
      </c>
      <c r="W953">
        <v>0</v>
      </c>
      <c r="X953" s="22">
        <v>0</v>
      </c>
      <c r="Y953" s="22">
        <v>0.02</v>
      </c>
      <c r="Z953" s="22" t="s">
        <v>53</v>
      </c>
      <c r="AA953" s="22" t="s">
        <v>53</v>
      </c>
      <c r="AB953">
        <v>0</v>
      </c>
      <c r="AC953">
        <v>0.45</v>
      </c>
      <c r="AD953">
        <v>0</v>
      </c>
      <c r="AE953">
        <v>0</v>
      </c>
      <c r="AF953" s="22" t="s">
        <v>53</v>
      </c>
      <c r="AG953" s="22">
        <v>0.0151515151515152</v>
      </c>
      <c r="AH953" s="22" t="s">
        <v>53</v>
      </c>
      <c r="AI953" s="22" t="s">
        <v>53</v>
      </c>
      <c r="AJ953">
        <v>62</v>
      </c>
      <c r="AK953">
        <v>56</v>
      </c>
      <c r="AL953">
        <v>64</v>
      </c>
      <c r="AM953">
        <v>35</v>
      </c>
      <c r="AN953" s="22">
        <v>0.032258064516129</v>
      </c>
      <c r="AO953" s="22">
        <v>0.0535714285714286</v>
      </c>
      <c r="AP953" s="22">
        <v>0.09375</v>
      </c>
      <c r="AQ953" s="22">
        <v>0.114285714285714</v>
      </c>
      <c r="AR953" s="35">
        <v>0.285714285714286</v>
      </c>
      <c r="AS953" s="35">
        <v>17.1428571428571</v>
      </c>
      <c r="AT953" s="35">
        <v>0.857142857142858</v>
      </c>
      <c r="AU953" s="31">
        <f t="shared" si="18"/>
        <v>63</v>
      </c>
      <c r="AV953" s="36">
        <f>IFERROR(时间!$B$4+AU953,"上周无销量")</f>
        <v>43381</v>
      </c>
    </row>
    <row r="954" spans="1:48">
      <c r="A954" s="20" t="s">
        <v>2124</v>
      </c>
      <c r="B954" t="s">
        <v>2125</v>
      </c>
      <c r="C954" t="s">
        <v>2126</v>
      </c>
      <c r="D954" s="31">
        <v>4</v>
      </c>
      <c r="E954" s="31">
        <v>3</v>
      </c>
      <c r="F954" s="31">
        <v>2</v>
      </c>
      <c r="G954" s="31">
        <v>4</v>
      </c>
      <c r="H954" s="32">
        <v>9.9</v>
      </c>
      <c r="I954">
        <v>5</v>
      </c>
      <c r="J954" s="33">
        <v>8</v>
      </c>
      <c r="K954" s="33">
        <v>0</v>
      </c>
      <c r="L954" s="33">
        <v>0</v>
      </c>
      <c r="M954">
        <v>13</v>
      </c>
      <c r="N954">
        <v>0</v>
      </c>
      <c r="O954">
        <v>0</v>
      </c>
      <c r="P954" t="s">
        <v>53</v>
      </c>
      <c r="Q954" t="s">
        <v>53</v>
      </c>
      <c r="R954" t="s">
        <v>53</v>
      </c>
      <c r="S954" t="s">
        <v>53</v>
      </c>
      <c r="T954" t="s">
        <v>53</v>
      </c>
      <c r="U954" t="s">
        <v>53</v>
      </c>
      <c r="V954" t="s">
        <v>53</v>
      </c>
      <c r="W954" t="s">
        <v>53</v>
      </c>
      <c r="X954" s="22" t="s">
        <v>53</v>
      </c>
      <c r="Y954" s="22" t="s">
        <v>53</v>
      </c>
      <c r="Z954" s="22" t="s">
        <v>53</v>
      </c>
      <c r="AA954" s="22" t="s">
        <v>53</v>
      </c>
      <c r="AB954" t="s">
        <v>53</v>
      </c>
      <c r="AC954" t="s">
        <v>53</v>
      </c>
      <c r="AD954" t="s">
        <v>53</v>
      </c>
      <c r="AE954" t="s">
        <v>53</v>
      </c>
      <c r="AF954" s="22" t="s">
        <v>53</v>
      </c>
      <c r="AG954" s="22" t="s">
        <v>53</v>
      </c>
      <c r="AH954" s="22" t="s">
        <v>53</v>
      </c>
      <c r="AI954" s="22" t="s">
        <v>53</v>
      </c>
      <c r="AJ954">
        <v>92</v>
      </c>
      <c r="AK954">
        <v>67</v>
      </c>
      <c r="AL954">
        <v>94</v>
      </c>
      <c r="AM954">
        <v>79</v>
      </c>
      <c r="AN954" s="22">
        <v>0.0434782608695652</v>
      </c>
      <c r="AO954" s="22">
        <v>0.0447761194029851</v>
      </c>
      <c r="AP954" s="22">
        <v>0.0212765957446809</v>
      </c>
      <c r="AQ954" s="22">
        <v>0.0506329113924051</v>
      </c>
      <c r="AR954" s="35">
        <v>0.571428571428571</v>
      </c>
      <c r="AS954" s="35">
        <v>34.2857142857143</v>
      </c>
      <c r="AT954" s="35">
        <v>-21.2857142857143</v>
      </c>
      <c r="AU954" s="31">
        <f t="shared" si="18"/>
        <v>22</v>
      </c>
      <c r="AV954" s="36">
        <f>IFERROR(时间!$B$4+AU954,"上周无销量")</f>
        <v>43340</v>
      </c>
    </row>
    <row r="955" spans="1:48">
      <c r="A955" s="20" t="s">
        <v>2127</v>
      </c>
      <c r="B955" t="s">
        <v>2128</v>
      </c>
      <c r="C955" t="s">
        <v>2126</v>
      </c>
      <c r="D955" s="31">
        <v>0</v>
      </c>
      <c r="E955" s="31">
        <v>0</v>
      </c>
      <c r="F955" s="31">
        <v>2</v>
      </c>
      <c r="G955" s="31">
        <v>0</v>
      </c>
      <c r="H955" s="32">
        <v>9.9</v>
      </c>
      <c r="I955">
        <v>13</v>
      </c>
      <c r="J955" s="33">
        <v>0</v>
      </c>
      <c r="K955" s="33">
        <v>0</v>
      </c>
      <c r="L955" s="33">
        <v>0</v>
      </c>
      <c r="M955">
        <v>13</v>
      </c>
      <c r="N955">
        <v>0</v>
      </c>
      <c r="O955">
        <v>0</v>
      </c>
      <c r="P955">
        <v>0</v>
      </c>
      <c r="Q955">
        <v>11</v>
      </c>
      <c r="R955">
        <v>85</v>
      </c>
      <c r="S955">
        <v>74</v>
      </c>
      <c r="T955">
        <v>0</v>
      </c>
      <c r="U955">
        <v>0</v>
      </c>
      <c r="V955">
        <v>1</v>
      </c>
      <c r="W955">
        <v>0</v>
      </c>
      <c r="X955" s="22" t="s">
        <v>53</v>
      </c>
      <c r="Y955" s="22">
        <v>0</v>
      </c>
      <c r="Z955" s="22">
        <v>0.0117647058823529</v>
      </c>
      <c r="AA955" s="22">
        <v>0</v>
      </c>
      <c r="AB955">
        <v>0</v>
      </c>
      <c r="AC955">
        <v>0</v>
      </c>
      <c r="AD955">
        <v>0.09</v>
      </c>
      <c r="AE955">
        <v>0</v>
      </c>
      <c r="AF955" s="22" t="s">
        <v>53</v>
      </c>
      <c r="AG955" s="22" t="s">
        <v>53</v>
      </c>
      <c r="AH955" s="22">
        <v>0.00454545454545455</v>
      </c>
      <c r="AI955" s="22" t="s">
        <v>53</v>
      </c>
      <c r="AJ955">
        <v>24</v>
      </c>
      <c r="AK955">
        <v>22</v>
      </c>
      <c r="AL955">
        <v>24</v>
      </c>
      <c r="AM955">
        <v>22</v>
      </c>
      <c r="AN955" s="22">
        <v>0</v>
      </c>
      <c r="AO955" s="22">
        <v>0</v>
      </c>
      <c r="AP955" s="22">
        <v>0.0833333333333333</v>
      </c>
      <c r="AQ955" s="22">
        <v>0</v>
      </c>
      <c r="AR955" s="35">
        <v>0</v>
      </c>
      <c r="AS955" s="35">
        <v>0</v>
      </c>
      <c r="AT955" s="35">
        <v>13</v>
      </c>
      <c r="AU955" s="31" t="str">
        <f t="shared" si="18"/>
        <v>库存为13</v>
      </c>
      <c r="AV955" s="36" t="str">
        <f>IFERROR(时间!$B$4+AU955,"上周无销量")</f>
        <v>上周无销量</v>
      </c>
    </row>
    <row r="956" spans="1:48">
      <c r="A956" s="20" t="s">
        <v>2129</v>
      </c>
      <c r="B956" t="s">
        <v>2130</v>
      </c>
      <c r="C956" t="s">
        <v>2131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0</v>
      </c>
      <c r="J956" s="33">
        <v>0</v>
      </c>
      <c r="K956" s="33">
        <v>0</v>
      </c>
      <c r="L956" s="33">
        <v>0</v>
      </c>
      <c r="M956">
        <v>0</v>
      </c>
      <c r="N956">
        <v>4</v>
      </c>
      <c r="O956">
        <v>0</v>
      </c>
      <c r="P956" t="s">
        <v>53</v>
      </c>
      <c r="Q956" t="s">
        <v>53</v>
      </c>
      <c r="R956" t="s">
        <v>53</v>
      </c>
      <c r="S956" t="s">
        <v>53</v>
      </c>
      <c r="T956" t="s">
        <v>53</v>
      </c>
      <c r="U956" t="s">
        <v>53</v>
      </c>
      <c r="V956" t="s">
        <v>53</v>
      </c>
      <c r="W956" t="s">
        <v>53</v>
      </c>
      <c r="X956" s="22" t="s">
        <v>53</v>
      </c>
      <c r="Y956" s="22" t="s">
        <v>53</v>
      </c>
      <c r="Z956" s="22" t="s">
        <v>53</v>
      </c>
      <c r="AA956" s="22" t="s">
        <v>53</v>
      </c>
      <c r="AB956" t="s">
        <v>53</v>
      </c>
      <c r="AC956" t="s">
        <v>53</v>
      </c>
      <c r="AD956" t="s">
        <v>53</v>
      </c>
      <c r="AE956" t="s">
        <v>53</v>
      </c>
      <c r="AF956" s="22" t="s">
        <v>53</v>
      </c>
      <c r="AG956" s="22" t="s">
        <v>53</v>
      </c>
      <c r="AH956" s="22" t="s">
        <v>53</v>
      </c>
      <c r="AI956" s="22" t="s">
        <v>53</v>
      </c>
      <c r="AJ956">
        <v>0</v>
      </c>
      <c r="AK956">
        <v>0</v>
      </c>
      <c r="AL956">
        <v>0</v>
      </c>
      <c r="AM956">
        <v>0</v>
      </c>
      <c r="AN956" s="22" t="s">
        <v>53</v>
      </c>
      <c r="AO956" s="22" t="s">
        <v>53</v>
      </c>
      <c r="AP956" s="22" t="s">
        <v>53</v>
      </c>
      <c r="AQ956" s="22" t="s">
        <v>53</v>
      </c>
      <c r="AR956" s="35">
        <v>0</v>
      </c>
      <c r="AS956" s="35">
        <v>0</v>
      </c>
      <c r="AT956" s="35">
        <v>0</v>
      </c>
      <c r="AU956" s="31" t="str">
        <f t="shared" si="18"/>
        <v>库存为0</v>
      </c>
      <c r="AV956" s="36" t="str">
        <f>IFERROR(时间!$B$4+AU956,"上周无销量")</f>
        <v>上周无销量</v>
      </c>
    </row>
    <row r="957" spans="1:48">
      <c r="A957" s="20" t="s">
        <v>2132</v>
      </c>
      <c r="B957" t="s">
        <v>2133</v>
      </c>
      <c r="C957" t="s">
        <v>2134</v>
      </c>
      <c r="D957" s="31">
        <v>4</v>
      </c>
      <c r="E957" s="31">
        <v>5</v>
      </c>
      <c r="F957" s="31">
        <v>6</v>
      </c>
      <c r="G957" s="31">
        <v>8</v>
      </c>
      <c r="H957" s="32">
        <v>10.9</v>
      </c>
      <c r="I957">
        <v>66</v>
      </c>
      <c r="J957" s="33">
        <v>0</v>
      </c>
      <c r="K957" s="33">
        <v>0</v>
      </c>
      <c r="L957" s="33">
        <v>10</v>
      </c>
      <c r="M957">
        <v>76</v>
      </c>
      <c r="N957">
        <v>1</v>
      </c>
      <c r="O957">
        <v>0</v>
      </c>
      <c r="P957">
        <v>3278</v>
      </c>
      <c r="Q957">
        <v>7350</v>
      </c>
      <c r="R957">
        <v>7386</v>
      </c>
      <c r="S957">
        <v>4695</v>
      </c>
      <c r="T957">
        <v>24</v>
      </c>
      <c r="U957">
        <v>89</v>
      </c>
      <c r="V957">
        <v>66</v>
      </c>
      <c r="W957">
        <v>59</v>
      </c>
      <c r="X957" s="22">
        <v>0.0073215375228798</v>
      </c>
      <c r="Y957" s="22">
        <v>0.012108843537415</v>
      </c>
      <c r="Z957" s="22">
        <v>0.00893582453290008</v>
      </c>
      <c r="AA957" s="22">
        <v>0.012566560170394</v>
      </c>
      <c r="AB957">
        <v>3.15</v>
      </c>
      <c r="AC957">
        <v>14.42</v>
      </c>
      <c r="AD957">
        <v>11.53</v>
      </c>
      <c r="AE957">
        <v>8.36</v>
      </c>
      <c r="AF957" s="22">
        <v>0.0722477064220183</v>
      </c>
      <c r="AG957" s="22">
        <v>0.264587155963303</v>
      </c>
      <c r="AH957" s="22">
        <v>0.176299694189602</v>
      </c>
      <c r="AI957" s="22">
        <v>0.0958715596330275</v>
      </c>
      <c r="AJ957">
        <v>64</v>
      </c>
      <c r="AK957">
        <v>89</v>
      </c>
      <c r="AL957">
        <v>131</v>
      </c>
      <c r="AM957">
        <v>80</v>
      </c>
      <c r="AN957" s="22">
        <v>0.0625</v>
      </c>
      <c r="AO957" s="22">
        <v>0.0561797752808989</v>
      </c>
      <c r="AP957" s="22">
        <v>0.0458015267175573</v>
      </c>
      <c r="AQ957" s="22">
        <v>0.1</v>
      </c>
      <c r="AR957" s="35">
        <v>0.571428571428571</v>
      </c>
      <c r="AS957" s="35">
        <v>34.2857142857143</v>
      </c>
      <c r="AT957" s="35">
        <v>41.7142857142857</v>
      </c>
      <c r="AU957" s="31">
        <f t="shared" si="18"/>
        <v>133</v>
      </c>
      <c r="AV957" s="36">
        <f>IFERROR(时间!$B$4+AU957,"上周无销量")</f>
        <v>43451</v>
      </c>
    </row>
    <row r="958" spans="1:48">
      <c r="A958" s="20" t="s">
        <v>2135</v>
      </c>
      <c r="B958" t="s">
        <v>2136</v>
      </c>
      <c r="C958" t="s">
        <v>2134</v>
      </c>
      <c r="D958" s="31">
        <v>2</v>
      </c>
      <c r="E958" s="31">
        <v>1</v>
      </c>
      <c r="F958" s="31">
        <v>3</v>
      </c>
      <c r="G958" s="31">
        <v>1</v>
      </c>
      <c r="H958" s="32">
        <v>8.99</v>
      </c>
      <c r="I958">
        <v>14</v>
      </c>
      <c r="J958" s="33">
        <v>0</v>
      </c>
      <c r="K958" s="33">
        <v>0</v>
      </c>
      <c r="L958" s="33">
        <v>0</v>
      </c>
      <c r="M958">
        <v>14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 s="22" t="s">
        <v>53</v>
      </c>
      <c r="Y958" s="22" t="s">
        <v>53</v>
      </c>
      <c r="Z958" s="22" t="s">
        <v>53</v>
      </c>
      <c r="AA958" s="22" t="s">
        <v>53</v>
      </c>
      <c r="AB958">
        <v>0</v>
      </c>
      <c r="AC958">
        <v>0</v>
      </c>
      <c r="AD958">
        <v>0</v>
      </c>
      <c r="AE958">
        <v>0</v>
      </c>
      <c r="AF958" s="22" t="s">
        <v>53</v>
      </c>
      <c r="AG958" s="22" t="s">
        <v>53</v>
      </c>
      <c r="AH958" s="22" t="s">
        <v>53</v>
      </c>
      <c r="AI958" s="22" t="s">
        <v>53</v>
      </c>
      <c r="AJ958">
        <v>76</v>
      </c>
      <c r="AK958">
        <v>21</v>
      </c>
      <c r="AL958">
        <v>19</v>
      </c>
      <c r="AM958">
        <v>25</v>
      </c>
      <c r="AN958" s="22">
        <v>0.0263157894736842</v>
      </c>
      <c r="AO958" s="22">
        <v>0.0476190476190476</v>
      </c>
      <c r="AP958" s="22">
        <v>0.157894736842105</v>
      </c>
      <c r="AQ958" s="22">
        <v>0.04</v>
      </c>
      <c r="AR958" s="35">
        <v>0.285714285714286</v>
      </c>
      <c r="AS958" s="35">
        <v>17.1428571428571</v>
      </c>
      <c r="AT958" s="35">
        <v>-3.14285714285714</v>
      </c>
      <c r="AU958" s="31">
        <f t="shared" si="18"/>
        <v>49</v>
      </c>
      <c r="AV958" s="36">
        <f>IFERROR(时间!$B$4+AU958,"上周无销量")</f>
        <v>43367</v>
      </c>
    </row>
    <row r="959" spans="1:48">
      <c r="A959" s="20" t="s">
        <v>2137</v>
      </c>
      <c r="B959" t="s">
        <v>2138</v>
      </c>
      <c r="C959" t="s">
        <v>2139</v>
      </c>
      <c r="D959" s="31">
        <v>40</v>
      </c>
      <c r="E959" s="31">
        <v>45</v>
      </c>
      <c r="F959" s="31">
        <v>37</v>
      </c>
      <c r="G959" s="31">
        <v>38</v>
      </c>
      <c r="H959" s="32">
        <v>9.90000000000002</v>
      </c>
      <c r="I959">
        <v>181</v>
      </c>
      <c r="J959" s="33">
        <v>0</v>
      </c>
      <c r="K959" s="33">
        <v>0</v>
      </c>
      <c r="L959" s="33">
        <v>14</v>
      </c>
      <c r="M959">
        <v>195</v>
      </c>
      <c r="N959">
        <v>1</v>
      </c>
      <c r="O959">
        <v>0</v>
      </c>
      <c r="P959">
        <v>21229</v>
      </c>
      <c r="Q959">
        <v>26742</v>
      </c>
      <c r="R959">
        <v>25611</v>
      </c>
      <c r="S959">
        <v>15884</v>
      </c>
      <c r="T959">
        <v>203</v>
      </c>
      <c r="U959">
        <v>243</v>
      </c>
      <c r="V959">
        <v>279</v>
      </c>
      <c r="W959">
        <v>159</v>
      </c>
      <c r="X959" s="22">
        <v>0.00956239106882095</v>
      </c>
      <c r="Y959" s="22">
        <v>0.00908682970608032</v>
      </c>
      <c r="Z959" s="22">
        <v>0.0108937565889657</v>
      </c>
      <c r="AA959" s="22">
        <v>0.0100100730294636</v>
      </c>
      <c r="AB959">
        <v>42.72</v>
      </c>
      <c r="AC959">
        <v>49.76</v>
      </c>
      <c r="AD959">
        <v>44.96</v>
      </c>
      <c r="AE959">
        <v>26.86</v>
      </c>
      <c r="AF959" s="22">
        <v>0.107878787878788</v>
      </c>
      <c r="AG959" s="22">
        <v>0.111694725028058</v>
      </c>
      <c r="AH959" s="22">
        <v>0.122740922740922</v>
      </c>
      <c r="AI959" s="22">
        <v>0.0713981924508239</v>
      </c>
      <c r="AJ959">
        <v>351</v>
      </c>
      <c r="AK959">
        <v>372</v>
      </c>
      <c r="AL959">
        <v>391</v>
      </c>
      <c r="AM959">
        <v>421</v>
      </c>
      <c r="AN959" s="22">
        <v>0.113960113960114</v>
      </c>
      <c r="AO959" s="22">
        <v>0.120967741935484</v>
      </c>
      <c r="AP959" s="22">
        <v>0.0946291560102302</v>
      </c>
      <c r="AQ959" s="22">
        <v>0.0902612826603325</v>
      </c>
      <c r="AR959" s="35">
        <v>5.71428571428571</v>
      </c>
      <c r="AS959" s="35">
        <v>342.857142857143</v>
      </c>
      <c r="AT959" s="35">
        <v>-147.857142857143</v>
      </c>
      <c r="AU959" s="31">
        <f t="shared" si="18"/>
        <v>34</v>
      </c>
      <c r="AV959" s="36">
        <f>IFERROR(时间!$B$4+AU959,"上周无销量")</f>
        <v>43352</v>
      </c>
    </row>
    <row r="960" spans="1:48">
      <c r="A960" s="20" t="s">
        <v>2140</v>
      </c>
      <c r="B960" t="s">
        <v>2141</v>
      </c>
      <c r="C960" t="s">
        <v>2139</v>
      </c>
      <c r="D960" s="31">
        <v>26</v>
      </c>
      <c r="E960" s="31">
        <v>15</v>
      </c>
      <c r="F960" s="31">
        <v>10</v>
      </c>
      <c r="G960" s="31">
        <v>16</v>
      </c>
      <c r="H960" s="32">
        <v>8.99000000000001</v>
      </c>
      <c r="I960">
        <v>48</v>
      </c>
      <c r="J960" s="33">
        <v>0</v>
      </c>
      <c r="K960" s="33">
        <v>1</v>
      </c>
      <c r="L960" s="33">
        <v>18</v>
      </c>
      <c r="M960">
        <v>67</v>
      </c>
      <c r="N960">
        <v>0</v>
      </c>
      <c r="O960">
        <v>0</v>
      </c>
      <c r="P960">
        <v>0</v>
      </c>
      <c r="Q960">
        <v>1995</v>
      </c>
      <c r="R960">
        <v>1064</v>
      </c>
      <c r="S960">
        <v>243</v>
      </c>
      <c r="T960">
        <v>0</v>
      </c>
      <c r="U960">
        <v>25</v>
      </c>
      <c r="V960">
        <v>10</v>
      </c>
      <c r="W960">
        <v>5</v>
      </c>
      <c r="X960" s="22" t="s">
        <v>53</v>
      </c>
      <c r="Y960" s="22">
        <v>0.012531328320802</v>
      </c>
      <c r="Z960" s="22">
        <v>0.0093984962406015</v>
      </c>
      <c r="AA960" s="22">
        <v>0.0205761316872428</v>
      </c>
      <c r="AB960">
        <v>0</v>
      </c>
      <c r="AC960">
        <v>7.87</v>
      </c>
      <c r="AD960">
        <v>3.44</v>
      </c>
      <c r="AE960">
        <v>0.82</v>
      </c>
      <c r="AF960" s="22" t="s">
        <v>53</v>
      </c>
      <c r="AG960" s="22">
        <v>0.0583611420096403</v>
      </c>
      <c r="AH960" s="22">
        <v>0.0382647385984427</v>
      </c>
      <c r="AI960" s="22">
        <v>0.00570077864293659</v>
      </c>
      <c r="AJ960">
        <v>142</v>
      </c>
      <c r="AK960">
        <v>139</v>
      </c>
      <c r="AL960">
        <v>85</v>
      </c>
      <c r="AM960">
        <v>87</v>
      </c>
      <c r="AN960" s="22">
        <v>0.183098591549296</v>
      </c>
      <c r="AO960" s="22">
        <v>0.107913669064748</v>
      </c>
      <c r="AP960" s="22">
        <v>0.117647058823529</v>
      </c>
      <c r="AQ960" s="22">
        <v>0.183908045977011</v>
      </c>
      <c r="AR960" s="35">
        <v>3.71428571428571</v>
      </c>
      <c r="AS960" s="35">
        <v>222.857142857143</v>
      </c>
      <c r="AT960" s="35">
        <v>-155.857142857143</v>
      </c>
      <c r="AU960" s="31">
        <f t="shared" si="18"/>
        <v>18</v>
      </c>
      <c r="AV960" s="36">
        <f>IFERROR(时间!$B$4+AU960,"上周无销量")</f>
        <v>43336</v>
      </c>
    </row>
    <row r="961" spans="1:48">
      <c r="A961" s="20" t="s">
        <v>2142</v>
      </c>
      <c r="B961" t="s">
        <v>2143</v>
      </c>
      <c r="C961" t="s">
        <v>2144</v>
      </c>
      <c r="D961" s="31">
        <v>6</v>
      </c>
      <c r="E961" s="31">
        <v>3</v>
      </c>
      <c r="F961" s="31">
        <v>9</v>
      </c>
      <c r="G961" s="31">
        <v>5</v>
      </c>
      <c r="H961" s="32">
        <v>12.9</v>
      </c>
      <c r="I961">
        <v>22</v>
      </c>
      <c r="J961" s="33">
        <v>20</v>
      </c>
      <c r="K961" s="33">
        <v>0</v>
      </c>
      <c r="L961" s="33">
        <v>0</v>
      </c>
      <c r="M961">
        <v>42</v>
      </c>
      <c r="N961">
        <v>0</v>
      </c>
      <c r="O961">
        <v>0</v>
      </c>
      <c r="P961">
        <v>2614</v>
      </c>
      <c r="Q961">
        <v>1803</v>
      </c>
      <c r="R961">
        <v>337</v>
      </c>
      <c r="S961">
        <v>203</v>
      </c>
      <c r="T961">
        <v>25</v>
      </c>
      <c r="U961">
        <v>13</v>
      </c>
      <c r="V961">
        <v>1</v>
      </c>
      <c r="W961">
        <v>2</v>
      </c>
      <c r="X961" s="22">
        <v>0.00956388676358072</v>
      </c>
      <c r="Y961" s="22">
        <v>0.007210205213533</v>
      </c>
      <c r="Z961" s="22">
        <v>0.0029673590504451</v>
      </c>
      <c r="AA961" s="22">
        <v>0.00985221674876847</v>
      </c>
      <c r="AB961">
        <v>11.71</v>
      </c>
      <c r="AC961">
        <v>6.32</v>
      </c>
      <c r="AD961">
        <v>0.16</v>
      </c>
      <c r="AE961">
        <v>0.24</v>
      </c>
      <c r="AF961" s="22">
        <v>0.151291989664083</v>
      </c>
      <c r="AG961" s="22">
        <v>0.163307493540052</v>
      </c>
      <c r="AH961" s="22">
        <v>0.00137812230835487</v>
      </c>
      <c r="AI961" s="22">
        <v>0.00372093023255814</v>
      </c>
      <c r="AJ961">
        <v>75</v>
      </c>
      <c r="AK961">
        <v>63</v>
      </c>
      <c r="AL961">
        <v>63</v>
      </c>
      <c r="AM961">
        <v>50</v>
      </c>
      <c r="AN961" s="22">
        <v>0.08</v>
      </c>
      <c r="AO961" s="22">
        <v>0.0476190476190476</v>
      </c>
      <c r="AP961" s="22">
        <v>0.142857142857143</v>
      </c>
      <c r="AQ961" s="22">
        <v>0.1</v>
      </c>
      <c r="AR961" s="35">
        <v>0.857142857142857</v>
      </c>
      <c r="AS961" s="35">
        <v>51.4285714285714</v>
      </c>
      <c r="AT961" s="35">
        <v>-9.42857142857142</v>
      </c>
      <c r="AU961" s="31">
        <f t="shared" si="18"/>
        <v>49</v>
      </c>
      <c r="AV961" s="36">
        <f>IFERROR(时间!$B$4+AU961,"上周无销量")</f>
        <v>43367</v>
      </c>
    </row>
    <row r="962" spans="1:48">
      <c r="A962" s="20" t="s">
        <v>2145</v>
      </c>
      <c r="B962" t="s">
        <v>2146</v>
      </c>
      <c r="C962" t="s">
        <v>2144</v>
      </c>
      <c r="D962" s="31">
        <v>1</v>
      </c>
      <c r="E962" s="31">
        <v>0</v>
      </c>
      <c r="F962" s="31">
        <v>1</v>
      </c>
      <c r="G962" s="31">
        <v>0</v>
      </c>
      <c r="H962" s="32">
        <v>12.9</v>
      </c>
      <c r="I962">
        <v>24</v>
      </c>
      <c r="J962" s="33">
        <v>0</v>
      </c>
      <c r="K962" s="33">
        <v>0</v>
      </c>
      <c r="L962" s="33">
        <v>0</v>
      </c>
      <c r="M962">
        <v>24</v>
      </c>
      <c r="N962">
        <v>0</v>
      </c>
      <c r="O962">
        <v>24</v>
      </c>
      <c r="P962">
        <v>479</v>
      </c>
      <c r="Q962">
        <v>286</v>
      </c>
      <c r="R962">
        <v>250</v>
      </c>
      <c r="S962">
        <v>192</v>
      </c>
      <c r="T962">
        <v>4</v>
      </c>
      <c r="U962">
        <v>2</v>
      </c>
      <c r="V962">
        <v>0</v>
      </c>
      <c r="W962">
        <v>0</v>
      </c>
      <c r="X962" s="22">
        <v>0.00835073068893528</v>
      </c>
      <c r="Y962" s="22">
        <v>0.00699300699300699</v>
      </c>
      <c r="Z962" s="22">
        <v>0</v>
      </c>
      <c r="AA962" s="22">
        <v>0</v>
      </c>
      <c r="AB962">
        <v>3.86</v>
      </c>
      <c r="AC962">
        <v>1.77</v>
      </c>
      <c r="AD962">
        <v>0</v>
      </c>
      <c r="AE962">
        <v>0</v>
      </c>
      <c r="AF962" s="22">
        <v>0.29922480620155</v>
      </c>
      <c r="AG962" s="22" t="s">
        <v>2147</v>
      </c>
      <c r="AH962" s="22" t="s">
        <v>53</v>
      </c>
      <c r="AI962" s="22" t="s">
        <v>53</v>
      </c>
      <c r="AJ962">
        <v>30</v>
      </c>
      <c r="AK962">
        <v>34</v>
      </c>
      <c r="AL962">
        <v>34</v>
      </c>
      <c r="AM962">
        <v>23</v>
      </c>
      <c r="AN962" s="22">
        <v>0.0333333333333333</v>
      </c>
      <c r="AO962" s="22">
        <v>0</v>
      </c>
      <c r="AP962" s="22">
        <v>0.0294117647058824</v>
      </c>
      <c r="AQ962" s="22">
        <v>0</v>
      </c>
      <c r="AR962" s="35">
        <v>0.142857142857143</v>
      </c>
      <c r="AS962" s="35">
        <v>8.57142857142857</v>
      </c>
      <c r="AT962" s="35">
        <v>15.4285714285714</v>
      </c>
      <c r="AU962" s="31">
        <f t="shared" si="18"/>
        <v>168</v>
      </c>
      <c r="AV962" s="36">
        <f>IFERROR(时间!$B$4+AU962,"上周无销量")</f>
        <v>43486</v>
      </c>
    </row>
    <row r="963" spans="1:48">
      <c r="A963" s="20" t="s">
        <v>2148</v>
      </c>
      <c r="B963" t="s">
        <v>2149</v>
      </c>
      <c r="C963" t="s">
        <v>2150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 t="s">
        <v>53</v>
      </c>
      <c r="Q963" t="s">
        <v>53</v>
      </c>
      <c r="R963" t="s">
        <v>53</v>
      </c>
      <c r="S963" t="s">
        <v>53</v>
      </c>
      <c r="T963" t="s">
        <v>53</v>
      </c>
      <c r="U963" t="s">
        <v>53</v>
      </c>
      <c r="V963" t="s">
        <v>53</v>
      </c>
      <c r="W963" t="s">
        <v>53</v>
      </c>
      <c r="X963" s="22" t="s">
        <v>53</v>
      </c>
      <c r="Y963" s="22" t="s">
        <v>53</v>
      </c>
      <c r="Z963" s="22" t="s">
        <v>53</v>
      </c>
      <c r="AA963" s="22" t="s">
        <v>53</v>
      </c>
      <c r="AB963" t="s">
        <v>53</v>
      </c>
      <c r="AC963" t="s">
        <v>53</v>
      </c>
      <c r="AD963" t="s">
        <v>53</v>
      </c>
      <c r="AE963" t="s">
        <v>53</v>
      </c>
      <c r="AF963" s="22" t="s">
        <v>53</v>
      </c>
      <c r="AG963" s="22" t="s">
        <v>53</v>
      </c>
      <c r="AH963" s="22" t="s">
        <v>53</v>
      </c>
      <c r="AI963" s="22" t="s">
        <v>53</v>
      </c>
      <c r="AJ963">
        <v>0</v>
      </c>
      <c r="AK963">
        <v>0</v>
      </c>
      <c r="AL963">
        <v>0</v>
      </c>
      <c r="AM963">
        <v>0</v>
      </c>
      <c r="AN963" s="22" t="s">
        <v>53</v>
      </c>
      <c r="AO963" s="22" t="s">
        <v>53</v>
      </c>
      <c r="AP963" s="22" t="s">
        <v>53</v>
      </c>
      <c r="AQ963" s="22" t="s">
        <v>53</v>
      </c>
      <c r="AR963" s="35">
        <v>0</v>
      </c>
      <c r="AS963" s="35">
        <v>0</v>
      </c>
      <c r="AT963" s="35">
        <v>0</v>
      </c>
      <c r="AU963" s="31" t="str">
        <f t="shared" si="18"/>
        <v>库存为0</v>
      </c>
      <c r="AV963" s="36" t="str">
        <f>IFERROR(时间!$B$4+AU963,"上周无销量")</f>
        <v>上周无销量</v>
      </c>
    </row>
    <row r="964" spans="1:48">
      <c r="A964" s="20" t="s">
        <v>2151</v>
      </c>
      <c r="B964" t="s">
        <v>2152</v>
      </c>
      <c r="C964" t="s">
        <v>2153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2</v>
      </c>
      <c r="J964" s="33">
        <v>0</v>
      </c>
      <c r="K964" s="33">
        <v>0</v>
      </c>
      <c r="L964" s="33">
        <v>0</v>
      </c>
      <c r="M964">
        <v>2</v>
      </c>
      <c r="N964">
        <v>0</v>
      </c>
      <c r="O964">
        <v>0</v>
      </c>
      <c r="P964" t="s">
        <v>53</v>
      </c>
      <c r="Q964" t="s">
        <v>53</v>
      </c>
      <c r="R964" t="s">
        <v>53</v>
      </c>
      <c r="S964" t="s">
        <v>53</v>
      </c>
      <c r="T964" t="s">
        <v>53</v>
      </c>
      <c r="U964" t="s">
        <v>53</v>
      </c>
      <c r="V964" t="s">
        <v>53</v>
      </c>
      <c r="W964" t="s">
        <v>53</v>
      </c>
      <c r="X964" s="22" t="s">
        <v>53</v>
      </c>
      <c r="Y964" s="22" t="s">
        <v>53</v>
      </c>
      <c r="Z964" s="22" t="s">
        <v>53</v>
      </c>
      <c r="AA964" s="22" t="s">
        <v>53</v>
      </c>
      <c r="AB964" t="s">
        <v>53</v>
      </c>
      <c r="AC964" t="s">
        <v>53</v>
      </c>
      <c r="AD964" t="s">
        <v>53</v>
      </c>
      <c r="AE964" t="s">
        <v>53</v>
      </c>
      <c r="AF964" s="22" t="s">
        <v>53</v>
      </c>
      <c r="AG964" s="22" t="s">
        <v>53</v>
      </c>
      <c r="AH964" s="22" t="s">
        <v>53</v>
      </c>
      <c r="AI964" s="22" t="s">
        <v>53</v>
      </c>
      <c r="AJ964">
        <v>24</v>
      </c>
      <c r="AK964">
        <v>24</v>
      </c>
      <c r="AL964">
        <v>31</v>
      </c>
      <c r="AM964">
        <v>24</v>
      </c>
      <c r="AN964" s="22">
        <v>0</v>
      </c>
      <c r="AO964" s="22">
        <v>0</v>
      </c>
      <c r="AP964" s="22">
        <v>0</v>
      </c>
      <c r="AQ964" s="22">
        <v>0</v>
      </c>
      <c r="AR964" s="35">
        <v>0</v>
      </c>
      <c r="AS964" s="35">
        <v>0</v>
      </c>
      <c r="AT964" s="35">
        <v>2</v>
      </c>
      <c r="AU964" s="31" t="str">
        <f t="shared" si="18"/>
        <v>库存为2</v>
      </c>
      <c r="AV964" s="36" t="str">
        <f>IFERROR(时间!$B$4+AU964,"上周无销量")</f>
        <v>上周无销量</v>
      </c>
    </row>
    <row r="965" spans="1:48">
      <c r="A965" s="20" t="s">
        <v>2154</v>
      </c>
      <c r="B965" t="s">
        <v>2155</v>
      </c>
      <c r="C965" t="s">
        <v>2156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0</v>
      </c>
      <c r="J965" s="33">
        <v>0</v>
      </c>
      <c r="K965" s="33">
        <v>0</v>
      </c>
      <c r="L965" s="33">
        <v>0</v>
      </c>
      <c r="M965">
        <v>0</v>
      </c>
      <c r="N965">
        <v>0</v>
      </c>
      <c r="O965">
        <v>0</v>
      </c>
      <c r="P965" t="s">
        <v>53</v>
      </c>
      <c r="Q965" t="s">
        <v>53</v>
      </c>
      <c r="R965" t="s">
        <v>53</v>
      </c>
      <c r="S965" t="s">
        <v>53</v>
      </c>
      <c r="T965" t="s">
        <v>53</v>
      </c>
      <c r="U965" t="s">
        <v>53</v>
      </c>
      <c r="V965" t="s">
        <v>53</v>
      </c>
      <c r="W965" t="s">
        <v>53</v>
      </c>
      <c r="X965" s="22" t="s">
        <v>53</v>
      </c>
      <c r="Y965" s="22" t="s">
        <v>53</v>
      </c>
      <c r="Z965" s="22" t="s">
        <v>53</v>
      </c>
      <c r="AA965" s="22" t="s">
        <v>53</v>
      </c>
      <c r="AB965" t="s">
        <v>53</v>
      </c>
      <c r="AC965" t="s">
        <v>53</v>
      </c>
      <c r="AD965" t="s">
        <v>53</v>
      </c>
      <c r="AE965" t="s">
        <v>53</v>
      </c>
      <c r="AF965" s="22" t="s">
        <v>53</v>
      </c>
      <c r="AG965" s="22" t="s">
        <v>53</v>
      </c>
      <c r="AH965" s="22" t="s">
        <v>53</v>
      </c>
      <c r="AI965" s="22" t="s">
        <v>53</v>
      </c>
      <c r="AJ965">
        <v>0</v>
      </c>
      <c r="AK965">
        <v>0</v>
      </c>
      <c r="AL965">
        <v>0</v>
      </c>
      <c r="AM965">
        <v>0</v>
      </c>
      <c r="AN965" s="22" t="s">
        <v>53</v>
      </c>
      <c r="AO965" s="22" t="s">
        <v>53</v>
      </c>
      <c r="AP965" s="22" t="s">
        <v>53</v>
      </c>
      <c r="AQ965" s="22" t="s">
        <v>53</v>
      </c>
      <c r="AR965" s="35">
        <v>0</v>
      </c>
      <c r="AS965" s="35">
        <v>0</v>
      </c>
      <c r="AT965" s="35">
        <v>0</v>
      </c>
      <c r="AU965" s="31" t="str">
        <f t="shared" ref="AU965:AU1020" si="19">IF(AR965="","库存为"&amp;M965,IF(AS965=0,"库存为"&amp;M965,INT(M965/AR965)))</f>
        <v>库存为0</v>
      </c>
      <c r="AV965" s="36" t="str">
        <f>IFERROR(时间!$B$4+AU965,"上周无销量")</f>
        <v>上周无销量</v>
      </c>
    </row>
    <row r="966" spans="1:48">
      <c r="A966" s="20" t="s">
        <v>2157</v>
      </c>
      <c r="B966" t="s">
        <v>2158</v>
      </c>
      <c r="C966" t="s">
        <v>2159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2</v>
      </c>
      <c r="J966" s="33">
        <v>0</v>
      </c>
      <c r="K966" s="33">
        <v>0</v>
      </c>
      <c r="L966" s="33">
        <v>0</v>
      </c>
      <c r="M966">
        <v>2</v>
      </c>
      <c r="N966">
        <v>0</v>
      </c>
      <c r="O966">
        <v>2</v>
      </c>
      <c r="P966" t="s">
        <v>53</v>
      </c>
      <c r="Q966" t="s">
        <v>53</v>
      </c>
      <c r="R966" t="s">
        <v>53</v>
      </c>
      <c r="S966" t="s">
        <v>53</v>
      </c>
      <c r="T966" t="s">
        <v>53</v>
      </c>
      <c r="U966" t="s">
        <v>53</v>
      </c>
      <c r="V966" t="s">
        <v>53</v>
      </c>
      <c r="W966" t="s">
        <v>53</v>
      </c>
      <c r="X966" s="22" t="s">
        <v>53</v>
      </c>
      <c r="Y966" s="22" t="s">
        <v>53</v>
      </c>
      <c r="Z966" s="22" t="s">
        <v>53</v>
      </c>
      <c r="AA966" s="22" t="s">
        <v>53</v>
      </c>
      <c r="AB966" t="s">
        <v>53</v>
      </c>
      <c r="AC966" t="s">
        <v>53</v>
      </c>
      <c r="AD966" t="s">
        <v>53</v>
      </c>
      <c r="AE966" t="s">
        <v>53</v>
      </c>
      <c r="AF966" s="22" t="s">
        <v>53</v>
      </c>
      <c r="AG966" s="22" t="s">
        <v>53</v>
      </c>
      <c r="AH966" s="22" t="s">
        <v>53</v>
      </c>
      <c r="AI966" s="22" t="s">
        <v>53</v>
      </c>
      <c r="AJ966">
        <v>2</v>
      </c>
      <c r="AK966">
        <v>3</v>
      </c>
      <c r="AL966">
        <v>0</v>
      </c>
      <c r="AM966">
        <v>2</v>
      </c>
      <c r="AN966" s="22">
        <v>0</v>
      </c>
      <c r="AO966" s="22">
        <v>0</v>
      </c>
      <c r="AP966" s="22" t="s">
        <v>53</v>
      </c>
      <c r="AQ966" s="22">
        <v>0</v>
      </c>
      <c r="AR966" s="35">
        <v>0</v>
      </c>
      <c r="AS966" s="35">
        <v>0</v>
      </c>
      <c r="AT966" s="35">
        <v>2</v>
      </c>
      <c r="AU966" s="31" t="str">
        <f t="shared" si="19"/>
        <v>库存为2</v>
      </c>
      <c r="AV966" s="36" t="str">
        <f>IFERROR(时间!$B$4+AU966,"上周无销量")</f>
        <v>上周无销量</v>
      </c>
    </row>
    <row r="967" spans="1:48">
      <c r="A967" s="20" t="s">
        <v>2160</v>
      </c>
      <c r="B967" t="s">
        <v>2161</v>
      </c>
      <c r="C967" t="s">
        <v>2162</v>
      </c>
      <c r="D967" s="31">
        <v>2</v>
      </c>
      <c r="E967" s="31">
        <v>1</v>
      </c>
      <c r="F967" s="31">
        <v>0</v>
      </c>
      <c r="G967" s="31">
        <v>0</v>
      </c>
      <c r="H967" s="32">
        <v>16.99</v>
      </c>
      <c r="I967">
        <v>0</v>
      </c>
      <c r="J967" s="33">
        <v>0</v>
      </c>
      <c r="K967" s="33">
        <v>0</v>
      </c>
      <c r="L967" s="33">
        <v>0</v>
      </c>
      <c r="M967">
        <v>0</v>
      </c>
      <c r="N967">
        <v>0</v>
      </c>
      <c r="O967">
        <v>0</v>
      </c>
      <c r="P967">
        <v>312</v>
      </c>
      <c r="Q967">
        <v>0</v>
      </c>
      <c r="R967">
        <v>0</v>
      </c>
      <c r="S967">
        <v>0</v>
      </c>
      <c r="T967">
        <v>4</v>
      </c>
      <c r="U967">
        <v>0</v>
      </c>
      <c r="V967">
        <v>0</v>
      </c>
      <c r="W967">
        <v>0</v>
      </c>
      <c r="X967" s="22">
        <v>0.0128205128205128</v>
      </c>
      <c r="Y967" s="22" t="s">
        <v>53</v>
      </c>
      <c r="Z967" s="22" t="s">
        <v>53</v>
      </c>
      <c r="AA967" s="22" t="s">
        <v>53</v>
      </c>
      <c r="AB967">
        <v>1.84</v>
      </c>
      <c r="AC967">
        <v>0</v>
      </c>
      <c r="AD967">
        <v>0</v>
      </c>
      <c r="AE967">
        <v>0</v>
      </c>
      <c r="AF967" s="22">
        <v>0.0541494997057092</v>
      </c>
      <c r="AG967" s="22" t="s">
        <v>53</v>
      </c>
      <c r="AH967" s="22" t="s">
        <v>53</v>
      </c>
      <c r="AI967" s="22" t="s">
        <v>53</v>
      </c>
      <c r="AJ967">
        <v>59</v>
      </c>
      <c r="AK967">
        <v>23</v>
      </c>
      <c r="AL967">
        <v>7</v>
      </c>
      <c r="AM967">
        <v>5</v>
      </c>
      <c r="AN967" s="22">
        <v>0.0338983050847458</v>
      </c>
      <c r="AO967" s="22">
        <v>0.0434782608695652</v>
      </c>
      <c r="AP967" s="22">
        <v>0</v>
      </c>
      <c r="AQ967" s="22">
        <v>0</v>
      </c>
      <c r="AR967" s="35">
        <v>0.285714285714286</v>
      </c>
      <c r="AS967" s="35">
        <v>17.1428571428571</v>
      </c>
      <c r="AT967" s="35">
        <v>-17.1428571428571</v>
      </c>
      <c r="AU967" s="31">
        <f t="shared" si="19"/>
        <v>0</v>
      </c>
      <c r="AV967" s="36">
        <f>IFERROR(时间!$B$4+AU967,"上周无销量")</f>
        <v>43318</v>
      </c>
    </row>
    <row r="968" spans="1:48">
      <c r="A968" s="20" t="s">
        <v>2163</v>
      </c>
      <c r="B968" t="s">
        <v>2164</v>
      </c>
      <c r="C968" t="s">
        <v>2162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3</v>
      </c>
      <c r="J968" s="33">
        <v>0</v>
      </c>
      <c r="K968" s="33">
        <v>0</v>
      </c>
      <c r="L968" s="33">
        <v>2</v>
      </c>
      <c r="M968">
        <v>5</v>
      </c>
      <c r="N968">
        <v>0</v>
      </c>
      <c r="O968">
        <v>0</v>
      </c>
      <c r="P968" t="s">
        <v>53</v>
      </c>
      <c r="Q968" t="s">
        <v>53</v>
      </c>
      <c r="R968" t="s">
        <v>53</v>
      </c>
      <c r="S968" t="s">
        <v>53</v>
      </c>
      <c r="T968" t="s">
        <v>53</v>
      </c>
      <c r="U968" t="s">
        <v>53</v>
      </c>
      <c r="V968" t="s">
        <v>53</v>
      </c>
      <c r="W968" t="s">
        <v>53</v>
      </c>
      <c r="X968" s="22" t="s">
        <v>53</v>
      </c>
      <c r="Y968" s="22" t="s">
        <v>53</v>
      </c>
      <c r="Z968" s="22" t="s">
        <v>53</v>
      </c>
      <c r="AA968" s="22" t="s">
        <v>53</v>
      </c>
      <c r="AB968" t="s">
        <v>53</v>
      </c>
      <c r="AC968" t="s">
        <v>53</v>
      </c>
      <c r="AD968" t="s">
        <v>53</v>
      </c>
      <c r="AE968" t="s">
        <v>53</v>
      </c>
      <c r="AF968" s="22" t="s">
        <v>53</v>
      </c>
      <c r="AG968" s="22" t="s">
        <v>53</v>
      </c>
      <c r="AH968" s="22" t="s">
        <v>53</v>
      </c>
      <c r="AI968" s="22" t="s">
        <v>53</v>
      </c>
      <c r="AJ968">
        <v>27</v>
      </c>
      <c r="AK968">
        <v>18</v>
      </c>
      <c r="AL968">
        <v>7</v>
      </c>
      <c r="AM968">
        <v>3</v>
      </c>
      <c r="AN968" s="22">
        <v>0</v>
      </c>
      <c r="AO968" s="22">
        <v>0</v>
      </c>
      <c r="AP968" s="22">
        <v>0</v>
      </c>
      <c r="AQ968" s="22">
        <v>0</v>
      </c>
      <c r="AR968" s="35">
        <v>0</v>
      </c>
      <c r="AS968" s="35">
        <v>0</v>
      </c>
      <c r="AT968" s="35">
        <v>5</v>
      </c>
      <c r="AU968" s="31" t="str">
        <f t="shared" si="19"/>
        <v>库存为5</v>
      </c>
      <c r="AV968" s="36" t="str">
        <f>IFERROR(时间!$B$4+AU968,"上周无销量")</f>
        <v>上周无销量</v>
      </c>
    </row>
    <row r="969" spans="1:48">
      <c r="A969" s="20" t="s">
        <v>2165</v>
      </c>
      <c r="B969" t="s">
        <v>2166</v>
      </c>
      <c r="C969" t="s">
        <v>2162</v>
      </c>
      <c r="D969" s="31">
        <v>2</v>
      </c>
      <c r="E969" s="31">
        <v>2</v>
      </c>
      <c r="F969" s="31">
        <v>0</v>
      </c>
      <c r="G969" s="31">
        <v>0</v>
      </c>
      <c r="H969" s="32">
        <v>25.99</v>
      </c>
      <c r="I969">
        <v>0</v>
      </c>
      <c r="J969" s="33">
        <v>10</v>
      </c>
      <c r="K969" s="33">
        <v>0</v>
      </c>
      <c r="L969" s="33">
        <v>1</v>
      </c>
      <c r="M969">
        <v>11</v>
      </c>
      <c r="N969">
        <v>0</v>
      </c>
      <c r="O969">
        <v>0</v>
      </c>
      <c r="P969">
        <v>830</v>
      </c>
      <c r="Q969">
        <v>2216</v>
      </c>
      <c r="R969">
        <v>511</v>
      </c>
      <c r="S969">
        <v>208</v>
      </c>
      <c r="T969">
        <v>5</v>
      </c>
      <c r="U969">
        <v>25</v>
      </c>
      <c r="V969">
        <v>5</v>
      </c>
      <c r="W969">
        <v>3</v>
      </c>
      <c r="X969" s="22">
        <v>0.00602409638554217</v>
      </c>
      <c r="Y969" s="22">
        <v>0.0112815884476534</v>
      </c>
      <c r="Z969" s="22">
        <v>0.00978473581213307</v>
      </c>
      <c r="AA969" s="22">
        <v>0.0144230769230769</v>
      </c>
      <c r="AB969">
        <v>1.67</v>
      </c>
      <c r="AC969">
        <v>11.73</v>
      </c>
      <c r="AD969">
        <v>2.63</v>
      </c>
      <c r="AE969">
        <v>1.41</v>
      </c>
      <c r="AF969" s="22">
        <v>0.032127741439015</v>
      </c>
      <c r="AG969" s="22">
        <v>0.225663716814159</v>
      </c>
      <c r="AH969" s="22" t="s">
        <v>2167</v>
      </c>
      <c r="AI969" s="22" t="s">
        <v>2168</v>
      </c>
      <c r="AJ969">
        <v>7</v>
      </c>
      <c r="AK969">
        <v>48</v>
      </c>
      <c r="AL969">
        <v>10</v>
      </c>
      <c r="AM969">
        <v>4</v>
      </c>
      <c r="AN969" s="22">
        <v>0.285714285714286</v>
      </c>
      <c r="AO969" s="22">
        <v>0.0416666666666667</v>
      </c>
      <c r="AP969" s="22">
        <v>0</v>
      </c>
      <c r="AQ969" s="22">
        <v>0</v>
      </c>
      <c r="AR969" s="35">
        <v>0.285714285714286</v>
      </c>
      <c r="AS969" s="35">
        <v>17.1428571428571</v>
      </c>
      <c r="AT969" s="35">
        <v>-6.14285714285714</v>
      </c>
      <c r="AU969" s="31">
        <f t="shared" si="19"/>
        <v>38</v>
      </c>
      <c r="AV969" s="36">
        <f>IFERROR(时间!$B$4+AU969,"上周无销量")</f>
        <v>43356</v>
      </c>
    </row>
    <row r="970" spans="1:48">
      <c r="A970" s="20" t="s">
        <v>2169</v>
      </c>
      <c r="B970" t="s">
        <v>2170</v>
      </c>
      <c r="C970" t="s">
        <v>2162</v>
      </c>
      <c r="D970" s="31">
        <v>1</v>
      </c>
      <c r="E970" s="31">
        <v>0</v>
      </c>
      <c r="F970" s="31">
        <v>0</v>
      </c>
      <c r="G970" s="31">
        <v>0</v>
      </c>
      <c r="H970" s="32">
        <v>16.99</v>
      </c>
      <c r="I970">
        <v>3</v>
      </c>
      <c r="J970" s="33">
        <v>0</v>
      </c>
      <c r="K970" s="33">
        <v>0</v>
      </c>
      <c r="L970" s="33">
        <v>1</v>
      </c>
      <c r="M970">
        <v>4</v>
      </c>
      <c r="N970">
        <v>0</v>
      </c>
      <c r="O970">
        <v>0</v>
      </c>
      <c r="P970" t="s">
        <v>53</v>
      </c>
      <c r="Q970" t="s">
        <v>53</v>
      </c>
      <c r="R970" t="s">
        <v>53</v>
      </c>
      <c r="S970" t="s">
        <v>53</v>
      </c>
      <c r="T970" t="s">
        <v>53</v>
      </c>
      <c r="U970" t="s">
        <v>53</v>
      </c>
      <c r="V970" t="s">
        <v>53</v>
      </c>
      <c r="W970" t="s">
        <v>53</v>
      </c>
      <c r="X970" s="22" t="s">
        <v>53</v>
      </c>
      <c r="Y970" s="22" t="s">
        <v>53</v>
      </c>
      <c r="Z970" s="22" t="s">
        <v>53</v>
      </c>
      <c r="AA970" s="22" t="s">
        <v>53</v>
      </c>
      <c r="AB970" t="s">
        <v>53</v>
      </c>
      <c r="AC970" t="s">
        <v>53</v>
      </c>
      <c r="AD970" t="s">
        <v>53</v>
      </c>
      <c r="AE970" t="s">
        <v>53</v>
      </c>
      <c r="AF970" s="22" t="s">
        <v>53</v>
      </c>
      <c r="AG970" s="22" t="s">
        <v>53</v>
      </c>
      <c r="AH970" s="22" t="s">
        <v>53</v>
      </c>
      <c r="AI970" s="22" t="s">
        <v>53</v>
      </c>
      <c r="AJ970">
        <v>16</v>
      </c>
      <c r="AK970">
        <v>36</v>
      </c>
      <c r="AL970">
        <v>7</v>
      </c>
      <c r="AM970">
        <v>4</v>
      </c>
      <c r="AN970" s="22">
        <v>0.0625</v>
      </c>
      <c r="AO970" s="22">
        <v>0</v>
      </c>
      <c r="AP970" s="22">
        <v>0</v>
      </c>
      <c r="AQ970" s="22">
        <v>0</v>
      </c>
      <c r="AR970" s="35">
        <v>0.142857142857143</v>
      </c>
      <c r="AS970" s="35">
        <v>8.57142857142857</v>
      </c>
      <c r="AT970" s="35">
        <v>-4.57142857142857</v>
      </c>
      <c r="AU970" s="31">
        <f t="shared" si="19"/>
        <v>28</v>
      </c>
      <c r="AV970" s="36">
        <f>IFERROR(时间!$B$4+AU970,"上周无销量")</f>
        <v>43346</v>
      </c>
    </row>
    <row r="971" spans="1:48">
      <c r="A971" s="20" t="s">
        <v>2171</v>
      </c>
      <c r="B971" t="s">
        <v>2172</v>
      </c>
      <c r="C971" t="s">
        <v>2162</v>
      </c>
      <c r="D971" s="31">
        <v>2</v>
      </c>
      <c r="E971" s="31">
        <v>0</v>
      </c>
      <c r="F971" s="31">
        <v>0</v>
      </c>
      <c r="G971" s="31">
        <v>0</v>
      </c>
      <c r="H971" s="32">
        <v>21.99</v>
      </c>
      <c r="I971">
        <v>0</v>
      </c>
      <c r="J971" s="33">
        <v>0</v>
      </c>
      <c r="K971" s="33">
        <v>0</v>
      </c>
      <c r="L971" s="33">
        <v>1</v>
      </c>
      <c r="M971">
        <v>1</v>
      </c>
      <c r="N971">
        <v>0</v>
      </c>
      <c r="O971">
        <v>0</v>
      </c>
      <c r="P971">
        <v>0</v>
      </c>
      <c r="Q971">
        <v>17699</v>
      </c>
      <c r="R971">
        <v>4110</v>
      </c>
      <c r="S971">
        <v>1127</v>
      </c>
      <c r="T971">
        <v>0</v>
      </c>
      <c r="U971">
        <v>117</v>
      </c>
      <c r="V971">
        <v>33</v>
      </c>
      <c r="W971">
        <v>14</v>
      </c>
      <c r="X971" s="22" t="s">
        <v>53</v>
      </c>
      <c r="Y971" s="22">
        <v>0.0066105429685293</v>
      </c>
      <c r="Z971" s="22">
        <v>0.00802919708029197</v>
      </c>
      <c r="AA971" s="22">
        <v>0.0124223602484472</v>
      </c>
      <c r="AB971">
        <v>0</v>
      </c>
      <c r="AC971">
        <v>46.59</v>
      </c>
      <c r="AD971">
        <v>13.69</v>
      </c>
      <c r="AE971">
        <v>4.8</v>
      </c>
      <c r="AF971" s="22" t="s">
        <v>53</v>
      </c>
      <c r="AG971" s="22" t="s">
        <v>2173</v>
      </c>
      <c r="AH971" s="22" t="s">
        <v>2174</v>
      </c>
      <c r="AI971" s="22" t="s">
        <v>2175</v>
      </c>
      <c r="AJ971">
        <v>32</v>
      </c>
      <c r="AK971">
        <v>82</v>
      </c>
      <c r="AL971">
        <v>19</v>
      </c>
      <c r="AM971">
        <v>7</v>
      </c>
      <c r="AN971" s="22">
        <v>0.0625</v>
      </c>
      <c r="AO971" s="22">
        <v>0</v>
      </c>
      <c r="AP971" s="22">
        <v>0</v>
      </c>
      <c r="AQ971" s="22">
        <v>0</v>
      </c>
      <c r="AR971" s="35">
        <v>0.285714285714286</v>
      </c>
      <c r="AS971" s="35">
        <v>17.1428571428571</v>
      </c>
      <c r="AT971" s="35">
        <v>-16.1428571428571</v>
      </c>
      <c r="AU971" s="31">
        <f t="shared" si="19"/>
        <v>3</v>
      </c>
      <c r="AV971" s="36">
        <f>IFERROR(时间!$B$4+AU971,"上周无销量")</f>
        <v>43321</v>
      </c>
    </row>
    <row r="972" spans="1:48">
      <c r="A972" s="20" t="s">
        <v>2176</v>
      </c>
      <c r="B972" t="s">
        <v>2177</v>
      </c>
      <c r="C972" t="s">
        <v>2162</v>
      </c>
      <c r="D972" s="31">
        <v>0</v>
      </c>
      <c r="E972" s="31">
        <v>2</v>
      </c>
      <c r="F972" s="31">
        <v>2</v>
      </c>
      <c r="G972" s="31">
        <v>0</v>
      </c>
      <c r="H972" s="32">
        <v>25.99</v>
      </c>
      <c r="I972">
        <v>0</v>
      </c>
      <c r="J972" s="33">
        <v>3</v>
      </c>
      <c r="K972" s="33">
        <v>9</v>
      </c>
      <c r="L972" s="33">
        <v>0</v>
      </c>
      <c r="M972">
        <v>12</v>
      </c>
      <c r="N972">
        <v>0</v>
      </c>
      <c r="O972">
        <v>0</v>
      </c>
      <c r="P972" t="s">
        <v>53</v>
      </c>
      <c r="Q972" t="s">
        <v>53</v>
      </c>
      <c r="R972" t="s">
        <v>53</v>
      </c>
      <c r="S972" t="s">
        <v>53</v>
      </c>
      <c r="T972" t="s">
        <v>53</v>
      </c>
      <c r="U972" t="s">
        <v>53</v>
      </c>
      <c r="V972" t="s">
        <v>53</v>
      </c>
      <c r="W972" t="s">
        <v>53</v>
      </c>
      <c r="X972" s="22" t="s">
        <v>53</v>
      </c>
      <c r="Y972" s="22" t="s">
        <v>53</v>
      </c>
      <c r="Z972" s="22" t="s">
        <v>53</v>
      </c>
      <c r="AA972" s="22" t="s">
        <v>53</v>
      </c>
      <c r="AB972" t="s">
        <v>53</v>
      </c>
      <c r="AC972" t="s">
        <v>53</v>
      </c>
      <c r="AD972" t="s">
        <v>53</v>
      </c>
      <c r="AE972" t="s">
        <v>53</v>
      </c>
      <c r="AF972" s="22" t="s">
        <v>53</v>
      </c>
      <c r="AG972" s="22" t="s">
        <v>53</v>
      </c>
      <c r="AH972" s="22" t="s">
        <v>53</v>
      </c>
      <c r="AI972" s="22" t="s">
        <v>53</v>
      </c>
      <c r="AJ972">
        <v>4</v>
      </c>
      <c r="AK972">
        <v>6</v>
      </c>
      <c r="AL972">
        <v>13</v>
      </c>
      <c r="AM972">
        <v>6</v>
      </c>
      <c r="AN972" s="22">
        <v>0</v>
      </c>
      <c r="AO972" s="22">
        <v>0.333333333333333</v>
      </c>
      <c r="AP972" s="22">
        <v>0.153846153846154</v>
      </c>
      <c r="AQ972" s="22">
        <v>0</v>
      </c>
      <c r="AR972" s="35">
        <v>0</v>
      </c>
      <c r="AS972" s="35">
        <v>0</v>
      </c>
      <c r="AT972" s="35">
        <v>12</v>
      </c>
      <c r="AU972" s="31" t="str">
        <f t="shared" si="19"/>
        <v>库存为12</v>
      </c>
      <c r="AV972" s="36" t="str">
        <f>IFERROR(时间!$B$4+AU972,"上周无销量")</f>
        <v>上周无销量</v>
      </c>
    </row>
    <row r="973" spans="1:48">
      <c r="A973" s="20" t="s">
        <v>2178</v>
      </c>
      <c r="B973" t="s">
        <v>2179</v>
      </c>
      <c r="C973" t="s">
        <v>2180</v>
      </c>
      <c r="D973" s="31">
        <v>0</v>
      </c>
      <c r="E973" s="31">
        <v>0</v>
      </c>
      <c r="F973" s="31">
        <v>1</v>
      </c>
      <c r="G973" s="31">
        <v>0</v>
      </c>
      <c r="H973" s="32">
        <v>27</v>
      </c>
      <c r="I973">
        <v>3</v>
      </c>
      <c r="J973" s="33">
        <v>0</v>
      </c>
      <c r="K973" s="33">
        <v>0</v>
      </c>
      <c r="L973" s="33">
        <v>0</v>
      </c>
      <c r="M973">
        <v>3</v>
      </c>
      <c r="N973">
        <v>0</v>
      </c>
      <c r="O973">
        <v>3</v>
      </c>
      <c r="P973" t="s">
        <v>53</v>
      </c>
      <c r="Q973" t="s">
        <v>53</v>
      </c>
      <c r="R973" t="s">
        <v>53</v>
      </c>
      <c r="S973" t="s">
        <v>53</v>
      </c>
      <c r="T973" t="s">
        <v>53</v>
      </c>
      <c r="U973" t="s">
        <v>53</v>
      </c>
      <c r="V973" t="s">
        <v>53</v>
      </c>
      <c r="W973" t="s">
        <v>53</v>
      </c>
      <c r="X973" s="22" t="s">
        <v>53</v>
      </c>
      <c r="Y973" s="22" t="s">
        <v>53</v>
      </c>
      <c r="Z973" s="22" t="s">
        <v>53</v>
      </c>
      <c r="AA973" s="22" t="s">
        <v>53</v>
      </c>
      <c r="AB973" t="s">
        <v>53</v>
      </c>
      <c r="AC973" t="s">
        <v>53</v>
      </c>
      <c r="AD973" t="s">
        <v>53</v>
      </c>
      <c r="AE973" t="s">
        <v>53</v>
      </c>
      <c r="AF973" s="22" t="s">
        <v>53</v>
      </c>
      <c r="AG973" s="22" t="s">
        <v>53</v>
      </c>
      <c r="AH973" s="22" t="s">
        <v>53</v>
      </c>
      <c r="AI973" s="22" t="s">
        <v>53</v>
      </c>
      <c r="AJ973">
        <v>7</v>
      </c>
      <c r="AK973">
        <v>2</v>
      </c>
      <c r="AL973">
        <v>7</v>
      </c>
      <c r="AM973">
        <v>7</v>
      </c>
      <c r="AN973" s="22">
        <v>0</v>
      </c>
      <c r="AO973" s="22">
        <v>0</v>
      </c>
      <c r="AP973" s="22">
        <v>0.142857142857143</v>
      </c>
      <c r="AQ973" s="22">
        <v>0</v>
      </c>
      <c r="AR973" s="35">
        <v>0</v>
      </c>
      <c r="AS973" s="35">
        <v>0</v>
      </c>
      <c r="AT973" s="35">
        <v>3</v>
      </c>
      <c r="AU973" s="31" t="str">
        <f t="shared" si="19"/>
        <v>库存为3</v>
      </c>
      <c r="AV973" s="36" t="str">
        <f>IFERROR(时间!$B$4+AU973,"上周无销量")</f>
        <v>上周无销量</v>
      </c>
    </row>
    <row r="974" spans="1:48">
      <c r="A974" s="20" t="s">
        <v>2181</v>
      </c>
      <c r="B974" t="s">
        <v>2182</v>
      </c>
      <c r="C974" t="s">
        <v>2183</v>
      </c>
      <c r="D974" s="31">
        <v>0</v>
      </c>
      <c r="E974" s="31">
        <v>0</v>
      </c>
      <c r="F974" s="31">
        <v>0</v>
      </c>
      <c r="G974" s="31">
        <v>0</v>
      </c>
      <c r="H974" s="32">
        <v>0</v>
      </c>
      <c r="I974">
        <v>5</v>
      </c>
      <c r="J974" s="33">
        <v>0</v>
      </c>
      <c r="K974" s="33">
        <v>0</v>
      </c>
      <c r="L974" s="33">
        <v>0</v>
      </c>
      <c r="M974">
        <v>5</v>
      </c>
      <c r="N974">
        <v>0</v>
      </c>
      <c r="O974">
        <v>5</v>
      </c>
      <c r="P974" t="s">
        <v>53</v>
      </c>
      <c r="Q974" t="s">
        <v>53</v>
      </c>
      <c r="R974" t="s">
        <v>53</v>
      </c>
      <c r="S974" t="s">
        <v>53</v>
      </c>
      <c r="T974" t="s">
        <v>53</v>
      </c>
      <c r="U974" t="s">
        <v>53</v>
      </c>
      <c r="V974" t="s">
        <v>53</v>
      </c>
      <c r="W974" t="s">
        <v>53</v>
      </c>
      <c r="X974" s="22" t="s">
        <v>53</v>
      </c>
      <c r="Y974" s="22" t="s">
        <v>53</v>
      </c>
      <c r="Z974" s="22" t="s">
        <v>53</v>
      </c>
      <c r="AA974" s="22" t="s">
        <v>53</v>
      </c>
      <c r="AB974" t="s">
        <v>53</v>
      </c>
      <c r="AC974" t="s">
        <v>53</v>
      </c>
      <c r="AD974" t="s">
        <v>53</v>
      </c>
      <c r="AE974" t="s">
        <v>53</v>
      </c>
      <c r="AF974" s="22" t="s">
        <v>53</v>
      </c>
      <c r="AG974" s="22" t="s">
        <v>53</v>
      </c>
      <c r="AH974" s="22" t="s">
        <v>53</v>
      </c>
      <c r="AI974" s="22" t="s">
        <v>53</v>
      </c>
      <c r="AJ974">
        <v>1</v>
      </c>
      <c r="AK974">
        <v>2</v>
      </c>
      <c r="AL974">
        <v>1</v>
      </c>
      <c r="AM974">
        <v>2</v>
      </c>
      <c r="AN974" s="22">
        <v>0</v>
      </c>
      <c r="AO974" s="22">
        <v>0</v>
      </c>
      <c r="AP974" s="22">
        <v>0</v>
      </c>
      <c r="AQ974" s="22">
        <v>0</v>
      </c>
      <c r="AR974" s="35">
        <v>0</v>
      </c>
      <c r="AS974" s="35">
        <v>0</v>
      </c>
      <c r="AT974" s="35">
        <v>5</v>
      </c>
      <c r="AU974" s="31" t="str">
        <f t="shared" si="19"/>
        <v>库存为5</v>
      </c>
      <c r="AV974" s="36" t="str">
        <f>IFERROR(时间!$B$4+AU974,"上周无销量")</f>
        <v>上周无销量</v>
      </c>
    </row>
    <row r="975" spans="1:48">
      <c r="A975" s="20" t="s">
        <v>2184</v>
      </c>
      <c r="B975" t="s">
        <v>2185</v>
      </c>
      <c r="C975" t="s">
        <v>2186</v>
      </c>
      <c r="D975" s="31">
        <v>17</v>
      </c>
      <c r="E975" s="31">
        <v>14</v>
      </c>
      <c r="F975" s="31">
        <v>11</v>
      </c>
      <c r="G975" s="31">
        <v>8</v>
      </c>
      <c r="H975" s="32">
        <v>44.99</v>
      </c>
      <c r="I975">
        <v>35</v>
      </c>
      <c r="J975" s="33">
        <v>115</v>
      </c>
      <c r="K975" s="33">
        <v>0</v>
      </c>
      <c r="L975" s="33">
        <v>0</v>
      </c>
      <c r="M975">
        <v>150</v>
      </c>
      <c r="N975">
        <v>0</v>
      </c>
      <c r="O975">
        <v>0</v>
      </c>
      <c r="P975">
        <v>58714</v>
      </c>
      <c r="Q975">
        <v>86451</v>
      </c>
      <c r="R975">
        <v>24831</v>
      </c>
      <c r="S975">
        <v>1927</v>
      </c>
      <c r="T975">
        <v>246</v>
      </c>
      <c r="U975">
        <v>337</v>
      </c>
      <c r="V975">
        <v>182</v>
      </c>
      <c r="W975">
        <v>45</v>
      </c>
      <c r="X975" s="22">
        <v>0.00418980141022584</v>
      </c>
      <c r="Y975" s="22">
        <v>0.00389816196458109</v>
      </c>
      <c r="Z975" s="22">
        <v>0.00732954774274093</v>
      </c>
      <c r="AA975" s="22">
        <v>0.0233523611831863</v>
      </c>
      <c r="AB975">
        <v>104.28</v>
      </c>
      <c r="AC975">
        <v>176.19</v>
      </c>
      <c r="AD975">
        <v>88.49</v>
      </c>
      <c r="AE975">
        <v>15.75</v>
      </c>
      <c r="AF975" s="22">
        <v>0.136344024162232</v>
      </c>
      <c r="AG975" s="22">
        <v>0.279728828628584</v>
      </c>
      <c r="AH975" s="22">
        <v>0.178807411748065</v>
      </c>
      <c r="AI975" s="22">
        <v>0.0437597243831963</v>
      </c>
      <c r="AJ975">
        <v>440</v>
      </c>
      <c r="AK975">
        <v>435</v>
      </c>
      <c r="AL975">
        <v>240</v>
      </c>
      <c r="AM975">
        <v>211</v>
      </c>
      <c r="AN975" s="22">
        <v>0.0386363636363636</v>
      </c>
      <c r="AO975" s="22">
        <v>0.032183908045977</v>
      </c>
      <c r="AP975" s="22">
        <v>0.0458333333333333</v>
      </c>
      <c r="AQ975" s="22">
        <v>0.037914691943128</v>
      </c>
      <c r="AR975" s="35">
        <v>2.42857142857143</v>
      </c>
      <c r="AS975" s="35">
        <v>145.714285714286</v>
      </c>
      <c r="AT975" s="35">
        <v>4.28571428571431</v>
      </c>
      <c r="AU975" s="31">
        <f t="shared" si="19"/>
        <v>61</v>
      </c>
      <c r="AV975" s="36">
        <f>IFERROR(时间!$B$4+AU975,"上周无销量")</f>
        <v>43379</v>
      </c>
    </row>
    <row r="976" spans="1:48">
      <c r="A976" s="20" t="s">
        <v>2187</v>
      </c>
      <c r="B976" t="s">
        <v>480</v>
      </c>
      <c r="C976" t="s">
        <v>2188</v>
      </c>
      <c r="D976" s="31">
        <v>0</v>
      </c>
      <c r="E976" s="31">
        <v>0</v>
      </c>
      <c r="F976" s="31">
        <v>0</v>
      </c>
      <c r="G976" s="31">
        <v>0</v>
      </c>
      <c r="H976" s="32">
        <v>0</v>
      </c>
      <c r="I976">
        <v>0</v>
      </c>
      <c r="J976" s="33">
        <v>0</v>
      </c>
      <c r="K976" s="33">
        <v>0</v>
      </c>
      <c r="L976" s="33">
        <v>0</v>
      </c>
      <c r="M976">
        <v>0</v>
      </c>
      <c r="N976">
        <v>0</v>
      </c>
      <c r="O976">
        <v>0</v>
      </c>
      <c r="P976" t="s">
        <v>53</v>
      </c>
      <c r="Q976" t="s">
        <v>53</v>
      </c>
      <c r="R976" t="s">
        <v>53</v>
      </c>
      <c r="S976" t="s">
        <v>53</v>
      </c>
      <c r="T976" t="s">
        <v>53</v>
      </c>
      <c r="U976" t="s">
        <v>53</v>
      </c>
      <c r="V976" t="s">
        <v>53</v>
      </c>
      <c r="W976" t="s">
        <v>53</v>
      </c>
      <c r="X976" s="22" t="s">
        <v>53</v>
      </c>
      <c r="Y976" s="22" t="s">
        <v>53</v>
      </c>
      <c r="Z976" s="22" t="s">
        <v>53</v>
      </c>
      <c r="AA976" s="22" t="s">
        <v>53</v>
      </c>
      <c r="AB976" t="s">
        <v>53</v>
      </c>
      <c r="AC976" t="s">
        <v>53</v>
      </c>
      <c r="AD976" t="s">
        <v>53</v>
      </c>
      <c r="AE976" t="s">
        <v>53</v>
      </c>
      <c r="AF976" s="22" t="s">
        <v>53</v>
      </c>
      <c r="AG976" s="22" t="s">
        <v>53</v>
      </c>
      <c r="AH976" s="22" t="s">
        <v>53</v>
      </c>
      <c r="AI976" s="22" t="s">
        <v>53</v>
      </c>
      <c r="AJ976">
        <v>0</v>
      </c>
      <c r="AK976">
        <v>0</v>
      </c>
      <c r="AL976">
        <v>0</v>
      </c>
      <c r="AM976">
        <v>1</v>
      </c>
      <c r="AN976" s="22" t="s">
        <v>53</v>
      </c>
      <c r="AO976" s="22" t="s">
        <v>53</v>
      </c>
      <c r="AP976" s="22" t="s">
        <v>53</v>
      </c>
      <c r="AQ976" s="22">
        <v>0</v>
      </c>
      <c r="AR976" s="35">
        <v>0</v>
      </c>
      <c r="AS976" s="35">
        <v>0</v>
      </c>
      <c r="AT976" s="35">
        <v>0</v>
      </c>
      <c r="AU976" s="31" t="str">
        <f t="shared" si="19"/>
        <v>库存为0</v>
      </c>
      <c r="AV976" s="36" t="str">
        <f>IFERROR(时间!$B$4+AU976,"上周无销量")</f>
        <v>上周无销量</v>
      </c>
    </row>
    <row r="977" spans="1:48">
      <c r="A977" s="20" t="s">
        <v>2189</v>
      </c>
      <c r="B977" t="s">
        <v>483</v>
      </c>
      <c r="C977" t="s">
        <v>2190</v>
      </c>
      <c r="D977" s="31">
        <v>0</v>
      </c>
      <c r="E977" s="31">
        <v>0</v>
      </c>
      <c r="F977" s="31">
        <v>0</v>
      </c>
      <c r="G977" s="31">
        <v>0</v>
      </c>
      <c r="H977" s="32">
        <v>0</v>
      </c>
      <c r="I977">
        <v>0</v>
      </c>
      <c r="J977" s="33">
        <v>0</v>
      </c>
      <c r="K977" s="33">
        <v>0</v>
      </c>
      <c r="L977" s="33">
        <v>0</v>
      </c>
      <c r="M977">
        <v>0</v>
      </c>
      <c r="N977">
        <v>0</v>
      </c>
      <c r="O977">
        <v>0</v>
      </c>
      <c r="P977" t="s">
        <v>53</v>
      </c>
      <c r="Q977" t="s">
        <v>53</v>
      </c>
      <c r="R977" t="s">
        <v>53</v>
      </c>
      <c r="S977" t="s">
        <v>53</v>
      </c>
      <c r="T977" t="s">
        <v>53</v>
      </c>
      <c r="U977" t="s">
        <v>53</v>
      </c>
      <c r="V977" t="s">
        <v>53</v>
      </c>
      <c r="W977" t="s">
        <v>53</v>
      </c>
      <c r="X977" s="22" t="s">
        <v>53</v>
      </c>
      <c r="Y977" s="22" t="s">
        <v>53</v>
      </c>
      <c r="Z977" s="22" t="s">
        <v>53</v>
      </c>
      <c r="AA977" s="22" t="s">
        <v>53</v>
      </c>
      <c r="AB977" t="s">
        <v>53</v>
      </c>
      <c r="AC977" t="s">
        <v>53</v>
      </c>
      <c r="AD977" t="s">
        <v>53</v>
      </c>
      <c r="AE977" t="s">
        <v>53</v>
      </c>
      <c r="AF977" s="22" t="s">
        <v>53</v>
      </c>
      <c r="AG977" s="22" t="s">
        <v>53</v>
      </c>
      <c r="AH977" s="22" t="s">
        <v>53</v>
      </c>
      <c r="AI977" s="22" t="s">
        <v>53</v>
      </c>
      <c r="AJ977">
        <v>0</v>
      </c>
      <c r="AK977">
        <v>0</v>
      </c>
      <c r="AL977">
        <v>0</v>
      </c>
      <c r="AM977">
        <v>1</v>
      </c>
      <c r="AN977" s="22" t="s">
        <v>53</v>
      </c>
      <c r="AO977" s="22" t="s">
        <v>53</v>
      </c>
      <c r="AP977" s="22" t="s">
        <v>53</v>
      </c>
      <c r="AQ977" s="22">
        <v>0</v>
      </c>
      <c r="AR977" s="35">
        <v>0</v>
      </c>
      <c r="AS977" s="35">
        <v>0</v>
      </c>
      <c r="AT977" s="35">
        <v>0</v>
      </c>
      <c r="AU977" s="31" t="str">
        <f t="shared" si="19"/>
        <v>库存为0</v>
      </c>
      <c r="AV977" s="36" t="str">
        <f>IFERROR(时间!$B$4+AU977,"上周无销量")</f>
        <v>上周无销量</v>
      </c>
    </row>
    <row r="978" spans="1:48">
      <c r="A978" s="20" t="s">
        <v>2191</v>
      </c>
      <c r="B978" t="s">
        <v>486</v>
      </c>
      <c r="C978" t="s">
        <v>2190</v>
      </c>
      <c r="D978" s="31">
        <v>0</v>
      </c>
      <c r="E978" s="31">
        <v>0</v>
      </c>
      <c r="F978" s="31">
        <v>0</v>
      </c>
      <c r="G978" s="31">
        <v>0</v>
      </c>
      <c r="H978" s="32">
        <v>0</v>
      </c>
      <c r="I978">
        <v>0</v>
      </c>
      <c r="J978" s="33">
        <v>0</v>
      </c>
      <c r="K978" s="33">
        <v>0</v>
      </c>
      <c r="L978" s="33">
        <v>0</v>
      </c>
      <c r="M978">
        <v>0</v>
      </c>
      <c r="N978">
        <v>0</v>
      </c>
      <c r="O978">
        <v>0</v>
      </c>
      <c r="P978" t="s">
        <v>53</v>
      </c>
      <c r="Q978" t="s">
        <v>53</v>
      </c>
      <c r="R978" t="s">
        <v>53</v>
      </c>
      <c r="S978" t="s">
        <v>53</v>
      </c>
      <c r="T978" t="s">
        <v>53</v>
      </c>
      <c r="U978" t="s">
        <v>53</v>
      </c>
      <c r="V978" t="s">
        <v>53</v>
      </c>
      <c r="W978" t="s">
        <v>53</v>
      </c>
      <c r="X978" s="22" t="s">
        <v>53</v>
      </c>
      <c r="Y978" s="22" t="s">
        <v>53</v>
      </c>
      <c r="Z978" s="22" t="s">
        <v>53</v>
      </c>
      <c r="AA978" s="22" t="s">
        <v>53</v>
      </c>
      <c r="AB978" t="s">
        <v>53</v>
      </c>
      <c r="AC978" t="s">
        <v>53</v>
      </c>
      <c r="AD978" t="s">
        <v>53</v>
      </c>
      <c r="AE978" t="s">
        <v>53</v>
      </c>
      <c r="AF978" s="22" t="s">
        <v>53</v>
      </c>
      <c r="AG978" s="22" t="s">
        <v>53</v>
      </c>
      <c r="AH978" s="22" t="s">
        <v>53</v>
      </c>
      <c r="AI978" s="22" t="s">
        <v>53</v>
      </c>
      <c r="AJ978">
        <v>0</v>
      </c>
      <c r="AK978">
        <v>0</v>
      </c>
      <c r="AL978">
        <v>0</v>
      </c>
      <c r="AM978">
        <v>1</v>
      </c>
      <c r="AN978" s="22" t="s">
        <v>53</v>
      </c>
      <c r="AO978" s="22" t="s">
        <v>53</v>
      </c>
      <c r="AP978" s="22" t="s">
        <v>53</v>
      </c>
      <c r="AQ978" s="22">
        <v>0</v>
      </c>
      <c r="AR978" s="35">
        <v>0</v>
      </c>
      <c r="AS978" s="35">
        <v>0</v>
      </c>
      <c r="AT978" s="35">
        <v>0</v>
      </c>
      <c r="AU978" s="31" t="str">
        <f t="shared" si="19"/>
        <v>库存为0</v>
      </c>
      <c r="AV978" s="36" t="str">
        <f>IFERROR(时间!$B$4+AU978,"上周无销量")</f>
        <v>上周无销量</v>
      </c>
    </row>
    <row r="979" spans="1:48">
      <c r="A979" s="20" t="s">
        <v>2192</v>
      </c>
      <c r="B979" t="s">
        <v>488</v>
      </c>
      <c r="C979" t="s">
        <v>2190</v>
      </c>
      <c r="D979" s="31">
        <v>0</v>
      </c>
      <c r="E979" s="31">
        <v>0</v>
      </c>
      <c r="F979" s="31">
        <v>0</v>
      </c>
      <c r="G979" s="31">
        <v>0</v>
      </c>
      <c r="H979" s="32">
        <v>0</v>
      </c>
      <c r="I979">
        <v>0</v>
      </c>
      <c r="J979" s="33">
        <v>0</v>
      </c>
      <c r="K979" s="33">
        <v>0</v>
      </c>
      <c r="L979" s="33">
        <v>0</v>
      </c>
      <c r="M979">
        <v>0</v>
      </c>
      <c r="N979">
        <v>0</v>
      </c>
      <c r="O979">
        <v>0</v>
      </c>
      <c r="P979" t="s">
        <v>53</v>
      </c>
      <c r="Q979" t="s">
        <v>53</v>
      </c>
      <c r="R979" t="s">
        <v>53</v>
      </c>
      <c r="S979" t="s">
        <v>53</v>
      </c>
      <c r="T979" t="s">
        <v>53</v>
      </c>
      <c r="U979" t="s">
        <v>53</v>
      </c>
      <c r="V979" t="s">
        <v>53</v>
      </c>
      <c r="W979" t="s">
        <v>53</v>
      </c>
      <c r="X979" s="22" t="s">
        <v>53</v>
      </c>
      <c r="Y979" s="22" t="s">
        <v>53</v>
      </c>
      <c r="Z979" s="22" t="s">
        <v>53</v>
      </c>
      <c r="AA979" s="22" t="s">
        <v>53</v>
      </c>
      <c r="AB979" t="s">
        <v>53</v>
      </c>
      <c r="AC979" t="s">
        <v>53</v>
      </c>
      <c r="AD979" t="s">
        <v>53</v>
      </c>
      <c r="AE979" t="s">
        <v>53</v>
      </c>
      <c r="AF979" s="22" t="s">
        <v>53</v>
      </c>
      <c r="AG979" s="22" t="s">
        <v>53</v>
      </c>
      <c r="AH979" s="22" t="s">
        <v>53</v>
      </c>
      <c r="AI979" s="22" t="s">
        <v>53</v>
      </c>
      <c r="AJ979">
        <v>0</v>
      </c>
      <c r="AK979">
        <v>0</v>
      </c>
      <c r="AL979">
        <v>0</v>
      </c>
      <c r="AM979">
        <v>1</v>
      </c>
      <c r="AN979" s="22" t="s">
        <v>53</v>
      </c>
      <c r="AO979" s="22" t="s">
        <v>53</v>
      </c>
      <c r="AP979" s="22" t="s">
        <v>53</v>
      </c>
      <c r="AQ979" s="22">
        <v>0</v>
      </c>
      <c r="AR979" s="35">
        <v>0</v>
      </c>
      <c r="AS979" s="35">
        <v>0</v>
      </c>
      <c r="AT979" s="35">
        <v>0</v>
      </c>
      <c r="AU979" s="31" t="str">
        <f t="shared" si="19"/>
        <v>库存为0</v>
      </c>
      <c r="AV979" s="36" t="str">
        <f>IFERROR(时间!$B$4+AU979,"上周无销量")</f>
        <v>上周无销量</v>
      </c>
    </row>
    <row r="980" spans="1:48">
      <c r="A980" s="20" t="s">
        <v>2193</v>
      </c>
      <c r="B980" t="s">
        <v>490</v>
      </c>
      <c r="C980" t="s">
        <v>2190</v>
      </c>
      <c r="D980" s="31">
        <v>0</v>
      </c>
      <c r="E980" s="31">
        <v>0</v>
      </c>
      <c r="F980" s="31">
        <v>0</v>
      </c>
      <c r="G980" s="31">
        <v>0</v>
      </c>
      <c r="H980" s="32">
        <v>0</v>
      </c>
      <c r="I980">
        <v>0</v>
      </c>
      <c r="J980" s="33">
        <v>0</v>
      </c>
      <c r="K980" s="33">
        <v>0</v>
      </c>
      <c r="L980" s="33">
        <v>0</v>
      </c>
      <c r="M980">
        <v>0</v>
      </c>
      <c r="N980">
        <v>0</v>
      </c>
      <c r="O980">
        <v>0</v>
      </c>
      <c r="P980" t="s">
        <v>53</v>
      </c>
      <c r="Q980" t="s">
        <v>53</v>
      </c>
      <c r="R980" t="s">
        <v>53</v>
      </c>
      <c r="S980" t="s">
        <v>53</v>
      </c>
      <c r="T980" t="s">
        <v>53</v>
      </c>
      <c r="U980" t="s">
        <v>53</v>
      </c>
      <c r="V980" t="s">
        <v>53</v>
      </c>
      <c r="W980" t="s">
        <v>53</v>
      </c>
      <c r="X980" s="22" t="s">
        <v>53</v>
      </c>
      <c r="Y980" s="22" t="s">
        <v>53</v>
      </c>
      <c r="Z980" s="22" t="s">
        <v>53</v>
      </c>
      <c r="AA980" s="22" t="s">
        <v>53</v>
      </c>
      <c r="AB980" t="s">
        <v>53</v>
      </c>
      <c r="AC980" t="s">
        <v>53</v>
      </c>
      <c r="AD980" t="s">
        <v>53</v>
      </c>
      <c r="AE980" t="s">
        <v>53</v>
      </c>
      <c r="AF980" s="22" t="s">
        <v>53</v>
      </c>
      <c r="AG980" s="22" t="s">
        <v>53</v>
      </c>
      <c r="AH980" s="22" t="s">
        <v>53</v>
      </c>
      <c r="AI980" s="22" t="s">
        <v>53</v>
      </c>
      <c r="AJ980">
        <v>0</v>
      </c>
      <c r="AK980">
        <v>0</v>
      </c>
      <c r="AL980">
        <v>0</v>
      </c>
      <c r="AM980">
        <v>1</v>
      </c>
      <c r="AN980" s="22" t="s">
        <v>53</v>
      </c>
      <c r="AO980" s="22" t="s">
        <v>53</v>
      </c>
      <c r="AP980" s="22" t="s">
        <v>53</v>
      </c>
      <c r="AQ980" s="22">
        <v>0</v>
      </c>
      <c r="AR980" s="35">
        <v>0</v>
      </c>
      <c r="AS980" s="35">
        <v>0</v>
      </c>
      <c r="AT980" s="35">
        <v>0</v>
      </c>
      <c r="AU980" s="31" t="str">
        <f t="shared" si="19"/>
        <v>库存为0</v>
      </c>
      <c r="AV980" s="36" t="str">
        <f>IFERROR(时间!$B$4+AU980,"上周无销量")</f>
        <v>上周无销量</v>
      </c>
    </row>
    <row r="981" spans="1:48">
      <c r="A981" s="20" t="s">
        <v>2194</v>
      </c>
      <c r="B981" t="s">
        <v>2195</v>
      </c>
      <c r="C981" t="s">
        <v>2196</v>
      </c>
      <c r="D981" s="31">
        <v>0</v>
      </c>
      <c r="E981" s="31">
        <v>0</v>
      </c>
      <c r="F981" s="31">
        <v>0</v>
      </c>
      <c r="G981" s="31">
        <v>0</v>
      </c>
      <c r="H981" s="32">
        <v>0</v>
      </c>
      <c r="I981">
        <v>5</v>
      </c>
      <c r="J981" s="33">
        <v>0</v>
      </c>
      <c r="K981" s="33">
        <v>0</v>
      </c>
      <c r="L981" s="33">
        <v>0</v>
      </c>
      <c r="M981">
        <v>5</v>
      </c>
      <c r="N981">
        <v>0</v>
      </c>
      <c r="O981">
        <v>5</v>
      </c>
      <c r="P981" t="s">
        <v>53</v>
      </c>
      <c r="Q981" t="s">
        <v>53</v>
      </c>
      <c r="R981" t="s">
        <v>53</v>
      </c>
      <c r="S981" t="s">
        <v>53</v>
      </c>
      <c r="T981" t="s">
        <v>53</v>
      </c>
      <c r="U981" t="s">
        <v>53</v>
      </c>
      <c r="V981" t="s">
        <v>53</v>
      </c>
      <c r="W981" t="s">
        <v>53</v>
      </c>
      <c r="X981" s="22" t="s">
        <v>53</v>
      </c>
      <c r="Y981" s="22" t="s">
        <v>53</v>
      </c>
      <c r="Z981" s="22" t="s">
        <v>53</v>
      </c>
      <c r="AA981" s="22" t="s">
        <v>53</v>
      </c>
      <c r="AB981" t="s">
        <v>53</v>
      </c>
      <c r="AC981" t="s">
        <v>53</v>
      </c>
      <c r="AD981" t="s">
        <v>53</v>
      </c>
      <c r="AE981" t="s">
        <v>53</v>
      </c>
      <c r="AF981" s="22" t="s">
        <v>53</v>
      </c>
      <c r="AG981" s="22" t="s">
        <v>53</v>
      </c>
      <c r="AH981" s="22" t="s">
        <v>53</v>
      </c>
      <c r="AI981" s="22" t="s">
        <v>53</v>
      </c>
      <c r="AJ981">
        <v>3</v>
      </c>
      <c r="AK981">
        <v>1</v>
      </c>
      <c r="AL981">
        <v>0</v>
      </c>
      <c r="AM981">
        <v>0</v>
      </c>
      <c r="AN981" s="22">
        <v>0</v>
      </c>
      <c r="AO981" s="22">
        <v>0</v>
      </c>
      <c r="AP981" s="22" t="s">
        <v>53</v>
      </c>
      <c r="AQ981" s="22" t="s">
        <v>53</v>
      </c>
      <c r="AR981" s="35">
        <v>0</v>
      </c>
      <c r="AS981" s="35">
        <v>0</v>
      </c>
      <c r="AT981" s="35">
        <v>5</v>
      </c>
      <c r="AU981" s="31" t="str">
        <f t="shared" si="19"/>
        <v>库存为5</v>
      </c>
      <c r="AV981" s="36" t="str">
        <f>IFERROR(时间!$B$4+AU981,"上周无销量")</f>
        <v>上周无销量</v>
      </c>
    </row>
    <row r="982" spans="1:48">
      <c r="A982" s="20" t="s">
        <v>2197</v>
      </c>
      <c r="B982" t="s">
        <v>2198</v>
      </c>
      <c r="C982" t="s">
        <v>2196</v>
      </c>
      <c r="D982" s="31">
        <v>0</v>
      </c>
      <c r="E982" s="31">
        <v>0</v>
      </c>
      <c r="F982" s="31">
        <v>0</v>
      </c>
      <c r="G982" s="31">
        <v>0</v>
      </c>
      <c r="H982" s="32">
        <v>0</v>
      </c>
      <c r="I982">
        <v>1</v>
      </c>
      <c r="J982" s="33">
        <v>0</v>
      </c>
      <c r="K982" s="33">
        <v>0</v>
      </c>
      <c r="L982" s="33">
        <v>0</v>
      </c>
      <c r="M982">
        <v>1</v>
      </c>
      <c r="N982">
        <v>0</v>
      </c>
      <c r="O982">
        <v>1</v>
      </c>
      <c r="P982" t="s">
        <v>53</v>
      </c>
      <c r="Q982" t="s">
        <v>53</v>
      </c>
      <c r="R982" t="s">
        <v>53</v>
      </c>
      <c r="S982" t="s">
        <v>53</v>
      </c>
      <c r="T982" t="s">
        <v>53</v>
      </c>
      <c r="U982" t="s">
        <v>53</v>
      </c>
      <c r="V982" t="s">
        <v>53</v>
      </c>
      <c r="W982" t="s">
        <v>53</v>
      </c>
      <c r="X982" s="22" t="s">
        <v>53</v>
      </c>
      <c r="Y982" s="22" t="s">
        <v>53</v>
      </c>
      <c r="Z982" s="22" t="s">
        <v>53</v>
      </c>
      <c r="AA982" s="22" t="s">
        <v>53</v>
      </c>
      <c r="AB982" t="s">
        <v>53</v>
      </c>
      <c r="AC982" t="s">
        <v>53</v>
      </c>
      <c r="AD982" t="s">
        <v>53</v>
      </c>
      <c r="AE982" t="s">
        <v>53</v>
      </c>
      <c r="AF982" s="22" t="s">
        <v>53</v>
      </c>
      <c r="AG982" s="22" t="s">
        <v>53</v>
      </c>
      <c r="AH982" s="22" t="s">
        <v>53</v>
      </c>
      <c r="AI982" s="22" t="s">
        <v>53</v>
      </c>
      <c r="AJ982">
        <v>3</v>
      </c>
      <c r="AK982">
        <v>1</v>
      </c>
      <c r="AL982">
        <v>1</v>
      </c>
      <c r="AM982">
        <v>9</v>
      </c>
      <c r="AN982" s="22">
        <v>0</v>
      </c>
      <c r="AO982" s="22">
        <v>0</v>
      </c>
      <c r="AP982" s="22">
        <v>0</v>
      </c>
      <c r="AQ982" s="22">
        <v>0</v>
      </c>
      <c r="AR982" s="35">
        <v>0</v>
      </c>
      <c r="AS982" s="35">
        <v>0</v>
      </c>
      <c r="AT982" s="35">
        <v>1</v>
      </c>
      <c r="AU982" s="31" t="str">
        <f t="shared" si="19"/>
        <v>库存为1</v>
      </c>
      <c r="AV982" s="36" t="str">
        <f>IFERROR(时间!$B$4+AU982,"上周无销量")</f>
        <v>上周无销量</v>
      </c>
    </row>
    <row r="983" spans="1:48">
      <c r="A983" s="20" t="s">
        <v>2199</v>
      </c>
      <c r="B983" t="s">
        <v>2200</v>
      </c>
      <c r="C983" t="s">
        <v>2196</v>
      </c>
      <c r="D983" s="31">
        <v>0</v>
      </c>
      <c r="E983" s="31">
        <v>0</v>
      </c>
      <c r="F983" s="31">
        <v>0</v>
      </c>
      <c r="G983" s="31">
        <v>0</v>
      </c>
      <c r="H983" s="32">
        <v>0</v>
      </c>
      <c r="I983">
        <v>4</v>
      </c>
      <c r="J983" s="33">
        <v>0</v>
      </c>
      <c r="K983" s="33">
        <v>0</v>
      </c>
      <c r="L983" s="33">
        <v>0</v>
      </c>
      <c r="M983">
        <v>4</v>
      </c>
      <c r="N983">
        <v>0</v>
      </c>
      <c r="O983">
        <v>4</v>
      </c>
      <c r="P983" t="s">
        <v>53</v>
      </c>
      <c r="Q983" t="s">
        <v>53</v>
      </c>
      <c r="R983" t="s">
        <v>53</v>
      </c>
      <c r="S983" t="s">
        <v>53</v>
      </c>
      <c r="T983" t="s">
        <v>53</v>
      </c>
      <c r="U983" t="s">
        <v>53</v>
      </c>
      <c r="V983" t="s">
        <v>53</v>
      </c>
      <c r="W983" t="s">
        <v>53</v>
      </c>
      <c r="X983" s="22" t="s">
        <v>53</v>
      </c>
      <c r="Y983" s="22" t="s">
        <v>53</v>
      </c>
      <c r="Z983" s="22" t="s">
        <v>53</v>
      </c>
      <c r="AA983" s="22" t="s">
        <v>53</v>
      </c>
      <c r="AB983" t="s">
        <v>53</v>
      </c>
      <c r="AC983" t="s">
        <v>53</v>
      </c>
      <c r="AD983" t="s">
        <v>53</v>
      </c>
      <c r="AE983" t="s">
        <v>53</v>
      </c>
      <c r="AF983" s="22" t="s">
        <v>53</v>
      </c>
      <c r="AG983" s="22" t="s">
        <v>53</v>
      </c>
      <c r="AH983" s="22" t="s">
        <v>53</v>
      </c>
      <c r="AI983" s="22" t="s">
        <v>53</v>
      </c>
      <c r="AJ983">
        <v>5</v>
      </c>
      <c r="AK983">
        <v>1</v>
      </c>
      <c r="AL983">
        <v>0</v>
      </c>
      <c r="AM983">
        <v>3</v>
      </c>
      <c r="AN983" s="22">
        <v>0</v>
      </c>
      <c r="AO983" s="22">
        <v>0</v>
      </c>
      <c r="AP983" s="22" t="s">
        <v>53</v>
      </c>
      <c r="AQ983" s="22">
        <v>0</v>
      </c>
      <c r="AR983" s="35">
        <v>0</v>
      </c>
      <c r="AS983" s="35">
        <v>0</v>
      </c>
      <c r="AT983" s="35">
        <v>4</v>
      </c>
      <c r="AU983" s="31" t="str">
        <f t="shared" si="19"/>
        <v>库存为4</v>
      </c>
      <c r="AV983" s="36" t="str">
        <f>IFERROR(时间!$B$4+AU983,"上周无销量")</f>
        <v>上周无销量</v>
      </c>
    </row>
    <row r="984" spans="1:48">
      <c r="A984" s="20" t="s">
        <v>2201</v>
      </c>
      <c r="B984" t="s">
        <v>2202</v>
      </c>
      <c r="C984" t="s">
        <v>2196</v>
      </c>
      <c r="D984" s="31">
        <v>0</v>
      </c>
      <c r="E984" s="31">
        <v>0</v>
      </c>
      <c r="F984" s="31">
        <v>0</v>
      </c>
      <c r="G984" s="31">
        <v>0</v>
      </c>
      <c r="H984" s="32">
        <v>0</v>
      </c>
      <c r="I984">
        <v>0</v>
      </c>
      <c r="J984" s="33">
        <v>0</v>
      </c>
      <c r="K984" s="33">
        <v>0</v>
      </c>
      <c r="L984" s="33">
        <v>0</v>
      </c>
      <c r="M984">
        <v>0</v>
      </c>
      <c r="N984">
        <v>0</v>
      </c>
      <c r="O984">
        <v>0</v>
      </c>
      <c r="P984" t="s">
        <v>53</v>
      </c>
      <c r="Q984" t="s">
        <v>53</v>
      </c>
      <c r="R984" t="s">
        <v>53</v>
      </c>
      <c r="S984" t="s">
        <v>53</v>
      </c>
      <c r="T984" t="s">
        <v>53</v>
      </c>
      <c r="U984" t="s">
        <v>53</v>
      </c>
      <c r="V984" t="s">
        <v>53</v>
      </c>
      <c r="W984" t="s">
        <v>53</v>
      </c>
      <c r="X984" s="22" t="s">
        <v>53</v>
      </c>
      <c r="Y984" s="22" t="s">
        <v>53</v>
      </c>
      <c r="Z984" s="22" t="s">
        <v>53</v>
      </c>
      <c r="AA984" s="22" t="s">
        <v>53</v>
      </c>
      <c r="AB984" t="s">
        <v>53</v>
      </c>
      <c r="AC984" t="s">
        <v>53</v>
      </c>
      <c r="AD984" t="s">
        <v>53</v>
      </c>
      <c r="AE984" t="s">
        <v>53</v>
      </c>
      <c r="AF984" s="22" t="s">
        <v>53</v>
      </c>
      <c r="AG984" s="22" t="s">
        <v>53</v>
      </c>
      <c r="AH984" s="22" t="s">
        <v>53</v>
      </c>
      <c r="AI984" s="22" t="s">
        <v>53</v>
      </c>
      <c r="AJ984">
        <v>0</v>
      </c>
      <c r="AK984">
        <v>0</v>
      </c>
      <c r="AL984">
        <v>0</v>
      </c>
      <c r="AM984">
        <v>0</v>
      </c>
      <c r="AN984" s="22" t="s">
        <v>53</v>
      </c>
      <c r="AO984" s="22" t="s">
        <v>53</v>
      </c>
      <c r="AP984" s="22" t="s">
        <v>53</v>
      </c>
      <c r="AQ984" s="22" t="s">
        <v>53</v>
      </c>
      <c r="AR984" s="35">
        <v>0</v>
      </c>
      <c r="AS984" s="35">
        <v>0</v>
      </c>
      <c r="AT984" s="35">
        <v>0</v>
      </c>
      <c r="AU984" s="31" t="str">
        <f t="shared" si="19"/>
        <v>库存为0</v>
      </c>
      <c r="AV984" s="36" t="str">
        <f>IFERROR(时间!$B$4+AU984,"上周无销量")</f>
        <v>上周无销量</v>
      </c>
    </row>
    <row r="985" spans="1:48">
      <c r="A985" s="20" t="s">
        <v>2203</v>
      </c>
      <c r="B985" t="s">
        <v>2204</v>
      </c>
      <c r="C985" t="s">
        <v>2196</v>
      </c>
      <c r="D985" s="31">
        <v>0</v>
      </c>
      <c r="E985" s="31">
        <v>0</v>
      </c>
      <c r="F985" s="31">
        <v>0</v>
      </c>
      <c r="G985" s="31">
        <v>0</v>
      </c>
      <c r="H985" s="32">
        <v>0</v>
      </c>
      <c r="I985">
        <v>1</v>
      </c>
      <c r="J985" s="33">
        <v>0</v>
      </c>
      <c r="K985" s="33">
        <v>0</v>
      </c>
      <c r="L985" s="33">
        <v>0</v>
      </c>
      <c r="M985">
        <v>1</v>
      </c>
      <c r="N985">
        <v>0</v>
      </c>
      <c r="O985">
        <v>1</v>
      </c>
      <c r="P985" t="s">
        <v>53</v>
      </c>
      <c r="Q985" t="s">
        <v>53</v>
      </c>
      <c r="R985" t="s">
        <v>53</v>
      </c>
      <c r="S985" t="s">
        <v>53</v>
      </c>
      <c r="T985" t="s">
        <v>53</v>
      </c>
      <c r="U985" t="s">
        <v>53</v>
      </c>
      <c r="V985" t="s">
        <v>53</v>
      </c>
      <c r="W985" t="s">
        <v>53</v>
      </c>
      <c r="X985" s="22" t="s">
        <v>53</v>
      </c>
      <c r="Y985" s="22" t="s">
        <v>53</v>
      </c>
      <c r="Z985" s="22" t="s">
        <v>53</v>
      </c>
      <c r="AA985" s="22" t="s">
        <v>53</v>
      </c>
      <c r="AB985" t="s">
        <v>53</v>
      </c>
      <c r="AC985" t="s">
        <v>53</v>
      </c>
      <c r="AD985" t="s">
        <v>53</v>
      </c>
      <c r="AE985" t="s">
        <v>53</v>
      </c>
      <c r="AF985" s="22" t="s">
        <v>53</v>
      </c>
      <c r="AG985" s="22" t="s">
        <v>53</v>
      </c>
      <c r="AH985" s="22" t="s">
        <v>53</v>
      </c>
      <c r="AI985" s="22" t="s">
        <v>53</v>
      </c>
      <c r="AJ985">
        <v>6</v>
      </c>
      <c r="AK985">
        <v>2</v>
      </c>
      <c r="AL985">
        <v>2</v>
      </c>
      <c r="AM985">
        <v>6</v>
      </c>
      <c r="AN985" s="22">
        <v>0</v>
      </c>
      <c r="AO985" s="22">
        <v>0</v>
      </c>
      <c r="AP985" s="22">
        <v>0</v>
      </c>
      <c r="AQ985" s="22">
        <v>0</v>
      </c>
      <c r="AR985" s="35">
        <v>0</v>
      </c>
      <c r="AS985" s="35">
        <v>0</v>
      </c>
      <c r="AT985" s="35">
        <v>1</v>
      </c>
      <c r="AU985" s="31" t="str">
        <f t="shared" si="19"/>
        <v>库存为1</v>
      </c>
      <c r="AV985" s="36" t="str">
        <f>IFERROR(时间!$B$4+AU985,"上周无销量")</f>
        <v>上周无销量</v>
      </c>
    </row>
    <row r="986" spans="1:48">
      <c r="A986" s="20" t="s">
        <v>2205</v>
      </c>
      <c r="B986" t="s">
        <v>2206</v>
      </c>
      <c r="C986" t="s">
        <v>2196</v>
      </c>
      <c r="D986" s="31">
        <v>0</v>
      </c>
      <c r="E986" s="31">
        <v>0</v>
      </c>
      <c r="F986" s="31">
        <v>0</v>
      </c>
      <c r="G986" s="31">
        <v>0</v>
      </c>
      <c r="H986" s="32">
        <v>0</v>
      </c>
      <c r="I986">
        <v>5</v>
      </c>
      <c r="J986" s="33">
        <v>0</v>
      </c>
      <c r="K986" s="33">
        <v>0</v>
      </c>
      <c r="L986" s="33">
        <v>0</v>
      </c>
      <c r="M986">
        <v>5</v>
      </c>
      <c r="N986">
        <v>0</v>
      </c>
      <c r="O986">
        <v>5</v>
      </c>
      <c r="P986" t="s">
        <v>53</v>
      </c>
      <c r="Q986" t="s">
        <v>53</v>
      </c>
      <c r="R986" t="s">
        <v>53</v>
      </c>
      <c r="S986" t="s">
        <v>53</v>
      </c>
      <c r="T986" t="s">
        <v>53</v>
      </c>
      <c r="U986" t="s">
        <v>53</v>
      </c>
      <c r="V986" t="s">
        <v>53</v>
      </c>
      <c r="W986" t="s">
        <v>53</v>
      </c>
      <c r="X986" s="22" t="s">
        <v>53</v>
      </c>
      <c r="Y986" s="22" t="s">
        <v>53</v>
      </c>
      <c r="Z986" s="22" t="s">
        <v>53</v>
      </c>
      <c r="AA986" s="22" t="s">
        <v>53</v>
      </c>
      <c r="AB986" t="s">
        <v>53</v>
      </c>
      <c r="AC986" t="s">
        <v>53</v>
      </c>
      <c r="AD986" t="s">
        <v>53</v>
      </c>
      <c r="AE986" t="s">
        <v>53</v>
      </c>
      <c r="AF986" s="22" t="s">
        <v>53</v>
      </c>
      <c r="AG986" s="22" t="s">
        <v>53</v>
      </c>
      <c r="AH986" s="22" t="s">
        <v>53</v>
      </c>
      <c r="AI986" s="22" t="s">
        <v>53</v>
      </c>
      <c r="AJ986">
        <v>6</v>
      </c>
      <c r="AK986">
        <v>1</v>
      </c>
      <c r="AL986">
        <v>1</v>
      </c>
      <c r="AM986">
        <v>4</v>
      </c>
      <c r="AN986" s="22">
        <v>0</v>
      </c>
      <c r="AO986" s="22">
        <v>0</v>
      </c>
      <c r="AP986" s="22">
        <v>0</v>
      </c>
      <c r="AQ986" s="22">
        <v>0</v>
      </c>
      <c r="AR986" s="35">
        <v>0</v>
      </c>
      <c r="AS986" s="35">
        <v>0</v>
      </c>
      <c r="AT986" s="35">
        <v>5</v>
      </c>
      <c r="AU986" s="31" t="str">
        <f t="shared" si="19"/>
        <v>库存为5</v>
      </c>
      <c r="AV986" s="36" t="str">
        <f>IFERROR(时间!$B$4+AU986,"上周无销量")</f>
        <v>上周无销量</v>
      </c>
    </row>
    <row r="987" spans="1:48">
      <c r="A987" s="20" t="s">
        <v>2207</v>
      </c>
      <c r="B987" t="s">
        <v>2208</v>
      </c>
      <c r="C987" t="s">
        <v>2196</v>
      </c>
      <c r="D987" s="31">
        <v>0</v>
      </c>
      <c r="E987" s="31">
        <v>0</v>
      </c>
      <c r="F987" s="31">
        <v>1</v>
      </c>
      <c r="G987" s="31">
        <v>0</v>
      </c>
      <c r="H987" s="32">
        <v>17.99</v>
      </c>
      <c r="I987">
        <v>1</v>
      </c>
      <c r="J987" s="33">
        <v>0</v>
      </c>
      <c r="K987" s="33">
        <v>0</v>
      </c>
      <c r="L987" s="33">
        <v>0</v>
      </c>
      <c r="M987">
        <v>1</v>
      </c>
      <c r="N987">
        <v>0</v>
      </c>
      <c r="O987">
        <v>1</v>
      </c>
      <c r="P987" t="s">
        <v>53</v>
      </c>
      <c r="Q987" t="s">
        <v>53</v>
      </c>
      <c r="R987" t="s">
        <v>53</v>
      </c>
      <c r="S987" t="s">
        <v>53</v>
      </c>
      <c r="T987" t="s">
        <v>53</v>
      </c>
      <c r="U987" t="s">
        <v>53</v>
      </c>
      <c r="V987" t="s">
        <v>53</v>
      </c>
      <c r="W987" t="s">
        <v>53</v>
      </c>
      <c r="X987" s="22" t="s">
        <v>53</v>
      </c>
      <c r="Y987" s="22" t="s">
        <v>53</v>
      </c>
      <c r="Z987" s="22" t="s">
        <v>53</v>
      </c>
      <c r="AA987" s="22" t="s">
        <v>53</v>
      </c>
      <c r="AB987" t="s">
        <v>53</v>
      </c>
      <c r="AC987" t="s">
        <v>53</v>
      </c>
      <c r="AD987" t="s">
        <v>53</v>
      </c>
      <c r="AE987" t="s">
        <v>53</v>
      </c>
      <c r="AF987" s="22" t="s">
        <v>53</v>
      </c>
      <c r="AG987" s="22" t="s">
        <v>53</v>
      </c>
      <c r="AH987" s="22" t="s">
        <v>53</v>
      </c>
      <c r="AI987" s="22" t="s">
        <v>53</v>
      </c>
      <c r="AJ987">
        <v>8</v>
      </c>
      <c r="AK987">
        <v>3</v>
      </c>
      <c r="AL987">
        <v>2</v>
      </c>
      <c r="AM987">
        <v>7</v>
      </c>
      <c r="AN987" s="22">
        <v>0</v>
      </c>
      <c r="AO987" s="22">
        <v>0</v>
      </c>
      <c r="AP987" s="22">
        <v>0.5</v>
      </c>
      <c r="AQ987" s="22">
        <v>0</v>
      </c>
      <c r="AR987" s="35">
        <v>0</v>
      </c>
      <c r="AS987" s="35">
        <v>0</v>
      </c>
      <c r="AT987" s="35">
        <v>1</v>
      </c>
      <c r="AU987" s="31" t="str">
        <f t="shared" si="19"/>
        <v>库存为1</v>
      </c>
      <c r="AV987" s="36" t="str">
        <f>IFERROR(时间!$B$4+AU987,"上周无销量")</f>
        <v>上周无销量</v>
      </c>
    </row>
    <row r="988" spans="1:48">
      <c r="A988" s="20" t="s">
        <v>2209</v>
      </c>
      <c r="B988" t="s">
        <v>2210</v>
      </c>
      <c r="C988" t="s">
        <v>2196</v>
      </c>
      <c r="D988" s="31">
        <v>0</v>
      </c>
      <c r="E988" s="31">
        <v>0</v>
      </c>
      <c r="F988" s="31">
        <v>1</v>
      </c>
      <c r="G988" s="31">
        <v>0</v>
      </c>
      <c r="H988" s="32">
        <v>17.99</v>
      </c>
      <c r="I988">
        <v>0</v>
      </c>
      <c r="J988" s="33">
        <v>0</v>
      </c>
      <c r="K988" s="33">
        <v>0</v>
      </c>
      <c r="L988" s="33">
        <v>0</v>
      </c>
      <c r="M988">
        <v>0</v>
      </c>
      <c r="N988">
        <v>0</v>
      </c>
      <c r="O988">
        <v>0</v>
      </c>
      <c r="P988" t="s">
        <v>53</v>
      </c>
      <c r="Q988" t="s">
        <v>53</v>
      </c>
      <c r="R988" t="s">
        <v>53</v>
      </c>
      <c r="S988" t="s">
        <v>53</v>
      </c>
      <c r="T988" t="s">
        <v>53</v>
      </c>
      <c r="U988" t="s">
        <v>53</v>
      </c>
      <c r="V988" t="s">
        <v>53</v>
      </c>
      <c r="W988" t="s">
        <v>53</v>
      </c>
      <c r="X988" s="22" t="s">
        <v>53</v>
      </c>
      <c r="Y988" s="22" t="s">
        <v>53</v>
      </c>
      <c r="Z988" s="22" t="s">
        <v>53</v>
      </c>
      <c r="AA988" s="22" t="s">
        <v>53</v>
      </c>
      <c r="AB988" t="s">
        <v>53</v>
      </c>
      <c r="AC988" t="s">
        <v>53</v>
      </c>
      <c r="AD988" t="s">
        <v>53</v>
      </c>
      <c r="AE988" t="s">
        <v>53</v>
      </c>
      <c r="AF988" s="22" t="s">
        <v>53</v>
      </c>
      <c r="AG988" s="22" t="s">
        <v>53</v>
      </c>
      <c r="AH988" s="22" t="s">
        <v>53</v>
      </c>
      <c r="AI988" s="22" t="s">
        <v>53</v>
      </c>
      <c r="AJ988">
        <v>0</v>
      </c>
      <c r="AK988">
        <v>0</v>
      </c>
      <c r="AL988">
        <v>0</v>
      </c>
      <c r="AM988">
        <v>2</v>
      </c>
      <c r="AN988" s="22" t="s">
        <v>53</v>
      </c>
      <c r="AO988" s="22" t="s">
        <v>53</v>
      </c>
      <c r="AP988" s="22" t="s">
        <v>53</v>
      </c>
      <c r="AQ988" s="22">
        <v>0</v>
      </c>
      <c r="AR988" s="35">
        <v>0</v>
      </c>
      <c r="AS988" s="35">
        <v>0</v>
      </c>
      <c r="AT988" s="35">
        <v>0</v>
      </c>
      <c r="AU988" s="31" t="str">
        <f t="shared" si="19"/>
        <v>库存为0</v>
      </c>
      <c r="AV988" s="36" t="str">
        <f>IFERROR(时间!$B$4+AU988,"上周无销量")</f>
        <v>上周无销量</v>
      </c>
    </row>
    <row r="989" spans="1:48">
      <c r="A989" s="20" t="s">
        <v>2211</v>
      </c>
      <c r="B989" t="s">
        <v>2212</v>
      </c>
      <c r="C989" t="s">
        <v>2213</v>
      </c>
      <c r="D989" s="31">
        <v>1</v>
      </c>
      <c r="E989" s="31">
        <v>2</v>
      </c>
      <c r="F989" s="31">
        <v>3</v>
      </c>
      <c r="G989" s="31">
        <v>0</v>
      </c>
      <c r="H989" s="32">
        <v>22.99</v>
      </c>
      <c r="I989">
        <v>14</v>
      </c>
      <c r="J989" s="33">
        <v>0</v>
      </c>
      <c r="K989" s="33">
        <v>0</v>
      </c>
      <c r="L989" s="33">
        <v>0</v>
      </c>
      <c r="M989">
        <v>14</v>
      </c>
      <c r="N989">
        <v>0</v>
      </c>
      <c r="O989">
        <v>0</v>
      </c>
      <c r="P989">
        <v>0</v>
      </c>
      <c r="Q989">
        <v>534</v>
      </c>
      <c r="R989">
        <v>0</v>
      </c>
      <c r="S989">
        <v>0</v>
      </c>
      <c r="T989">
        <v>0</v>
      </c>
      <c r="U989">
        <v>1</v>
      </c>
      <c r="V989">
        <v>0</v>
      </c>
      <c r="W989">
        <v>0</v>
      </c>
      <c r="X989" s="22" t="s">
        <v>53</v>
      </c>
      <c r="Y989" s="22">
        <v>0.00187265917602996</v>
      </c>
      <c r="Z989" s="22" t="s">
        <v>53</v>
      </c>
      <c r="AA989" s="22" t="s">
        <v>53</v>
      </c>
      <c r="AB989">
        <v>0</v>
      </c>
      <c r="AC989">
        <v>0.31</v>
      </c>
      <c r="AD989">
        <v>0</v>
      </c>
      <c r="AE989">
        <v>0</v>
      </c>
      <c r="AF989" s="22" t="s">
        <v>53</v>
      </c>
      <c r="AG989" s="22">
        <v>0.00674206176598521</v>
      </c>
      <c r="AH989" s="22" t="s">
        <v>53</v>
      </c>
      <c r="AI989" s="22" t="s">
        <v>53</v>
      </c>
      <c r="AJ989">
        <v>29</v>
      </c>
      <c r="AK989">
        <v>45</v>
      </c>
      <c r="AL989">
        <v>23</v>
      </c>
      <c r="AM989">
        <v>1</v>
      </c>
      <c r="AN989" s="22">
        <v>0.0344827586206897</v>
      </c>
      <c r="AO989" s="22">
        <v>0.0444444444444444</v>
      </c>
      <c r="AP989" s="22">
        <v>0.130434782608696</v>
      </c>
      <c r="AQ989" s="22">
        <v>0</v>
      </c>
      <c r="AR989" s="35">
        <v>0.142857142857143</v>
      </c>
      <c r="AS989" s="35">
        <v>8.57142857142857</v>
      </c>
      <c r="AT989" s="35">
        <v>5.42857142857143</v>
      </c>
      <c r="AU989" s="31">
        <f t="shared" si="19"/>
        <v>98</v>
      </c>
      <c r="AV989" s="36">
        <f>IFERROR(时间!$B$4+AU989,"上周无销量")</f>
        <v>43416</v>
      </c>
    </row>
    <row r="990" spans="1:48">
      <c r="A990" s="20" t="s">
        <v>2214</v>
      </c>
      <c r="B990" t="s">
        <v>2215</v>
      </c>
      <c r="C990" t="s">
        <v>2213</v>
      </c>
      <c r="D990" s="31">
        <v>3</v>
      </c>
      <c r="E990" s="31">
        <v>0</v>
      </c>
      <c r="F990" s="31">
        <v>1</v>
      </c>
      <c r="G990" s="31">
        <v>0</v>
      </c>
      <c r="H990" s="32">
        <v>17.99</v>
      </c>
      <c r="I990">
        <v>14</v>
      </c>
      <c r="J990" s="33">
        <v>0</v>
      </c>
      <c r="K990" s="33">
        <v>0</v>
      </c>
      <c r="L990" s="33">
        <v>1</v>
      </c>
      <c r="M990">
        <v>15</v>
      </c>
      <c r="N990">
        <v>0</v>
      </c>
      <c r="O990">
        <v>0</v>
      </c>
      <c r="P990">
        <v>14085</v>
      </c>
      <c r="Q990">
        <v>9275</v>
      </c>
      <c r="R990">
        <v>3951</v>
      </c>
      <c r="S990">
        <v>0</v>
      </c>
      <c r="T990">
        <v>57</v>
      </c>
      <c r="U990">
        <v>45</v>
      </c>
      <c r="V990">
        <v>23</v>
      </c>
      <c r="W990">
        <v>0</v>
      </c>
      <c r="X990" s="22">
        <v>0.0040468583599574</v>
      </c>
      <c r="Y990" s="22">
        <v>0.00485175202156334</v>
      </c>
      <c r="Z990" s="22">
        <v>0.00582131106049101</v>
      </c>
      <c r="AA990" s="22" t="s">
        <v>53</v>
      </c>
      <c r="AB990">
        <v>38.07</v>
      </c>
      <c r="AC990">
        <v>28.74</v>
      </c>
      <c r="AD990">
        <v>11.51</v>
      </c>
      <c r="AE990">
        <v>0</v>
      </c>
      <c r="AF990" s="22">
        <v>0.705391884380211</v>
      </c>
      <c r="AG990" s="22" t="s">
        <v>2216</v>
      </c>
      <c r="AH990" s="22">
        <v>0.639799888827126</v>
      </c>
      <c r="AI990" s="22" t="s">
        <v>53</v>
      </c>
      <c r="AJ990">
        <v>54</v>
      </c>
      <c r="AK990">
        <v>66</v>
      </c>
      <c r="AL990">
        <v>30</v>
      </c>
      <c r="AM990">
        <v>13</v>
      </c>
      <c r="AN990" s="22">
        <v>0.0555555555555556</v>
      </c>
      <c r="AO990" s="22">
        <v>0</v>
      </c>
      <c r="AP990" s="22">
        <v>0.0333333333333333</v>
      </c>
      <c r="AQ990" s="22">
        <v>0</v>
      </c>
      <c r="AR990" s="35">
        <v>0.428571428571429</v>
      </c>
      <c r="AS990" s="35">
        <v>25.7142857142857</v>
      </c>
      <c r="AT990" s="35">
        <v>-10.7142857142857</v>
      </c>
      <c r="AU990" s="31">
        <f t="shared" si="19"/>
        <v>35</v>
      </c>
      <c r="AV990" s="36">
        <f>IFERROR(时间!$B$4+AU990,"上周无销量")</f>
        <v>43353</v>
      </c>
    </row>
    <row r="991" spans="1:48">
      <c r="A991" s="20" t="s">
        <v>2217</v>
      </c>
      <c r="B991" t="s">
        <v>2218</v>
      </c>
      <c r="C991" t="s">
        <v>2219</v>
      </c>
      <c r="D991" s="31">
        <v>0</v>
      </c>
      <c r="E991" s="31">
        <v>0</v>
      </c>
      <c r="F991" s="31">
        <v>0</v>
      </c>
      <c r="G991" s="31">
        <v>0</v>
      </c>
      <c r="H991" s="32">
        <v>0</v>
      </c>
      <c r="I991">
        <v>0</v>
      </c>
      <c r="J991" s="33">
        <v>0</v>
      </c>
      <c r="K991" s="33">
        <v>0</v>
      </c>
      <c r="L991" s="33">
        <v>0</v>
      </c>
      <c r="M991">
        <v>0</v>
      </c>
      <c r="N991">
        <v>4</v>
      </c>
      <c r="O991">
        <v>0</v>
      </c>
      <c r="P991" t="s">
        <v>53</v>
      </c>
      <c r="Q991" t="s">
        <v>53</v>
      </c>
      <c r="R991" t="s">
        <v>53</v>
      </c>
      <c r="S991" t="s">
        <v>53</v>
      </c>
      <c r="T991" t="s">
        <v>53</v>
      </c>
      <c r="U991" t="s">
        <v>53</v>
      </c>
      <c r="V991" t="s">
        <v>53</v>
      </c>
      <c r="W991" t="s">
        <v>53</v>
      </c>
      <c r="X991" s="22" t="s">
        <v>53</v>
      </c>
      <c r="Y991" s="22" t="s">
        <v>53</v>
      </c>
      <c r="Z991" s="22" t="s">
        <v>53</v>
      </c>
      <c r="AA991" s="22" t="s">
        <v>53</v>
      </c>
      <c r="AB991" t="s">
        <v>53</v>
      </c>
      <c r="AC991" t="s">
        <v>53</v>
      </c>
      <c r="AD991" t="s">
        <v>53</v>
      </c>
      <c r="AE991" t="s">
        <v>53</v>
      </c>
      <c r="AF991" s="22" t="s">
        <v>53</v>
      </c>
      <c r="AG991" s="22" t="s">
        <v>53</v>
      </c>
      <c r="AH991" s="22" t="s">
        <v>53</v>
      </c>
      <c r="AI991" s="22" t="s">
        <v>53</v>
      </c>
      <c r="AJ991">
        <v>0</v>
      </c>
      <c r="AK991">
        <v>0</v>
      </c>
      <c r="AL991">
        <v>0</v>
      </c>
      <c r="AM991">
        <v>0</v>
      </c>
      <c r="AN991" s="22" t="s">
        <v>53</v>
      </c>
      <c r="AO991" s="22" t="s">
        <v>53</v>
      </c>
      <c r="AP991" s="22" t="s">
        <v>53</v>
      </c>
      <c r="AQ991" s="22" t="s">
        <v>53</v>
      </c>
      <c r="AR991" s="35">
        <v>0</v>
      </c>
      <c r="AS991" s="35">
        <v>0</v>
      </c>
      <c r="AT991" s="35">
        <v>0</v>
      </c>
      <c r="AU991" s="31" t="str">
        <f t="shared" si="19"/>
        <v>库存为0</v>
      </c>
      <c r="AV991" s="36" t="str">
        <f>IFERROR(时间!$B$4+AU991,"上周无销量")</f>
        <v>上周无销量</v>
      </c>
    </row>
    <row r="992" spans="1:48">
      <c r="A992" s="20" t="s">
        <v>2183</v>
      </c>
      <c r="B992" t="s">
        <v>2220</v>
      </c>
      <c r="C992" t="s">
        <v>2219</v>
      </c>
      <c r="D992" s="31">
        <v>0</v>
      </c>
      <c r="E992" s="31">
        <v>0</v>
      </c>
      <c r="F992" s="31">
        <v>0</v>
      </c>
      <c r="G992" s="31">
        <v>0</v>
      </c>
      <c r="H992" s="32">
        <v>0</v>
      </c>
      <c r="I992">
        <v>0</v>
      </c>
      <c r="J992" s="33">
        <v>0</v>
      </c>
      <c r="K992" s="33">
        <v>0</v>
      </c>
      <c r="L992" s="33">
        <v>0</v>
      </c>
      <c r="M992">
        <v>0</v>
      </c>
      <c r="N992">
        <v>2</v>
      </c>
      <c r="O992">
        <v>0</v>
      </c>
      <c r="P992" t="s">
        <v>53</v>
      </c>
      <c r="Q992" t="s">
        <v>53</v>
      </c>
      <c r="R992" t="s">
        <v>53</v>
      </c>
      <c r="S992" t="s">
        <v>53</v>
      </c>
      <c r="T992" t="s">
        <v>53</v>
      </c>
      <c r="U992" t="s">
        <v>53</v>
      </c>
      <c r="V992" t="s">
        <v>53</v>
      </c>
      <c r="W992" t="s">
        <v>53</v>
      </c>
      <c r="X992" s="22" t="s">
        <v>53</v>
      </c>
      <c r="Y992" s="22" t="s">
        <v>53</v>
      </c>
      <c r="Z992" s="22" t="s">
        <v>53</v>
      </c>
      <c r="AA992" s="22" t="s">
        <v>53</v>
      </c>
      <c r="AB992" t="s">
        <v>53</v>
      </c>
      <c r="AC992" t="s">
        <v>53</v>
      </c>
      <c r="AD992" t="s">
        <v>53</v>
      </c>
      <c r="AE992" t="s">
        <v>53</v>
      </c>
      <c r="AF992" s="22" t="s">
        <v>53</v>
      </c>
      <c r="AG992" s="22" t="s">
        <v>53</v>
      </c>
      <c r="AH992" s="22" t="s">
        <v>53</v>
      </c>
      <c r="AI992" s="22" t="s">
        <v>53</v>
      </c>
      <c r="AJ992">
        <v>0</v>
      </c>
      <c r="AK992">
        <v>0</v>
      </c>
      <c r="AL992">
        <v>0</v>
      </c>
      <c r="AM992">
        <v>0</v>
      </c>
      <c r="AN992" s="22" t="s">
        <v>53</v>
      </c>
      <c r="AO992" s="22" t="s">
        <v>53</v>
      </c>
      <c r="AP992" s="22" t="s">
        <v>53</v>
      </c>
      <c r="AQ992" s="22" t="s">
        <v>53</v>
      </c>
      <c r="AR992" s="35">
        <v>0</v>
      </c>
      <c r="AS992" s="35">
        <v>0</v>
      </c>
      <c r="AT992" s="35">
        <v>0</v>
      </c>
      <c r="AU992" s="31" t="str">
        <f t="shared" si="19"/>
        <v>库存为0</v>
      </c>
      <c r="AV992" s="36" t="str">
        <f>IFERROR(时间!$B$4+AU992,"上周无销量")</f>
        <v>上周无销量</v>
      </c>
    </row>
    <row r="993" spans="1:48">
      <c r="A993" s="20" t="s">
        <v>2221</v>
      </c>
      <c r="B993" t="s">
        <v>2222</v>
      </c>
      <c r="C993" t="s">
        <v>2219</v>
      </c>
      <c r="D993" s="31">
        <v>0</v>
      </c>
      <c r="E993" s="31">
        <v>0</v>
      </c>
      <c r="F993" s="31">
        <v>0</v>
      </c>
      <c r="G993" s="31">
        <v>0</v>
      </c>
      <c r="H993" s="32">
        <v>0</v>
      </c>
      <c r="I993">
        <v>0</v>
      </c>
      <c r="J993" s="33">
        <v>0</v>
      </c>
      <c r="K993" s="33">
        <v>0</v>
      </c>
      <c r="L993" s="33">
        <v>0</v>
      </c>
      <c r="M993">
        <v>0</v>
      </c>
      <c r="N993">
        <v>2</v>
      </c>
      <c r="O993">
        <v>0</v>
      </c>
      <c r="P993" t="s">
        <v>53</v>
      </c>
      <c r="Q993" t="s">
        <v>53</v>
      </c>
      <c r="R993" t="s">
        <v>53</v>
      </c>
      <c r="S993" t="s">
        <v>53</v>
      </c>
      <c r="T993" t="s">
        <v>53</v>
      </c>
      <c r="U993" t="s">
        <v>53</v>
      </c>
      <c r="V993" t="s">
        <v>53</v>
      </c>
      <c r="W993" t="s">
        <v>53</v>
      </c>
      <c r="X993" s="22" t="s">
        <v>53</v>
      </c>
      <c r="Y993" s="22" t="s">
        <v>53</v>
      </c>
      <c r="Z993" s="22" t="s">
        <v>53</v>
      </c>
      <c r="AA993" s="22" t="s">
        <v>53</v>
      </c>
      <c r="AB993" t="s">
        <v>53</v>
      </c>
      <c r="AC993" t="s">
        <v>53</v>
      </c>
      <c r="AD993" t="s">
        <v>53</v>
      </c>
      <c r="AE993" t="s">
        <v>53</v>
      </c>
      <c r="AF993" s="22" t="s">
        <v>53</v>
      </c>
      <c r="AG993" s="22" t="s">
        <v>53</v>
      </c>
      <c r="AH993" s="22" t="s">
        <v>53</v>
      </c>
      <c r="AI993" s="22" t="s">
        <v>53</v>
      </c>
      <c r="AJ993">
        <v>0</v>
      </c>
      <c r="AK993">
        <v>0</v>
      </c>
      <c r="AL993">
        <v>0</v>
      </c>
      <c r="AM993">
        <v>0</v>
      </c>
      <c r="AN993" s="22" t="s">
        <v>53</v>
      </c>
      <c r="AO993" s="22" t="s">
        <v>53</v>
      </c>
      <c r="AP993" s="22" t="s">
        <v>53</v>
      </c>
      <c r="AQ993" s="22" t="s">
        <v>53</v>
      </c>
      <c r="AR993" s="35">
        <v>0</v>
      </c>
      <c r="AS993" s="35">
        <v>0</v>
      </c>
      <c r="AT993" s="35">
        <v>0</v>
      </c>
      <c r="AU993" s="31" t="str">
        <f t="shared" si="19"/>
        <v>库存为0</v>
      </c>
      <c r="AV993" s="36" t="str">
        <f>IFERROR(时间!$B$4+AU993,"上周无销量")</f>
        <v>上周无销量</v>
      </c>
    </row>
    <row r="994" spans="1:48">
      <c r="A994" s="20" t="s">
        <v>2223</v>
      </c>
      <c r="B994" t="s">
        <v>2224</v>
      </c>
      <c r="C994" t="s">
        <v>2219</v>
      </c>
      <c r="D994" s="31">
        <v>0</v>
      </c>
      <c r="E994" s="31">
        <v>0</v>
      </c>
      <c r="F994" s="31">
        <v>0</v>
      </c>
      <c r="G994" s="31">
        <v>0</v>
      </c>
      <c r="H994" s="32">
        <v>0</v>
      </c>
      <c r="I994">
        <v>0</v>
      </c>
      <c r="J994" s="33">
        <v>0</v>
      </c>
      <c r="K994" s="33">
        <v>0</v>
      </c>
      <c r="L994" s="33">
        <v>0</v>
      </c>
      <c r="M994">
        <v>0</v>
      </c>
      <c r="N994">
        <v>4</v>
      </c>
      <c r="O994">
        <v>0</v>
      </c>
      <c r="P994" t="s">
        <v>53</v>
      </c>
      <c r="Q994" t="s">
        <v>53</v>
      </c>
      <c r="R994" t="s">
        <v>53</v>
      </c>
      <c r="S994" t="s">
        <v>53</v>
      </c>
      <c r="T994" t="s">
        <v>53</v>
      </c>
      <c r="U994" t="s">
        <v>53</v>
      </c>
      <c r="V994" t="s">
        <v>53</v>
      </c>
      <c r="W994" t="s">
        <v>53</v>
      </c>
      <c r="X994" s="22" t="s">
        <v>53</v>
      </c>
      <c r="Y994" s="22" t="s">
        <v>53</v>
      </c>
      <c r="Z994" s="22" t="s">
        <v>53</v>
      </c>
      <c r="AA994" s="22" t="s">
        <v>53</v>
      </c>
      <c r="AB994" t="s">
        <v>53</v>
      </c>
      <c r="AC994" t="s">
        <v>53</v>
      </c>
      <c r="AD994" t="s">
        <v>53</v>
      </c>
      <c r="AE994" t="s">
        <v>53</v>
      </c>
      <c r="AF994" s="22" t="s">
        <v>53</v>
      </c>
      <c r="AG994" s="22" t="s">
        <v>53</v>
      </c>
      <c r="AH994" s="22" t="s">
        <v>53</v>
      </c>
      <c r="AI994" s="22" t="s">
        <v>53</v>
      </c>
      <c r="AJ994">
        <v>0</v>
      </c>
      <c r="AK994">
        <v>0</v>
      </c>
      <c r="AL994">
        <v>0</v>
      </c>
      <c r="AM994">
        <v>0</v>
      </c>
      <c r="AN994" s="22" t="s">
        <v>53</v>
      </c>
      <c r="AO994" s="22" t="s">
        <v>53</v>
      </c>
      <c r="AP994" s="22" t="s">
        <v>53</v>
      </c>
      <c r="AQ994" s="22" t="s">
        <v>53</v>
      </c>
      <c r="AR994" s="35">
        <v>0</v>
      </c>
      <c r="AS994" s="35">
        <v>0</v>
      </c>
      <c r="AT994" s="35">
        <v>0</v>
      </c>
      <c r="AU994" s="31" t="str">
        <f t="shared" si="19"/>
        <v>库存为0</v>
      </c>
      <c r="AV994" s="36" t="str">
        <f>IFERROR(时间!$B$4+AU994,"上周无销量")</f>
        <v>上周无销量</v>
      </c>
    </row>
    <row r="995" spans="1:48">
      <c r="A995" s="20" t="s">
        <v>2225</v>
      </c>
      <c r="B995" t="s">
        <v>2226</v>
      </c>
      <c r="C995" t="s">
        <v>2219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0</v>
      </c>
      <c r="J995" s="33">
        <v>0</v>
      </c>
      <c r="K995" s="33">
        <v>0</v>
      </c>
      <c r="L995" s="33">
        <v>0</v>
      </c>
      <c r="M995">
        <v>0</v>
      </c>
      <c r="N995">
        <v>3</v>
      </c>
      <c r="O995">
        <v>0</v>
      </c>
      <c r="P995" t="s">
        <v>53</v>
      </c>
      <c r="Q995" t="s">
        <v>53</v>
      </c>
      <c r="R995" t="s">
        <v>53</v>
      </c>
      <c r="S995" t="s">
        <v>53</v>
      </c>
      <c r="T995" t="s">
        <v>53</v>
      </c>
      <c r="U995" t="s">
        <v>53</v>
      </c>
      <c r="V995" t="s">
        <v>53</v>
      </c>
      <c r="W995" t="s">
        <v>53</v>
      </c>
      <c r="X995" s="22" t="s">
        <v>53</v>
      </c>
      <c r="Y995" s="22" t="s">
        <v>53</v>
      </c>
      <c r="Z995" s="22" t="s">
        <v>53</v>
      </c>
      <c r="AA995" s="22" t="s">
        <v>53</v>
      </c>
      <c r="AB995" t="s">
        <v>53</v>
      </c>
      <c r="AC995" t="s">
        <v>53</v>
      </c>
      <c r="AD995" t="s">
        <v>53</v>
      </c>
      <c r="AE995" t="s">
        <v>53</v>
      </c>
      <c r="AF995" s="22" t="s">
        <v>53</v>
      </c>
      <c r="AG995" s="22" t="s">
        <v>53</v>
      </c>
      <c r="AH995" s="22" t="s">
        <v>53</v>
      </c>
      <c r="AI995" s="22" t="s">
        <v>53</v>
      </c>
      <c r="AJ995">
        <v>0</v>
      </c>
      <c r="AK995">
        <v>0</v>
      </c>
      <c r="AL995">
        <v>0</v>
      </c>
      <c r="AM995">
        <v>0</v>
      </c>
      <c r="AN995" s="22" t="s">
        <v>53</v>
      </c>
      <c r="AO995" s="22" t="s">
        <v>53</v>
      </c>
      <c r="AP995" s="22" t="s">
        <v>53</v>
      </c>
      <c r="AQ995" s="22" t="s">
        <v>53</v>
      </c>
      <c r="AR995" s="35">
        <v>0</v>
      </c>
      <c r="AS995" s="35">
        <v>0</v>
      </c>
      <c r="AT995" s="35">
        <v>0</v>
      </c>
      <c r="AU995" s="31" t="str">
        <f t="shared" si="19"/>
        <v>库存为0</v>
      </c>
      <c r="AV995" s="36" t="str">
        <f>IFERROR(时间!$B$4+AU995,"上周无销量")</f>
        <v>上周无销量</v>
      </c>
    </row>
    <row r="996" spans="1:48">
      <c r="A996" s="20" t="s">
        <v>2227</v>
      </c>
      <c r="B996" t="s">
        <v>2228</v>
      </c>
      <c r="C996" t="s">
        <v>2219</v>
      </c>
      <c r="D996" s="31">
        <v>0</v>
      </c>
      <c r="E996" s="31">
        <v>0</v>
      </c>
      <c r="F996" s="31">
        <v>0</v>
      </c>
      <c r="G996" s="31">
        <v>0</v>
      </c>
      <c r="H996" s="32">
        <v>0</v>
      </c>
      <c r="I996">
        <v>0</v>
      </c>
      <c r="J996" s="33">
        <v>0</v>
      </c>
      <c r="K996" s="33">
        <v>0</v>
      </c>
      <c r="L996" s="33">
        <v>0</v>
      </c>
      <c r="M996">
        <v>0</v>
      </c>
      <c r="N996">
        <v>3</v>
      </c>
      <c r="O996">
        <v>0</v>
      </c>
      <c r="P996" t="s">
        <v>53</v>
      </c>
      <c r="Q996" t="s">
        <v>53</v>
      </c>
      <c r="R996" t="s">
        <v>53</v>
      </c>
      <c r="S996" t="s">
        <v>53</v>
      </c>
      <c r="T996" t="s">
        <v>53</v>
      </c>
      <c r="U996" t="s">
        <v>53</v>
      </c>
      <c r="V996" t="s">
        <v>53</v>
      </c>
      <c r="W996" t="s">
        <v>53</v>
      </c>
      <c r="X996" s="22" t="s">
        <v>53</v>
      </c>
      <c r="Y996" s="22" t="s">
        <v>53</v>
      </c>
      <c r="Z996" s="22" t="s">
        <v>53</v>
      </c>
      <c r="AA996" s="22" t="s">
        <v>53</v>
      </c>
      <c r="AB996" t="s">
        <v>53</v>
      </c>
      <c r="AC996" t="s">
        <v>53</v>
      </c>
      <c r="AD996" t="s">
        <v>53</v>
      </c>
      <c r="AE996" t="s">
        <v>53</v>
      </c>
      <c r="AF996" s="22" t="s">
        <v>53</v>
      </c>
      <c r="AG996" s="22" t="s">
        <v>53</v>
      </c>
      <c r="AH996" s="22" t="s">
        <v>53</v>
      </c>
      <c r="AI996" s="22" t="s">
        <v>53</v>
      </c>
      <c r="AJ996">
        <v>0</v>
      </c>
      <c r="AK996">
        <v>0</v>
      </c>
      <c r="AL996">
        <v>0</v>
      </c>
      <c r="AM996">
        <v>0</v>
      </c>
      <c r="AN996" s="22" t="s">
        <v>53</v>
      </c>
      <c r="AO996" s="22" t="s">
        <v>53</v>
      </c>
      <c r="AP996" s="22" t="s">
        <v>53</v>
      </c>
      <c r="AQ996" s="22" t="s">
        <v>53</v>
      </c>
      <c r="AR996" s="35">
        <v>0</v>
      </c>
      <c r="AS996" s="35">
        <v>0</v>
      </c>
      <c r="AT996" s="35">
        <v>0</v>
      </c>
      <c r="AU996" s="31" t="str">
        <f t="shared" si="19"/>
        <v>库存为0</v>
      </c>
      <c r="AV996" s="36" t="str">
        <f>IFERROR(时间!$B$4+AU996,"上周无销量")</f>
        <v>上周无销量</v>
      </c>
    </row>
    <row r="997" spans="1:48">
      <c r="A997" s="20" t="s">
        <v>2229</v>
      </c>
      <c r="B997" t="s">
        <v>2230</v>
      </c>
      <c r="C997" t="s">
        <v>2219</v>
      </c>
      <c r="D997" s="31">
        <v>0</v>
      </c>
      <c r="E997" s="31">
        <v>0</v>
      </c>
      <c r="F997" s="31">
        <v>0</v>
      </c>
      <c r="G997" s="31">
        <v>0</v>
      </c>
      <c r="H997" s="32">
        <v>0</v>
      </c>
      <c r="I997">
        <v>0</v>
      </c>
      <c r="J997" s="33">
        <v>0</v>
      </c>
      <c r="K997" s="33">
        <v>0</v>
      </c>
      <c r="L997" s="33">
        <v>0</v>
      </c>
      <c r="M997">
        <v>0</v>
      </c>
      <c r="N997">
        <v>1</v>
      </c>
      <c r="O997">
        <v>0</v>
      </c>
      <c r="P997" t="s">
        <v>53</v>
      </c>
      <c r="Q997" t="s">
        <v>53</v>
      </c>
      <c r="R997" t="s">
        <v>53</v>
      </c>
      <c r="S997" t="s">
        <v>53</v>
      </c>
      <c r="T997" t="s">
        <v>53</v>
      </c>
      <c r="U997" t="s">
        <v>53</v>
      </c>
      <c r="V997" t="s">
        <v>53</v>
      </c>
      <c r="W997" t="s">
        <v>53</v>
      </c>
      <c r="X997" s="22" t="s">
        <v>53</v>
      </c>
      <c r="Y997" s="22" t="s">
        <v>53</v>
      </c>
      <c r="Z997" s="22" t="s">
        <v>53</v>
      </c>
      <c r="AA997" s="22" t="s">
        <v>53</v>
      </c>
      <c r="AB997" t="s">
        <v>53</v>
      </c>
      <c r="AC997" t="s">
        <v>53</v>
      </c>
      <c r="AD997" t="s">
        <v>53</v>
      </c>
      <c r="AE997" t="s">
        <v>53</v>
      </c>
      <c r="AF997" s="22" t="s">
        <v>53</v>
      </c>
      <c r="AG997" s="22" t="s">
        <v>53</v>
      </c>
      <c r="AH997" s="22" t="s">
        <v>53</v>
      </c>
      <c r="AI997" s="22" t="s">
        <v>53</v>
      </c>
      <c r="AJ997">
        <v>0</v>
      </c>
      <c r="AK997">
        <v>0</v>
      </c>
      <c r="AL997">
        <v>0</v>
      </c>
      <c r="AM997">
        <v>0</v>
      </c>
      <c r="AN997" s="22" t="s">
        <v>53</v>
      </c>
      <c r="AO997" s="22" t="s">
        <v>53</v>
      </c>
      <c r="AP997" s="22" t="s">
        <v>53</v>
      </c>
      <c r="AQ997" s="22" t="s">
        <v>53</v>
      </c>
      <c r="AR997" s="35">
        <v>0</v>
      </c>
      <c r="AS997" s="35">
        <v>0</v>
      </c>
      <c r="AT997" s="35">
        <v>0</v>
      </c>
      <c r="AU997" s="31" t="str">
        <f t="shared" si="19"/>
        <v>库存为0</v>
      </c>
      <c r="AV997" s="36" t="str">
        <f>IFERROR(时间!$B$4+AU997,"上周无销量")</f>
        <v>上周无销量</v>
      </c>
    </row>
    <row r="998" spans="1:48">
      <c r="A998" s="20" t="s">
        <v>2231</v>
      </c>
      <c r="B998" t="s">
        <v>2232</v>
      </c>
      <c r="C998" t="s">
        <v>2219</v>
      </c>
      <c r="D998" s="31">
        <v>0</v>
      </c>
      <c r="E998" s="31">
        <v>0</v>
      </c>
      <c r="F998" s="31">
        <v>0</v>
      </c>
      <c r="G998" s="31">
        <v>0</v>
      </c>
      <c r="H998" s="32">
        <v>0</v>
      </c>
      <c r="I998">
        <v>0</v>
      </c>
      <c r="J998" s="33">
        <v>0</v>
      </c>
      <c r="K998" s="33">
        <v>0</v>
      </c>
      <c r="L998" s="33">
        <v>0</v>
      </c>
      <c r="M998">
        <v>0</v>
      </c>
      <c r="N998">
        <v>4</v>
      </c>
      <c r="O998">
        <v>0</v>
      </c>
      <c r="P998" t="s">
        <v>53</v>
      </c>
      <c r="Q998" t="s">
        <v>53</v>
      </c>
      <c r="R998" t="s">
        <v>53</v>
      </c>
      <c r="S998" t="s">
        <v>53</v>
      </c>
      <c r="T998" t="s">
        <v>53</v>
      </c>
      <c r="U998" t="s">
        <v>53</v>
      </c>
      <c r="V998" t="s">
        <v>53</v>
      </c>
      <c r="W998" t="s">
        <v>53</v>
      </c>
      <c r="X998" s="22" t="s">
        <v>53</v>
      </c>
      <c r="Y998" s="22" t="s">
        <v>53</v>
      </c>
      <c r="Z998" s="22" t="s">
        <v>53</v>
      </c>
      <c r="AA998" s="22" t="s">
        <v>53</v>
      </c>
      <c r="AB998" t="s">
        <v>53</v>
      </c>
      <c r="AC998" t="s">
        <v>53</v>
      </c>
      <c r="AD998" t="s">
        <v>53</v>
      </c>
      <c r="AE998" t="s">
        <v>53</v>
      </c>
      <c r="AF998" s="22" t="s">
        <v>53</v>
      </c>
      <c r="AG998" s="22" t="s">
        <v>53</v>
      </c>
      <c r="AH998" s="22" t="s">
        <v>53</v>
      </c>
      <c r="AI998" s="22" t="s">
        <v>53</v>
      </c>
      <c r="AJ998">
        <v>0</v>
      </c>
      <c r="AK998">
        <v>0</v>
      </c>
      <c r="AL998">
        <v>0</v>
      </c>
      <c r="AM998">
        <v>0</v>
      </c>
      <c r="AN998" s="22" t="s">
        <v>53</v>
      </c>
      <c r="AO998" s="22" t="s">
        <v>53</v>
      </c>
      <c r="AP998" s="22" t="s">
        <v>53</v>
      </c>
      <c r="AQ998" s="22" t="s">
        <v>53</v>
      </c>
      <c r="AR998" s="35">
        <v>0</v>
      </c>
      <c r="AS998" s="35">
        <v>0</v>
      </c>
      <c r="AT998" s="35">
        <v>0</v>
      </c>
      <c r="AU998" s="31" t="str">
        <f t="shared" si="19"/>
        <v>库存为0</v>
      </c>
      <c r="AV998" s="36" t="str">
        <f>IFERROR(时间!$B$4+AU998,"上周无销量")</f>
        <v>上周无销量</v>
      </c>
    </row>
    <row r="999" spans="1:48">
      <c r="A999" s="20" t="s">
        <v>2233</v>
      </c>
      <c r="B999" t="s">
        <v>2234</v>
      </c>
      <c r="C999" t="s">
        <v>2219</v>
      </c>
      <c r="D999" s="31">
        <v>0</v>
      </c>
      <c r="E999" s="31">
        <v>0</v>
      </c>
      <c r="F999" s="31">
        <v>0</v>
      </c>
      <c r="G999" s="31">
        <v>0</v>
      </c>
      <c r="H999" s="32">
        <v>0</v>
      </c>
      <c r="I999">
        <v>0</v>
      </c>
      <c r="J999" s="33">
        <v>0</v>
      </c>
      <c r="K999" s="33">
        <v>0</v>
      </c>
      <c r="L999" s="33">
        <v>0</v>
      </c>
      <c r="M999">
        <v>0</v>
      </c>
      <c r="N999">
        <v>2</v>
      </c>
      <c r="O999">
        <v>0</v>
      </c>
      <c r="P999" t="s">
        <v>53</v>
      </c>
      <c r="Q999" t="s">
        <v>53</v>
      </c>
      <c r="R999" t="s">
        <v>53</v>
      </c>
      <c r="S999" t="s">
        <v>53</v>
      </c>
      <c r="T999" t="s">
        <v>53</v>
      </c>
      <c r="U999" t="s">
        <v>53</v>
      </c>
      <c r="V999" t="s">
        <v>53</v>
      </c>
      <c r="W999" t="s">
        <v>53</v>
      </c>
      <c r="X999" s="22" t="s">
        <v>53</v>
      </c>
      <c r="Y999" s="22" t="s">
        <v>53</v>
      </c>
      <c r="Z999" s="22" t="s">
        <v>53</v>
      </c>
      <c r="AA999" s="22" t="s">
        <v>53</v>
      </c>
      <c r="AB999" t="s">
        <v>53</v>
      </c>
      <c r="AC999" t="s">
        <v>53</v>
      </c>
      <c r="AD999" t="s">
        <v>53</v>
      </c>
      <c r="AE999" t="s">
        <v>53</v>
      </c>
      <c r="AF999" s="22" t="s">
        <v>53</v>
      </c>
      <c r="AG999" s="22" t="s">
        <v>53</v>
      </c>
      <c r="AH999" s="22" t="s">
        <v>53</v>
      </c>
      <c r="AI999" s="22" t="s">
        <v>53</v>
      </c>
      <c r="AJ999">
        <v>0</v>
      </c>
      <c r="AK999">
        <v>0</v>
      </c>
      <c r="AL999">
        <v>0</v>
      </c>
      <c r="AM999">
        <v>0</v>
      </c>
      <c r="AN999" s="22" t="s">
        <v>53</v>
      </c>
      <c r="AO999" s="22" t="s">
        <v>53</v>
      </c>
      <c r="AP999" s="22" t="s">
        <v>53</v>
      </c>
      <c r="AQ999" s="22" t="s">
        <v>53</v>
      </c>
      <c r="AR999" s="35">
        <v>0</v>
      </c>
      <c r="AS999" s="35">
        <v>0</v>
      </c>
      <c r="AT999" s="35">
        <v>0</v>
      </c>
      <c r="AU999" s="31" t="str">
        <f t="shared" si="19"/>
        <v>库存为0</v>
      </c>
      <c r="AV999" s="36" t="str">
        <f>IFERROR(时间!$B$4+AU999,"上周无销量")</f>
        <v>上周无销量</v>
      </c>
    </row>
    <row r="1000" spans="1:48">
      <c r="A1000" s="20" t="s">
        <v>2235</v>
      </c>
      <c r="B1000" t="s">
        <v>2236</v>
      </c>
      <c r="C1000" t="s">
        <v>2219</v>
      </c>
      <c r="D1000" s="31">
        <v>0</v>
      </c>
      <c r="E1000" s="31">
        <v>0</v>
      </c>
      <c r="F1000" s="31">
        <v>0</v>
      </c>
      <c r="G1000" s="31">
        <v>0</v>
      </c>
      <c r="H1000" s="32">
        <v>0</v>
      </c>
      <c r="I1000">
        <v>0</v>
      </c>
      <c r="J1000" s="33">
        <v>0</v>
      </c>
      <c r="K1000" s="33">
        <v>0</v>
      </c>
      <c r="L1000" s="33">
        <v>0</v>
      </c>
      <c r="M1000">
        <v>0</v>
      </c>
      <c r="N1000">
        <v>2</v>
      </c>
      <c r="O1000">
        <v>0</v>
      </c>
      <c r="P1000" t="s">
        <v>53</v>
      </c>
      <c r="Q1000" t="s">
        <v>53</v>
      </c>
      <c r="R1000" t="s">
        <v>53</v>
      </c>
      <c r="S1000" t="s">
        <v>53</v>
      </c>
      <c r="T1000" t="s">
        <v>53</v>
      </c>
      <c r="U1000" t="s">
        <v>53</v>
      </c>
      <c r="V1000" t="s">
        <v>53</v>
      </c>
      <c r="W1000" t="s">
        <v>53</v>
      </c>
      <c r="X1000" s="22" t="s">
        <v>53</v>
      </c>
      <c r="Y1000" s="22" t="s">
        <v>53</v>
      </c>
      <c r="Z1000" s="22" t="s">
        <v>53</v>
      </c>
      <c r="AA1000" s="22" t="s">
        <v>53</v>
      </c>
      <c r="AB1000" t="s">
        <v>53</v>
      </c>
      <c r="AC1000" t="s">
        <v>53</v>
      </c>
      <c r="AD1000" t="s">
        <v>53</v>
      </c>
      <c r="AE1000" t="s">
        <v>53</v>
      </c>
      <c r="AF1000" s="22" t="s">
        <v>53</v>
      </c>
      <c r="AG1000" s="22" t="s">
        <v>53</v>
      </c>
      <c r="AH1000" s="22" t="s">
        <v>53</v>
      </c>
      <c r="AI1000" s="22" t="s">
        <v>53</v>
      </c>
      <c r="AJ1000">
        <v>0</v>
      </c>
      <c r="AK1000">
        <v>0</v>
      </c>
      <c r="AL1000">
        <v>0</v>
      </c>
      <c r="AM1000">
        <v>0</v>
      </c>
      <c r="AN1000" s="22" t="s">
        <v>53</v>
      </c>
      <c r="AO1000" s="22" t="s">
        <v>53</v>
      </c>
      <c r="AP1000" s="22" t="s">
        <v>53</v>
      </c>
      <c r="AQ1000" s="22" t="s">
        <v>53</v>
      </c>
      <c r="AR1000" s="35">
        <v>0</v>
      </c>
      <c r="AS1000" s="35">
        <v>0</v>
      </c>
      <c r="AT1000" s="35">
        <v>0</v>
      </c>
      <c r="AU1000" s="31" t="str">
        <f t="shared" si="19"/>
        <v>库存为0</v>
      </c>
      <c r="AV1000" s="36" t="str">
        <f>IFERROR(时间!$B$4+AU1000,"上周无销量")</f>
        <v>上周无销量</v>
      </c>
    </row>
    <row r="1001" spans="1:48">
      <c r="A1001" s="20" t="s">
        <v>2237</v>
      </c>
      <c r="B1001" t="s">
        <v>2238</v>
      </c>
      <c r="C1001" t="s">
        <v>2219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0</v>
      </c>
      <c r="J1001" s="33">
        <v>0</v>
      </c>
      <c r="K1001" s="33">
        <v>0</v>
      </c>
      <c r="L1001" s="33">
        <v>0</v>
      </c>
      <c r="M1001">
        <v>0</v>
      </c>
      <c r="N1001">
        <v>1</v>
      </c>
      <c r="O1001">
        <v>0</v>
      </c>
      <c r="P1001" t="s">
        <v>53</v>
      </c>
      <c r="Q1001" t="s">
        <v>53</v>
      </c>
      <c r="R1001" t="s">
        <v>53</v>
      </c>
      <c r="S1001" t="s">
        <v>53</v>
      </c>
      <c r="T1001" t="s">
        <v>53</v>
      </c>
      <c r="U1001" t="s">
        <v>53</v>
      </c>
      <c r="V1001" t="s">
        <v>53</v>
      </c>
      <c r="W1001" t="s">
        <v>53</v>
      </c>
      <c r="X1001" s="22" t="s">
        <v>53</v>
      </c>
      <c r="Y1001" s="22" t="s">
        <v>53</v>
      </c>
      <c r="Z1001" s="22" t="s">
        <v>53</v>
      </c>
      <c r="AA1001" s="22" t="s">
        <v>53</v>
      </c>
      <c r="AB1001" t="s">
        <v>53</v>
      </c>
      <c r="AC1001" t="s">
        <v>53</v>
      </c>
      <c r="AD1001" t="s">
        <v>53</v>
      </c>
      <c r="AE1001" t="s">
        <v>53</v>
      </c>
      <c r="AF1001" s="22" t="s">
        <v>53</v>
      </c>
      <c r="AG1001" s="22" t="s">
        <v>53</v>
      </c>
      <c r="AH1001" s="22" t="s">
        <v>53</v>
      </c>
      <c r="AI1001" s="22" t="s">
        <v>53</v>
      </c>
      <c r="AJ1001">
        <v>0</v>
      </c>
      <c r="AK1001">
        <v>0</v>
      </c>
      <c r="AL1001">
        <v>0</v>
      </c>
      <c r="AM1001">
        <v>0</v>
      </c>
      <c r="AN1001" s="22" t="s">
        <v>53</v>
      </c>
      <c r="AO1001" s="22" t="s">
        <v>53</v>
      </c>
      <c r="AP1001" s="22" t="s">
        <v>53</v>
      </c>
      <c r="AQ1001" s="22" t="s">
        <v>53</v>
      </c>
      <c r="AR1001" s="35">
        <v>0</v>
      </c>
      <c r="AS1001" s="35">
        <v>0</v>
      </c>
      <c r="AT1001" s="35">
        <v>0</v>
      </c>
      <c r="AU1001" s="31" t="str">
        <f t="shared" si="19"/>
        <v>库存为0</v>
      </c>
      <c r="AV1001" s="36" t="str">
        <f>IFERROR(时间!$B$4+AU1001,"上周无销量")</f>
        <v>上周无销量</v>
      </c>
    </row>
    <row r="1002" spans="1:48">
      <c r="A1002" s="20" t="s">
        <v>2239</v>
      </c>
      <c r="B1002" t="s">
        <v>2240</v>
      </c>
      <c r="C1002" t="s">
        <v>2219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0</v>
      </c>
      <c r="J1002" s="33">
        <v>0</v>
      </c>
      <c r="K1002" s="33">
        <v>0</v>
      </c>
      <c r="L1002" s="33">
        <v>0</v>
      </c>
      <c r="M1002">
        <v>0</v>
      </c>
      <c r="N1002">
        <v>2</v>
      </c>
      <c r="O1002">
        <v>0</v>
      </c>
      <c r="P1002" t="s">
        <v>53</v>
      </c>
      <c r="Q1002" t="s">
        <v>53</v>
      </c>
      <c r="R1002" t="s">
        <v>53</v>
      </c>
      <c r="S1002" t="s">
        <v>53</v>
      </c>
      <c r="T1002" t="s">
        <v>53</v>
      </c>
      <c r="U1002" t="s">
        <v>53</v>
      </c>
      <c r="V1002" t="s">
        <v>53</v>
      </c>
      <c r="W1002" t="s">
        <v>53</v>
      </c>
      <c r="X1002" s="22" t="s">
        <v>53</v>
      </c>
      <c r="Y1002" s="22" t="s">
        <v>53</v>
      </c>
      <c r="Z1002" s="22" t="s">
        <v>53</v>
      </c>
      <c r="AA1002" s="22" t="s">
        <v>53</v>
      </c>
      <c r="AB1002" t="s">
        <v>53</v>
      </c>
      <c r="AC1002" t="s">
        <v>53</v>
      </c>
      <c r="AD1002" t="s">
        <v>53</v>
      </c>
      <c r="AE1002" t="s">
        <v>53</v>
      </c>
      <c r="AF1002" s="22" t="s">
        <v>53</v>
      </c>
      <c r="AG1002" s="22" t="s">
        <v>53</v>
      </c>
      <c r="AH1002" s="22" t="s">
        <v>53</v>
      </c>
      <c r="AI1002" s="22" t="s">
        <v>53</v>
      </c>
      <c r="AJ1002">
        <v>0</v>
      </c>
      <c r="AK1002">
        <v>0</v>
      </c>
      <c r="AL1002">
        <v>0</v>
      </c>
      <c r="AM1002">
        <v>0</v>
      </c>
      <c r="AN1002" s="22" t="s">
        <v>53</v>
      </c>
      <c r="AO1002" s="22" t="s">
        <v>53</v>
      </c>
      <c r="AP1002" s="22" t="s">
        <v>53</v>
      </c>
      <c r="AQ1002" s="22" t="s">
        <v>53</v>
      </c>
      <c r="AR1002" s="35">
        <v>0</v>
      </c>
      <c r="AS1002" s="35">
        <v>0</v>
      </c>
      <c r="AT1002" s="35">
        <v>0</v>
      </c>
      <c r="AU1002" s="31" t="str">
        <f t="shared" si="19"/>
        <v>库存为0</v>
      </c>
      <c r="AV1002" s="36" t="str">
        <f>IFERROR(时间!$B$4+AU1002,"上周无销量")</f>
        <v>上周无销量</v>
      </c>
    </row>
    <row r="1003" spans="1:48">
      <c r="A1003" s="20" t="s">
        <v>2241</v>
      </c>
      <c r="B1003" t="s">
        <v>2242</v>
      </c>
      <c r="C1003" t="s">
        <v>2219</v>
      </c>
      <c r="D1003" s="31">
        <v>0</v>
      </c>
      <c r="E1003" s="31">
        <v>0</v>
      </c>
      <c r="F1003" s="31">
        <v>0</v>
      </c>
      <c r="G1003" s="31">
        <v>0</v>
      </c>
      <c r="H1003" s="32">
        <v>0</v>
      </c>
      <c r="I1003">
        <v>0</v>
      </c>
      <c r="J1003" s="33">
        <v>0</v>
      </c>
      <c r="K1003" s="33">
        <v>0</v>
      </c>
      <c r="L1003" s="33">
        <v>0</v>
      </c>
      <c r="M1003">
        <v>0</v>
      </c>
      <c r="N1003">
        <v>1</v>
      </c>
      <c r="O1003">
        <v>0</v>
      </c>
      <c r="P1003" t="s">
        <v>53</v>
      </c>
      <c r="Q1003" t="s">
        <v>53</v>
      </c>
      <c r="R1003" t="s">
        <v>53</v>
      </c>
      <c r="S1003" t="s">
        <v>53</v>
      </c>
      <c r="T1003" t="s">
        <v>53</v>
      </c>
      <c r="U1003" t="s">
        <v>53</v>
      </c>
      <c r="V1003" t="s">
        <v>53</v>
      </c>
      <c r="W1003" t="s">
        <v>53</v>
      </c>
      <c r="X1003" s="22" t="s">
        <v>53</v>
      </c>
      <c r="Y1003" s="22" t="s">
        <v>53</v>
      </c>
      <c r="Z1003" s="22" t="s">
        <v>53</v>
      </c>
      <c r="AA1003" s="22" t="s">
        <v>53</v>
      </c>
      <c r="AB1003" t="s">
        <v>53</v>
      </c>
      <c r="AC1003" t="s">
        <v>53</v>
      </c>
      <c r="AD1003" t="s">
        <v>53</v>
      </c>
      <c r="AE1003" t="s">
        <v>53</v>
      </c>
      <c r="AF1003" s="22" t="s">
        <v>53</v>
      </c>
      <c r="AG1003" s="22" t="s">
        <v>53</v>
      </c>
      <c r="AH1003" s="22" t="s">
        <v>53</v>
      </c>
      <c r="AI1003" s="22" t="s">
        <v>53</v>
      </c>
      <c r="AJ1003">
        <v>0</v>
      </c>
      <c r="AK1003">
        <v>0</v>
      </c>
      <c r="AL1003">
        <v>0</v>
      </c>
      <c r="AM1003">
        <v>0</v>
      </c>
      <c r="AN1003" s="22" t="s">
        <v>53</v>
      </c>
      <c r="AO1003" s="22" t="s">
        <v>53</v>
      </c>
      <c r="AP1003" s="22" t="s">
        <v>53</v>
      </c>
      <c r="AQ1003" s="22" t="s">
        <v>53</v>
      </c>
      <c r="AR1003" s="35">
        <v>0</v>
      </c>
      <c r="AS1003" s="35">
        <v>0</v>
      </c>
      <c r="AT1003" s="35">
        <v>0</v>
      </c>
      <c r="AU1003" s="31" t="str">
        <f t="shared" si="19"/>
        <v>库存为0</v>
      </c>
      <c r="AV1003" s="36" t="str">
        <f>IFERROR(时间!$B$4+AU1003,"上周无销量")</f>
        <v>上周无销量</v>
      </c>
    </row>
    <row r="1004" spans="1:48">
      <c r="A1004" s="20" t="s">
        <v>2243</v>
      </c>
      <c r="B1004" t="s">
        <v>2244</v>
      </c>
      <c r="C1004" t="s">
        <v>2219</v>
      </c>
      <c r="D1004" s="31">
        <v>0</v>
      </c>
      <c r="E1004" s="31">
        <v>0</v>
      </c>
      <c r="F1004" s="31">
        <v>0</v>
      </c>
      <c r="G1004" s="31">
        <v>0</v>
      </c>
      <c r="H1004" s="32">
        <v>0</v>
      </c>
      <c r="I1004">
        <v>0</v>
      </c>
      <c r="J1004" s="33">
        <v>0</v>
      </c>
      <c r="K1004" s="33">
        <v>0</v>
      </c>
      <c r="L1004" s="33">
        <v>0</v>
      </c>
      <c r="M1004">
        <v>0</v>
      </c>
      <c r="N1004">
        <v>1</v>
      </c>
      <c r="O1004">
        <v>0</v>
      </c>
      <c r="P1004" t="s">
        <v>53</v>
      </c>
      <c r="Q1004" t="s">
        <v>53</v>
      </c>
      <c r="R1004" t="s">
        <v>53</v>
      </c>
      <c r="S1004" t="s">
        <v>53</v>
      </c>
      <c r="T1004" t="s">
        <v>53</v>
      </c>
      <c r="U1004" t="s">
        <v>53</v>
      </c>
      <c r="V1004" t="s">
        <v>53</v>
      </c>
      <c r="W1004" t="s">
        <v>53</v>
      </c>
      <c r="X1004" s="22" t="s">
        <v>53</v>
      </c>
      <c r="Y1004" s="22" t="s">
        <v>53</v>
      </c>
      <c r="Z1004" s="22" t="s">
        <v>53</v>
      </c>
      <c r="AA1004" s="22" t="s">
        <v>53</v>
      </c>
      <c r="AB1004" t="s">
        <v>53</v>
      </c>
      <c r="AC1004" t="s">
        <v>53</v>
      </c>
      <c r="AD1004" t="s">
        <v>53</v>
      </c>
      <c r="AE1004" t="s">
        <v>53</v>
      </c>
      <c r="AF1004" s="22" t="s">
        <v>53</v>
      </c>
      <c r="AG1004" s="22" t="s">
        <v>53</v>
      </c>
      <c r="AH1004" s="22" t="s">
        <v>53</v>
      </c>
      <c r="AI1004" s="22" t="s">
        <v>53</v>
      </c>
      <c r="AJ1004">
        <v>0</v>
      </c>
      <c r="AK1004">
        <v>0</v>
      </c>
      <c r="AL1004">
        <v>0</v>
      </c>
      <c r="AM1004">
        <v>0</v>
      </c>
      <c r="AN1004" s="22" t="s">
        <v>53</v>
      </c>
      <c r="AO1004" s="22" t="s">
        <v>53</v>
      </c>
      <c r="AP1004" s="22" t="s">
        <v>53</v>
      </c>
      <c r="AQ1004" s="22" t="s">
        <v>53</v>
      </c>
      <c r="AR1004" s="35">
        <v>0</v>
      </c>
      <c r="AS1004" s="35">
        <v>0</v>
      </c>
      <c r="AT1004" s="35">
        <v>0</v>
      </c>
      <c r="AU1004" s="31" t="str">
        <f t="shared" si="19"/>
        <v>库存为0</v>
      </c>
      <c r="AV1004" s="36" t="str">
        <f>IFERROR(时间!$B$4+AU1004,"上周无销量")</f>
        <v>上周无销量</v>
      </c>
    </row>
    <row r="1005" spans="1:48">
      <c r="A1005" s="20" t="s">
        <v>2245</v>
      </c>
      <c r="B1005" t="s">
        <v>2246</v>
      </c>
      <c r="C1005" t="s">
        <v>2219</v>
      </c>
      <c r="D1005" s="31">
        <v>0</v>
      </c>
      <c r="E1005" s="31">
        <v>0</v>
      </c>
      <c r="F1005" s="31">
        <v>0</v>
      </c>
      <c r="G1005" s="31">
        <v>0</v>
      </c>
      <c r="H1005" s="32">
        <v>0</v>
      </c>
      <c r="I1005">
        <v>0</v>
      </c>
      <c r="J1005" s="33">
        <v>0</v>
      </c>
      <c r="K1005" s="33">
        <v>0</v>
      </c>
      <c r="L1005" s="33">
        <v>0</v>
      </c>
      <c r="M1005">
        <v>0</v>
      </c>
      <c r="N1005">
        <v>4</v>
      </c>
      <c r="O1005">
        <v>0</v>
      </c>
      <c r="P1005" t="s">
        <v>53</v>
      </c>
      <c r="Q1005" t="s">
        <v>53</v>
      </c>
      <c r="R1005" t="s">
        <v>53</v>
      </c>
      <c r="S1005" t="s">
        <v>53</v>
      </c>
      <c r="T1005" t="s">
        <v>53</v>
      </c>
      <c r="U1005" t="s">
        <v>53</v>
      </c>
      <c r="V1005" t="s">
        <v>53</v>
      </c>
      <c r="W1005" t="s">
        <v>53</v>
      </c>
      <c r="X1005" s="22" t="s">
        <v>53</v>
      </c>
      <c r="Y1005" s="22" t="s">
        <v>53</v>
      </c>
      <c r="Z1005" s="22" t="s">
        <v>53</v>
      </c>
      <c r="AA1005" s="22" t="s">
        <v>53</v>
      </c>
      <c r="AB1005" t="s">
        <v>53</v>
      </c>
      <c r="AC1005" t="s">
        <v>53</v>
      </c>
      <c r="AD1005" t="s">
        <v>53</v>
      </c>
      <c r="AE1005" t="s">
        <v>53</v>
      </c>
      <c r="AF1005" s="22" t="s">
        <v>53</v>
      </c>
      <c r="AG1005" s="22" t="s">
        <v>53</v>
      </c>
      <c r="AH1005" s="22" t="s">
        <v>53</v>
      </c>
      <c r="AI1005" s="22" t="s">
        <v>53</v>
      </c>
      <c r="AJ1005">
        <v>0</v>
      </c>
      <c r="AK1005">
        <v>0</v>
      </c>
      <c r="AL1005">
        <v>0</v>
      </c>
      <c r="AM1005">
        <v>0</v>
      </c>
      <c r="AN1005" s="22" t="s">
        <v>53</v>
      </c>
      <c r="AO1005" s="22" t="s">
        <v>53</v>
      </c>
      <c r="AP1005" s="22" t="s">
        <v>53</v>
      </c>
      <c r="AQ1005" s="22" t="s">
        <v>53</v>
      </c>
      <c r="AR1005" s="35">
        <v>0</v>
      </c>
      <c r="AS1005" s="35">
        <v>0</v>
      </c>
      <c r="AT1005" s="35">
        <v>0</v>
      </c>
      <c r="AU1005" s="31" t="str">
        <f t="shared" si="19"/>
        <v>库存为0</v>
      </c>
      <c r="AV1005" s="36" t="str">
        <f>IFERROR(时间!$B$4+AU1005,"上周无销量")</f>
        <v>上周无销量</v>
      </c>
    </row>
    <row r="1006" spans="1:48">
      <c r="A1006" s="20" t="s">
        <v>2247</v>
      </c>
      <c r="B1006" t="s">
        <v>2248</v>
      </c>
      <c r="C1006" t="s">
        <v>2219</v>
      </c>
      <c r="D1006" s="31">
        <v>0</v>
      </c>
      <c r="E1006" s="31">
        <v>0</v>
      </c>
      <c r="F1006" s="31">
        <v>0</v>
      </c>
      <c r="G1006" s="31">
        <v>0</v>
      </c>
      <c r="H1006" s="32">
        <v>0</v>
      </c>
      <c r="I1006">
        <v>0</v>
      </c>
      <c r="J1006" s="33">
        <v>0</v>
      </c>
      <c r="K1006" s="33">
        <v>0</v>
      </c>
      <c r="L1006" s="33">
        <v>0</v>
      </c>
      <c r="M1006">
        <v>0</v>
      </c>
      <c r="N1006">
        <v>3</v>
      </c>
      <c r="O1006">
        <v>0</v>
      </c>
      <c r="P1006" t="s">
        <v>53</v>
      </c>
      <c r="Q1006" t="s">
        <v>53</v>
      </c>
      <c r="R1006" t="s">
        <v>53</v>
      </c>
      <c r="S1006" t="s">
        <v>53</v>
      </c>
      <c r="T1006" t="s">
        <v>53</v>
      </c>
      <c r="U1006" t="s">
        <v>53</v>
      </c>
      <c r="V1006" t="s">
        <v>53</v>
      </c>
      <c r="W1006" t="s">
        <v>53</v>
      </c>
      <c r="X1006" s="22" t="s">
        <v>53</v>
      </c>
      <c r="Y1006" s="22" t="s">
        <v>53</v>
      </c>
      <c r="Z1006" s="22" t="s">
        <v>53</v>
      </c>
      <c r="AA1006" s="22" t="s">
        <v>53</v>
      </c>
      <c r="AB1006" t="s">
        <v>53</v>
      </c>
      <c r="AC1006" t="s">
        <v>53</v>
      </c>
      <c r="AD1006" t="s">
        <v>53</v>
      </c>
      <c r="AE1006" t="s">
        <v>53</v>
      </c>
      <c r="AF1006" s="22" t="s">
        <v>53</v>
      </c>
      <c r="AG1006" s="22" t="s">
        <v>53</v>
      </c>
      <c r="AH1006" s="22" t="s">
        <v>53</v>
      </c>
      <c r="AI1006" s="22" t="s">
        <v>53</v>
      </c>
      <c r="AJ1006">
        <v>0</v>
      </c>
      <c r="AK1006">
        <v>0</v>
      </c>
      <c r="AL1006">
        <v>0</v>
      </c>
      <c r="AM1006">
        <v>0</v>
      </c>
      <c r="AN1006" s="22" t="s">
        <v>53</v>
      </c>
      <c r="AO1006" s="22" t="s">
        <v>53</v>
      </c>
      <c r="AP1006" s="22" t="s">
        <v>53</v>
      </c>
      <c r="AQ1006" s="22" t="s">
        <v>53</v>
      </c>
      <c r="AR1006" s="35">
        <v>0</v>
      </c>
      <c r="AS1006" s="35">
        <v>0</v>
      </c>
      <c r="AT1006" s="35">
        <v>0</v>
      </c>
      <c r="AU1006" s="31" t="str">
        <f t="shared" si="19"/>
        <v>库存为0</v>
      </c>
      <c r="AV1006" s="36" t="str">
        <f>IFERROR(时间!$B$4+AU1006,"上周无销量")</f>
        <v>上周无销量</v>
      </c>
    </row>
    <row r="1007" spans="1:48">
      <c r="A1007" s="20" t="s">
        <v>2249</v>
      </c>
      <c r="B1007" t="s">
        <v>2250</v>
      </c>
      <c r="C1007" t="s">
        <v>2251</v>
      </c>
      <c r="D1007" s="31">
        <v>0</v>
      </c>
      <c r="E1007" s="31">
        <v>0</v>
      </c>
      <c r="F1007" s="31">
        <v>0</v>
      </c>
      <c r="G1007" s="31">
        <v>0</v>
      </c>
      <c r="H1007" s="32">
        <v>0</v>
      </c>
      <c r="I1007">
        <v>5</v>
      </c>
      <c r="J1007" s="33">
        <v>0</v>
      </c>
      <c r="K1007" s="33">
        <v>0</v>
      </c>
      <c r="L1007" s="33">
        <v>0</v>
      </c>
      <c r="M1007">
        <v>5</v>
      </c>
      <c r="N1007">
        <v>0</v>
      </c>
      <c r="O1007">
        <v>5</v>
      </c>
      <c r="P1007" t="s">
        <v>53</v>
      </c>
      <c r="Q1007" t="s">
        <v>53</v>
      </c>
      <c r="R1007" t="s">
        <v>53</v>
      </c>
      <c r="S1007" t="s">
        <v>53</v>
      </c>
      <c r="T1007" t="s">
        <v>53</v>
      </c>
      <c r="U1007" t="s">
        <v>53</v>
      </c>
      <c r="V1007" t="s">
        <v>53</v>
      </c>
      <c r="W1007" t="s">
        <v>53</v>
      </c>
      <c r="X1007" s="22" t="s">
        <v>53</v>
      </c>
      <c r="Y1007" s="22" t="s">
        <v>53</v>
      </c>
      <c r="Z1007" s="22" t="s">
        <v>53</v>
      </c>
      <c r="AA1007" s="22" t="s">
        <v>53</v>
      </c>
      <c r="AB1007" t="s">
        <v>53</v>
      </c>
      <c r="AC1007" t="s">
        <v>53</v>
      </c>
      <c r="AD1007" t="s">
        <v>53</v>
      </c>
      <c r="AE1007" t="s">
        <v>53</v>
      </c>
      <c r="AF1007" s="22" t="s">
        <v>53</v>
      </c>
      <c r="AG1007" s="22" t="s">
        <v>53</v>
      </c>
      <c r="AH1007" s="22" t="s">
        <v>53</v>
      </c>
      <c r="AI1007" s="22" t="s">
        <v>53</v>
      </c>
      <c r="AJ1007">
        <v>1</v>
      </c>
      <c r="AK1007">
        <v>5</v>
      </c>
      <c r="AL1007">
        <v>2</v>
      </c>
      <c r="AM1007">
        <v>2</v>
      </c>
      <c r="AN1007" s="22">
        <v>0</v>
      </c>
      <c r="AO1007" s="22">
        <v>0</v>
      </c>
      <c r="AP1007" s="22">
        <v>0</v>
      </c>
      <c r="AQ1007" s="22">
        <v>0</v>
      </c>
      <c r="AR1007" s="35">
        <v>0</v>
      </c>
      <c r="AS1007" s="35">
        <v>0</v>
      </c>
      <c r="AT1007" s="35">
        <v>5</v>
      </c>
      <c r="AU1007" s="31" t="str">
        <f t="shared" si="19"/>
        <v>库存为5</v>
      </c>
      <c r="AV1007" s="36" t="str">
        <f>IFERROR(时间!$B$4+AU1007,"上周无销量")</f>
        <v>上周无销量</v>
      </c>
    </row>
    <row r="1008" spans="1:48">
      <c r="A1008" s="20" t="s">
        <v>2252</v>
      </c>
      <c r="B1008" t="s">
        <v>2253</v>
      </c>
      <c r="C1008" t="s">
        <v>2251</v>
      </c>
      <c r="D1008" s="31">
        <v>0</v>
      </c>
      <c r="E1008" s="31">
        <v>0</v>
      </c>
      <c r="F1008" s="31">
        <v>0</v>
      </c>
      <c r="G1008" s="31">
        <v>0</v>
      </c>
      <c r="H1008" s="32">
        <v>0</v>
      </c>
      <c r="I1008">
        <v>4</v>
      </c>
      <c r="J1008" s="33">
        <v>0</v>
      </c>
      <c r="K1008" s="33">
        <v>0</v>
      </c>
      <c r="L1008" s="33">
        <v>0</v>
      </c>
      <c r="M1008">
        <v>4</v>
      </c>
      <c r="N1008">
        <v>0</v>
      </c>
      <c r="O1008">
        <v>4</v>
      </c>
      <c r="P1008">
        <v>398</v>
      </c>
      <c r="Q1008">
        <v>1540</v>
      </c>
      <c r="R1008">
        <v>469</v>
      </c>
      <c r="S1008">
        <v>0</v>
      </c>
      <c r="T1008">
        <v>1</v>
      </c>
      <c r="U1008">
        <v>6</v>
      </c>
      <c r="V1008">
        <v>1</v>
      </c>
      <c r="W1008">
        <v>0</v>
      </c>
      <c r="X1008" s="22">
        <v>0.00251256281407035</v>
      </c>
      <c r="Y1008" s="22">
        <v>0.0038961038961039</v>
      </c>
      <c r="Z1008" s="22">
        <v>0.00213219616204691</v>
      </c>
      <c r="AA1008" s="22" t="s">
        <v>53</v>
      </c>
      <c r="AB1008">
        <v>0.11</v>
      </c>
      <c r="AC1008">
        <v>1.89</v>
      </c>
      <c r="AD1008">
        <v>0.32</v>
      </c>
      <c r="AE1008">
        <v>0</v>
      </c>
      <c r="AF1008" s="22" t="s">
        <v>2254</v>
      </c>
      <c r="AG1008" s="22" t="s">
        <v>2255</v>
      </c>
      <c r="AH1008" s="22" t="s">
        <v>2256</v>
      </c>
      <c r="AI1008" s="22" t="s">
        <v>53</v>
      </c>
      <c r="AJ1008">
        <v>2</v>
      </c>
      <c r="AK1008">
        <v>6</v>
      </c>
      <c r="AL1008">
        <v>6</v>
      </c>
      <c r="AM1008">
        <v>2</v>
      </c>
      <c r="AN1008" s="22">
        <v>0</v>
      </c>
      <c r="AO1008" s="22">
        <v>0</v>
      </c>
      <c r="AP1008" s="22">
        <v>0</v>
      </c>
      <c r="AQ1008" s="22">
        <v>0</v>
      </c>
      <c r="AR1008" s="35">
        <v>0</v>
      </c>
      <c r="AS1008" s="35">
        <v>0</v>
      </c>
      <c r="AT1008" s="35">
        <v>4</v>
      </c>
      <c r="AU1008" s="31" t="str">
        <f t="shared" si="19"/>
        <v>库存为4</v>
      </c>
      <c r="AV1008" s="36" t="str">
        <f>IFERROR(时间!$B$4+AU1008,"上周无销量")</f>
        <v>上周无销量</v>
      </c>
    </row>
    <row r="1009" spans="1:48">
      <c r="A1009" s="20" t="s">
        <v>2257</v>
      </c>
      <c r="B1009" t="s">
        <v>2258</v>
      </c>
      <c r="C1009" t="s">
        <v>2251</v>
      </c>
      <c r="D1009" s="31">
        <v>0</v>
      </c>
      <c r="E1009" s="31">
        <v>0</v>
      </c>
      <c r="F1009" s="31">
        <v>0</v>
      </c>
      <c r="G1009" s="31">
        <v>0</v>
      </c>
      <c r="H1009" s="32">
        <v>0</v>
      </c>
      <c r="I1009">
        <v>6</v>
      </c>
      <c r="J1009" s="33">
        <v>0</v>
      </c>
      <c r="K1009" s="33">
        <v>0</v>
      </c>
      <c r="L1009" s="33">
        <v>0</v>
      </c>
      <c r="M1009">
        <v>6</v>
      </c>
      <c r="N1009">
        <v>0</v>
      </c>
      <c r="O1009">
        <v>1</v>
      </c>
      <c r="P1009" t="s">
        <v>53</v>
      </c>
      <c r="Q1009" t="s">
        <v>53</v>
      </c>
      <c r="R1009" t="s">
        <v>53</v>
      </c>
      <c r="S1009" t="s">
        <v>53</v>
      </c>
      <c r="T1009" t="s">
        <v>53</v>
      </c>
      <c r="U1009" t="s">
        <v>53</v>
      </c>
      <c r="V1009" t="s">
        <v>53</v>
      </c>
      <c r="W1009" t="s">
        <v>53</v>
      </c>
      <c r="X1009" s="22" t="s">
        <v>53</v>
      </c>
      <c r="Y1009" s="22" t="s">
        <v>53</v>
      </c>
      <c r="Z1009" s="22" t="s">
        <v>53</v>
      </c>
      <c r="AA1009" s="22" t="s">
        <v>53</v>
      </c>
      <c r="AB1009" t="s">
        <v>53</v>
      </c>
      <c r="AC1009" t="s">
        <v>53</v>
      </c>
      <c r="AD1009" t="s">
        <v>53</v>
      </c>
      <c r="AE1009" t="s">
        <v>53</v>
      </c>
      <c r="AF1009" s="22" t="s">
        <v>53</v>
      </c>
      <c r="AG1009" s="22" t="s">
        <v>53</v>
      </c>
      <c r="AH1009" s="22" t="s">
        <v>53</v>
      </c>
      <c r="AI1009" s="22" t="s">
        <v>53</v>
      </c>
      <c r="AJ1009">
        <v>3</v>
      </c>
      <c r="AK1009">
        <v>9</v>
      </c>
      <c r="AL1009">
        <v>4</v>
      </c>
      <c r="AM1009">
        <v>3</v>
      </c>
      <c r="AN1009" s="22">
        <v>0</v>
      </c>
      <c r="AO1009" s="22">
        <v>0</v>
      </c>
      <c r="AP1009" s="22">
        <v>0</v>
      </c>
      <c r="AQ1009" s="22">
        <v>0</v>
      </c>
      <c r="AR1009" s="35">
        <v>0</v>
      </c>
      <c r="AS1009" s="35">
        <v>0</v>
      </c>
      <c r="AT1009" s="35">
        <v>6</v>
      </c>
      <c r="AU1009" s="31" t="str">
        <f t="shared" si="19"/>
        <v>库存为6</v>
      </c>
      <c r="AV1009" s="36" t="str">
        <f>IFERROR(时间!$B$4+AU1009,"上周无销量")</f>
        <v>上周无销量</v>
      </c>
    </row>
    <row r="1010" spans="1:48">
      <c r="A1010" s="20" t="s">
        <v>2259</v>
      </c>
      <c r="B1010" t="s">
        <v>2260</v>
      </c>
      <c r="C1010" t="s">
        <v>2251</v>
      </c>
      <c r="D1010" s="31">
        <v>0</v>
      </c>
      <c r="E1010" s="31">
        <v>0</v>
      </c>
      <c r="F1010" s="31">
        <v>0</v>
      </c>
      <c r="G1010" s="31">
        <v>0</v>
      </c>
      <c r="H1010" s="32">
        <v>0</v>
      </c>
      <c r="I1010">
        <v>2</v>
      </c>
      <c r="J1010" s="33">
        <v>0</v>
      </c>
      <c r="K1010" s="33">
        <v>0</v>
      </c>
      <c r="L1010" s="33">
        <v>0</v>
      </c>
      <c r="M1010">
        <v>2</v>
      </c>
      <c r="N1010">
        <v>0</v>
      </c>
      <c r="O1010">
        <v>2</v>
      </c>
      <c r="P1010">
        <v>255</v>
      </c>
      <c r="Q1010">
        <v>628</v>
      </c>
      <c r="R1010">
        <v>250</v>
      </c>
      <c r="S1010">
        <v>0</v>
      </c>
      <c r="T1010">
        <v>2</v>
      </c>
      <c r="U1010">
        <v>5</v>
      </c>
      <c r="V1010">
        <v>2</v>
      </c>
      <c r="W1010">
        <v>0</v>
      </c>
      <c r="X1010" s="22">
        <v>0.00784313725490196</v>
      </c>
      <c r="Y1010" s="22">
        <v>0.00796178343949045</v>
      </c>
      <c r="Z1010" s="22">
        <v>0.008</v>
      </c>
      <c r="AA1010" s="22" t="s">
        <v>53</v>
      </c>
      <c r="AB1010">
        <v>0.26</v>
      </c>
      <c r="AC1010">
        <v>1.17</v>
      </c>
      <c r="AD1010">
        <v>0.78</v>
      </c>
      <c r="AE1010">
        <v>0</v>
      </c>
      <c r="AF1010" s="22" t="s">
        <v>2114</v>
      </c>
      <c r="AG1010" s="22" t="s">
        <v>2261</v>
      </c>
      <c r="AH1010" s="22" t="s">
        <v>310</v>
      </c>
      <c r="AI1010" s="22" t="s">
        <v>53</v>
      </c>
      <c r="AJ1010">
        <v>2</v>
      </c>
      <c r="AK1010">
        <v>4</v>
      </c>
      <c r="AL1010">
        <v>7</v>
      </c>
      <c r="AM1010">
        <v>4</v>
      </c>
      <c r="AN1010" s="22">
        <v>0</v>
      </c>
      <c r="AO1010" s="22">
        <v>0</v>
      </c>
      <c r="AP1010" s="22">
        <v>0</v>
      </c>
      <c r="AQ1010" s="22">
        <v>0</v>
      </c>
      <c r="AR1010" s="35">
        <v>0</v>
      </c>
      <c r="AS1010" s="35">
        <v>0</v>
      </c>
      <c r="AT1010" s="35">
        <v>2</v>
      </c>
      <c r="AU1010" s="31" t="str">
        <f t="shared" si="19"/>
        <v>库存为2</v>
      </c>
      <c r="AV1010" s="36" t="str">
        <f>IFERROR(时间!$B$4+AU1010,"上周无销量")</f>
        <v>上周无销量</v>
      </c>
    </row>
    <row r="1011" spans="1:48">
      <c r="A1011" s="20" t="s">
        <v>2262</v>
      </c>
      <c r="B1011" t="s">
        <v>2263</v>
      </c>
      <c r="C1011" t="s">
        <v>2251</v>
      </c>
      <c r="D1011" s="31">
        <v>0</v>
      </c>
      <c r="E1011" s="31">
        <v>0</v>
      </c>
      <c r="F1011" s="31">
        <v>0</v>
      </c>
      <c r="G1011" s="31">
        <v>0</v>
      </c>
      <c r="H1011" s="32">
        <v>0</v>
      </c>
      <c r="I1011">
        <v>10</v>
      </c>
      <c r="J1011" s="33">
        <v>0</v>
      </c>
      <c r="K1011" s="33">
        <v>0</v>
      </c>
      <c r="L1011" s="33">
        <v>0</v>
      </c>
      <c r="M1011">
        <v>10</v>
      </c>
      <c r="N1011">
        <v>0</v>
      </c>
      <c r="O1011">
        <v>0</v>
      </c>
      <c r="P1011" t="s">
        <v>53</v>
      </c>
      <c r="Q1011" t="s">
        <v>53</v>
      </c>
      <c r="R1011" t="s">
        <v>53</v>
      </c>
      <c r="S1011" t="s">
        <v>53</v>
      </c>
      <c r="T1011" t="s">
        <v>53</v>
      </c>
      <c r="U1011" t="s">
        <v>53</v>
      </c>
      <c r="V1011" t="s">
        <v>53</v>
      </c>
      <c r="W1011" t="s">
        <v>53</v>
      </c>
      <c r="X1011" s="22" t="s">
        <v>53</v>
      </c>
      <c r="Y1011" s="22" t="s">
        <v>53</v>
      </c>
      <c r="Z1011" s="22" t="s">
        <v>53</v>
      </c>
      <c r="AA1011" s="22" t="s">
        <v>53</v>
      </c>
      <c r="AB1011" t="s">
        <v>53</v>
      </c>
      <c r="AC1011" t="s">
        <v>53</v>
      </c>
      <c r="AD1011" t="s">
        <v>53</v>
      </c>
      <c r="AE1011" t="s">
        <v>53</v>
      </c>
      <c r="AF1011" s="22" t="s">
        <v>53</v>
      </c>
      <c r="AG1011" s="22" t="s">
        <v>53</v>
      </c>
      <c r="AH1011" s="22" t="s">
        <v>53</v>
      </c>
      <c r="AI1011" s="22" t="s">
        <v>53</v>
      </c>
      <c r="AJ1011">
        <v>1</v>
      </c>
      <c r="AK1011">
        <v>4</v>
      </c>
      <c r="AL1011">
        <v>2</v>
      </c>
      <c r="AM1011">
        <v>3</v>
      </c>
      <c r="AN1011" s="22">
        <v>0</v>
      </c>
      <c r="AO1011" s="22">
        <v>0</v>
      </c>
      <c r="AP1011" s="22">
        <v>0</v>
      </c>
      <c r="AQ1011" s="22">
        <v>0</v>
      </c>
      <c r="AR1011" s="35">
        <v>0</v>
      </c>
      <c r="AS1011" s="35">
        <v>0</v>
      </c>
      <c r="AT1011" s="35">
        <v>10</v>
      </c>
      <c r="AU1011" s="31" t="str">
        <f t="shared" si="19"/>
        <v>库存为10</v>
      </c>
      <c r="AV1011" s="36" t="str">
        <f>IFERROR(时间!$B$4+AU1011,"上周无销量")</f>
        <v>上周无销量</v>
      </c>
    </row>
    <row r="1012" spans="1:48">
      <c r="A1012" s="20" t="s">
        <v>2264</v>
      </c>
      <c r="B1012" t="s">
        <v>2265</v>
      </c>
      <c r="C1012" t="s">
        <v>2251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7</v>
      </c>
      <c r="J1012" s="33">
        <v>0</v>
      </c>
      <c r="K1012" s="33">
        <v>0</v>
      </c>
      <c r="L1012" s="33">
        <v>0</v>
      </c>
      <c r="M1012">
        <v>7</v>
      </c>
      <c r="N1012">
        <v>0</v>
      </c>
      <c r="O1012">
        <v>3</v>
      </c>
      <c r="P1012" t="s">
        <v>53</v>
      </c>
      <c r="Q1012" t="s">
        <v>53</v>
      </c>
      <c r="R1012" t="s">
        <v>53</v>
      </c>
      <c r="S1012" t="s">
        <v>53</v>
      </c>
      <c r="T1012" t="s">
        <v>53</v>
      </c>
      <c r="U1012" t="s">
        <v>53</v>
      </c>
      <c r="V1012" t="s">
        <v>53</v>
      </c>
      <c r="W1012" t="s">
        <v>53</v>
      </c>
      <c r="X1012" s="22" t="s">
        <v>53</v>
      </c>
      <c r="Y1012" s="22" t="s">
        <v>53</v>
      </c>
      <c r="Z1012" s="22" t="s">
        <v>53</v>
      </c>
      <c r="AA1012" s="22" t="s">
        <v>53</v>
      </c>
      <c r="AB1012" t="s">
        <v>53</v>
      </c>
      <c r="AC1012" t="s">
        <v>53</v>
      </c>
      <c r="AD1012" t="s">
        <v>53</v>
      </c>
      <c r="AE1012" t="s">
        <v>53</v>
      </c>
      <c r="AF1012" s="22" t="s">
        <v>53</v>
      </c>
      <c r="AG1012" s="22" t="s">
        <v>53</v>
      </c>
      <c r="AH1012" s="22" t="s">
        <v>53</v>
      </c>
      <c r="AI1012" s="22" t="s">
        <v>53</v>
      </c>
      <c r="AJ1012">
        <v>2</v>
      </c>
      <c r="AK1012">
        <v>6</v>
      </c>
      <c r="AL1012">
        <v>1</v>
      </c>
      <c r="AM1012">
        <v>4</v>
      </c>
      <c r="AN1012" s="22">
        <v>0</v>
      </c>
      <c r="AO1012" s="22">
        <v>0</v>
      </c>
      <c r="AP1012" s="22">
        <v>0</v>
      </c>
      <c r="AQ1012" s="22">
        <v>0</v>
      </c>
      <c r="AR1012" s="35">
        <v>0</v>
      </c>
      <c r="AS1012" s="35">
        <v>0</v>
      </c>
      <c r="AT1012" s="35">
        <v>7</v>
      </c>
      <c r="AU1012" s="31" t="str">
        <f t="shared" si="19"/>
        <v>库存为7</v>
      </c>
      <c r="AV1012" s="36" t="str">
        <f>IFERROR(时间!$B$4+AU1012,"上周无销量")</f>
        <v>上周无销量</v>
      </c>
    </row>
    <row r="1013" spans="1:48">
      <c r="A1013" s="20" t="s">
        <v>2266</v>
      </c>
      <c r="B1013" t="s">
        <v>2267</v>
      </c>
      <c r="C1013" t="s">
        <v>2251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9</v>
      </c>
      <c r="J1013" s="33">
        <v>0</v>
      </c>
      <c r="K1013" s="33">
        <v>0</v>
      </c>
      <c r="L1013" s="33">
        <v>0</v>
      </c>
      <c r="M1013">
        <v>9</v>
      </c>
      <c r="N1013">
        <v>0</v>
      </c>
      <c r="O1013">
        <v>0</v>
      </c>
      <c r="P1013">
        <v>482</v>
      </c>
      <c r="Q1013">
        <v>1573</v>
      </c>
      <c r="R1013">
        <v>448</v>
      </c>
      <c r="S1013">
        <v>0</v>
      </c>
      <c r="T1013">
        <v>1</v>
      </c>
      <c r="U1013">
        <v>8</v>
      </c>
      <c r="V1013">
        <v>2</v>
      </c>
      <c r="W1013">
        <v>0</v>
      </c>
      <c r="X1013" s="22">
        <v>0.0020746887966805</v>
      </c>
      <c r="Y1013" s="22">
        <v>0.00508582326764145</v>
      </c>
      <c r="Z1013" s="22">
        <v>0.00446428571428571</v>
      </c>
      <c r="AA1013" s="22" t="s">
        <v>53</v>
      </c>
      <c r="AB1013">
        <v>0.14</v>
      </c>
      <c r="AC1013">
        <v>2.59</v>
      </c>
      <c r="AD1013">
        <v>0.69</v>
      </c>
      <c r="AE1013">
        <v>0</v>
      </c>
      <c r="AF1013" s="22" t="s">
        <v>2268</v>
      </c>
      <c r="AG1013" s="22" t="s">
        <v>2269</v>
      </c>
      <c r="AH1013" s="22" t="s">
        <v>2270</v>
      </c>
      <c r="AI1013" s="22" t="s">
        <v>53</v>
      </c>
      <c r="AJ1013">
        <v>19</v>
      </c>
      <c r="AK1013">
        <v>7</v>
      </c>
      <c r="AL1013">
        <v>3</v>
      </c>
      <c r="AM1013">
        <v>1</v>
      </c>
      <c r="AN1013" s="22">
        <v>0</v>
      </c>
      <c r="AO1013" s="22">
        <v>0</v>
      </c>
      <c r="AP1013" s="22">
        <v>0</v>
      </c>
      <c r="AQ1013" s="22">
        <v>0</v>
      </c>
      <c r="AR1013" s="35">
        <v>0</v>
      </c>
      <c r="AS1013" s="35">
        <v>0</v>
      </c>
      <c r="AT1013" s="35">
        <v>9</v>
      </c>
      <c r="AU1013" s="31" t="str">
        <f t="shared" si="19"/>
        <v>库存为9</v>
      </c>
      <c r="AV1013" s="36" t="str">
        <f>IFERROR(时间!$B$4+AU1013,"上周无销量")</f>
        <v>上周无销量</v>
      </c>
    </row>
    <row r="1014" spans="1:48">
      <c r="A1014" s="20" t="s">
        <v>2271</v>
      </c>
      <c r="B1014" t="s">
        <v>2272</v>
      </c>
      <c r="C1014" t="s">
        <v>2251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9</v>
      </c>
      <c r="J1014" s="33">
        <v>0</v>
      </c>
      <c r="K1014" s="33">
        <v>0</v>
      </c>
      <c r="L1014" s="33">
        <v>0</v>
      </c>
      <c r="M1014">
        <v>9</v>
      </c>
      <c r="N1014">
        <v>0</v>
      </c>
      <c r="O1014">
        <v>8</v>
      </c>
      <c r="P1014" t="s">
        <v>53</v>
      </c>
      <c r="Q1014" t="s">
        <v>53</v>
      </c>
      <c r="R1014" t="s">
        <v>53</v>
      </c>
      <c r="S1014" t="s">
        <v>53</v>
      </c>
      <c r="T1014" t="s">
        <v>53</v>
      </c>
      <c r="U1014" t="s">
        <v>53</v>
      </c>
      <c r="V1014" t="s">
        <v>53</v>
      </c>
      <c r="W1014" t="s">
        <v>53</v>
      </c>
      <c r="X1014" s="22" t="s">
        <v>53</v>
      </c>
      <c r="Y1014" s="22" t="s">
        <v>53</v>
      </c>
      <c r="Z1014" s="22" t="s">
        <v>53</v>
      </c>
      <c r="AA1014" s="22" t="s">
        <v>53</v>
      </c>
      <c r="AB1014" t="s">
        <v>53</v>
      </c>
      <c r="AC1014" t="s">
        <v>53</v>
      </c>
      <c r="AD1014" t="s">
        <v>53</v>
      </c>
      <c r="AE1014" t="s">
        <v>53</v>
      </c>
      <c r="AF1014" s="22" t="s">
        <v>53</v>
      </c>
      <c r="AG1014" s="22" t="s">
        <v>53</v>
      </c>
      <c r="AH1014" s="22" t="s">
        <v>53</v>
      </c>
      <c r="AI1014" s="22" t="s">
        <v>53</v>
      </c>
      <c r="AJ1014">
        <v>1</v>
      </c>
      <c r="AK1014">
        <v>6</v>
      </c>
      <c r="AL1014">
        <v>2</v>
      </c>
      <c r="AM1014">
        <v>2</v>
      </c>
      <c r="AN1014" s="22">
        <v>0</v>
      </c>
      <c r="AO1014" s="22">
        <v>0</v>
      </c>
      <c r="AP1014" s="22">
        <v>0</v>
      </c>
      <c r="AQ1014" s="22">
        <v>0</v>
      </c>
      <c r="AR1014" s="35">
        <v>0</v>
      </c>
      <c r="AS1014" s="35">
        <v>0</v>
      </c>
      <c r="AT1014" s="35">
        <v>9</v>
      </c>
      <c r="AU1014" s="31" t="str">
        <f t="shared" si="19"/>
        <v>库存为9</v>
      </c>
      <c r="AV1014" s="36" t="str">
        <f>IFERROR(时间!$B$4+AU1014,"上周无销量")</f>
        <v>上周无销量</v>
      </c>
    </row>
    <row r="1015" spans="1:48">
      <c r="A1015" s="20" t="s">
        <v>2273</v>
      </c>
      <c r="B1015" t="s">
        <v>2274</v>
      </c>
      <c r="C1015" t="s">
        <v>2275</v>
      </c>
      <c r="D1015" s="31">
        <v>0</v>
      </c>
      <c r="E1015" s="31">
        <v>0</v>
      </c>
      <c r="F1015" s="31">
        <v>0</v>
      </c>
      <c r="G1015" s="31">
        <v>0</v>
      </c>
      <c r="H1015" s="32">
        <v>0</v>
      </c>
      <c r="I1015">
        <v>0</v>
      </c>
      <c r="J1015" s="33">
        <v>0</v>
      </c>
      <c r="K1015" s="33">
        <v>0</v>
      </c>
      <c r="L1015" s="33">
        <v>0</v>
      </c>
      <c r="M1015">
        <v>0</v>
      </c>
      <c r="N1015">
        <v>5</v>
      </c>
      <c r="O1015">
        <v>0</v>
      </c>
      <c r="P1015" t="s">
        <v>53</v>
      </c>
      <c r="Q1015" t="s">
        <v>53</v>
      </c>
      <c r="R1015" t="s">
        <v>53</v>
      </c>
      <c r="S1015" t="s">
        <v>53</v>
      </c>
      <c r="T1015" t="s">
        <v>53</v>
      </c>
      <c r="U1015" t="s">
        <v>53</v>
      </c>
      <c r="V1015" t="s">
        <v>53</v>
      </c>
      <c r="W1015" t="s">
        <v>53</v>
      </c>
      <c r="X1015" s="22" t="s">
        <v>53</v>
      </c>
      <c r="Y1015" s="22" t="s">
        <v>53</v>
      </c>
      <c r="Z1015" s="22" t="s">
        <v>53</v>
      </c>
      <c r="AA1015" s="22" t="s">
        <v>53</v>
      </c>
      <c r="AB1015" t="s">
        <v>53</v>
      </c>
      <c r="AC1015" t="s">
        <v>53</v>
      </c>
      <c r="AD1015" t="s">
        <v>53</v>
      </c>
      <c r="AE1015" t="s">
        <v>53</v>
      </c>
      <c r="AF1015" s="22" t="s">
        <v>53</v>
      </c>
      <c r="AG1015" s="22" t="s">
        <v>53</v>
      </c>
      <c r="AH1015" s="22" t="s">
        <v>53</v>
      </c>
      <c r="AI1015" s="22" t="s">
        <v>53</v>
      </c>
      <c r="AJ1015">
        <v>0</v>
      </c>
      <c r="AK1015">
        <v>0</v>
      </c>
      <c r="AL1015">
        <v>0</v>
      </c>
      <c r="AM1015">
        <v>0</v>
      </c>
      <c r="AN1015" s="22" t="s">
        <v>53</v>
      </c>
      <c r="AO1015" s="22" t="s">
        <v>53</v>
      </c>
      <c r="AP1015" s="22" t="s">
        <v>53</v>
      </c>
      <c r="AQ1015" s="22" t="s">
        <v>53</v>
      </c>
      <c r="AR1015" s="35">
        <v>0</v>
      </c>
      <c r="AS1015" s="35">
        <v>0</v>
      </c>
      <c r="AT1015" s="35">
        <v>0</v>
      </c>
      <c r="AU1015" s="31" t="str">
        <f t="shared" si="19"/>
        <v>库存为0</v>
      </c>
      <c r="AV1015" s="36" t="str">
        <f>IFERROR(时间!$B$4+AU1015,"上周无销量")</f>
        <v>上周无销量</v>
      </c>
    </row>
    <row r="1016" spans="1:48">
      <c r="A1016" s="20" t="s">
        <v>2276</v>
      </c>
      <c r="B1016" t="s">
        <v>2277</v>
      </c>
      <c r="C1016" t="s">
        <v>2275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0</v>
      </c>
      <c r="J1016" s="33">
        <v>0</v>
      </c>
      <c r="K1016" s="33">
        <v>0</v>
      </c>
      <c r="L1016" s="33">
        <v>0</v>
      </c>
      <c r="M1016">
        <v>0</v>
      </c>
      <c r="N1016">
        <v>4</v>
      </c>
      <c r="O1016">
        <v>0</v>
      </c>
      <c r="P1016" t="s">
        <v>53</v>
      </c>
      <c r="Q1016" t="s">
        <v>53</v>
      </c>
      <c r="R1016" t="s">
        <v>53</v>
      </c>
      <c r="S1016" t="s">
        <v>53</v>
      </c>
      <c r="T1016" t="s">
        <v>53</v>
      </c>
      <c r="U1016" t="s">
        <v>53</v>
      </c>
      <c r="V1016" t="s">
        <v>53</v>
      </c>
      <c r="W1016" t="s">
        <v>53</v>
      </c>
      <c r="X1016" s="22" t="s">
        <v>53</v>
      </c>
      <c r="Y1016" s="22" t="s">
        <v>53</v>
      </c>
      <c r="Z1016" s="22" t="s">
        <v>53</v>
      </c>
      <c r="AA1016" s="22" t="s">
        <v>53</v>
      </c>
      <c r="AB1016" t="s">
        <v>53</v>
      </c>
      <c r="AC1016" t="s">
        <v>53</v>
      </c>
      <c r="AD1016" t="s">
        <v>53</v>
      </c>
      <c r="AE1016" t="s">
        <v>53</v>
      </c>
      <c r="AF1016" s="22" t="s">
        <v>53</v>
      </c>
      <c r="AG1016" s="22" t="s">
        <v>53</v>
      </c>
      <c r="AH1016" s="22" t="s">
        <v>53</v>
      </c>
      <c r="AI1016" s="22" t="s">
        <v>53</v>
      </c>
      <c r="AJ1016">
        <v>0</v>
      </c>
      <c r="AK1016">
        <v>0</v>
      </c>
      <c r="AL1016">
        <v>0</v>
      </c>
      <c r="AM1016">
        <v>0</v>
      </c>
      <c r="AN1016" s="22" t="s">
        <v>53</v>
      </c>
      <c r="AO1016" s="22" t="s">
        <v>53</v>
      </c>
      <c r="AP1016" s="22" t="s">
        <v>53</v>
      </c>
      <c r="AQ1016" s="22" t="s">
        <v>53</v>
      </c>
      <c r="AR1016" s="35">
        <v>0</v>
      </c>
      <c r="AS1016" s="35">
        <v>0</v>
      </c>
      <c r="AT1016" s="35">
        <v>0</v>
      </c>
      <c r="AU1016" s="31" t="str">
        <f t="shared" si="19"/>
        <v>库存为0</v>
      </c>
      <c r="AV1016" s="36" t="str">
        <f>IFERROR(时间!$B$4+AU1016,"上周无销量")</f>
        <v>上周无销量</v>
      </c>
    </row>
    <row r="1017" spans="1:48">
      <c r="A1017" s="20" t="s">
        <v>2278</v>
      </c>
      <c r="B1017" t="s">
        <v>1175</v>
      </c>
      <c r="C1017" t="s">
        <v>2279</v>
      </c>
      <c r="D1017" s="31">
        <v>0</v>
      </c>
      <c r="E1017" s="31">
        <v>0</v>
      </c>
      <c r="F1017" s="31">
        <v>2</v>
      </c>
      <c r="G1017" s="31">
        <v>18</v>
      </c>
      <c r="H1017" s="32">
        <v>21.99</v>
      </c>
      <c r="I1017">
        <v>0</v>
      </c>
      <c r="J1017" s="33">
        <v>0</v>
      </c>
      <c r="K1017" s="33">
        <v>0</v>
      </c>
      <c r="L1017" s="33">
        <v>0</v>
      </c>
      <c r="M1017">
        <v>0</v>
      </c>
      <c r="N1017">
        <v>0</v>
      </c>
      <c r="O1017">
        <v>0</v>
      </c>
      <c r="P1017" t="s">
        <v>53</v>
      </c>
      <c r="Q1017" t="s">
        <v>53</v>
      </c>
      <c r="R1017" t="s">
        <v>53</v>
      </c>
      <c r="S1017" t="s">
        <v>53</v>
      </c>
      <c r="T1017" t="s">
        <v>53</v>
      </c>
      <c r="U1017" t="s">
        <v>53</v>
      </c>
      <c r="V1017" t="s">
        <v>53</v>
      </c>
      <c r="W1017" t="s">
        <v>53</v>
      </c>
      <c r="X1017" s="22" t="s">
        <v>53</v>
      </c>
      <c r="Y1017" s="22" t="s">
        <v>53</v>
      </c>
      <c r="Z1017" s="22" t="s">
        <v>53</v>
      </c>
      <c r="AA1017" s="22" t="s">
        <v>53</v>
      </c>
      <c r="AB1017" t="s">
        <v>53</v>
      </c>
      <c r="AC1017" t="s">
        <v>53</v>
      </c>
      <c r="AD1017" t="s">
        <v>53</v>
      </c>
      <c r="AE1017" t="s">
        <v>53</v>
      </c>
      <c r="AF1017" s="22" t="s">
        <v>53</v>
      </c>
      <c r="AG1017" s="22" t="s">
        <v>53</v>
      </c>
      <c r="AH1017" s="22" t="s">
        <v>53</v>
      </c>
      <c r="AI1017" s="22" t="s">
        <v>53</v>
      </c>
      <c r="AJ1017">
        <v>2544</v>
      </c>
      <c r="AK1017">
        <v>2494</v>
      </c>
      <c r="AL1017">
        <v>2117</v>
      </c>
      <c r="AM1017">
        <v>1330</v>
      </c>
      <c r="AN1017" s="22">
        <v>0</v>
      </c>
      <c r="AO1017" s="22">
        <v>0</v>
      </c>
      <c r="AP1017" s="22">
        <v>0.000944733112895607</v>
      </c>
      <c r="AQ1017" s="22">
        <v>0.0135338345864662</v>
      </c>
      <c r="AR1017" s="35">
        <v>0</v>
      </c>
      <c r="AS1017" s="35">
        <v>0</v>
      </c>
      <c r="AT1017" s="35">
        <v>0</v>
      </c>
      <c r="AU1017" s="31" t="str">
        <f t="shared" si="19"/>
        <v>库存为0</v>
      </c>
      <c r="AV1017" s="36" t="str">
        <f>IFERROR(时间!$B$4+AU1017,"上周无销量")</f>
        <v>上周无销量</v>
      </c>
    </row>
    <row r="1018" spans="1:48">
      <c r="A1018" s="20" t="s">
        <v>2280</v>
      </c>
      <c r="B1018" t="s">
        <v>1177</v>
      </c>
      <c r="C1018" t="s">
        <v>2279</v>
      </c>
      <c r="D1018" s="31">
        <v>0</v>
      </c>
      <c r="E1018" s="31">
        <v>0</v>
      </c>
      <c r="F1018" s="31">
        <v>5</v>
      </c>
      <c r="G1018" s="31">
        <v>2</v>
      </c>
      <c r="H1018" s="32">
        <v>21.99</v>
      </c>
      <c r="I1018">
        <v>0</v>
      </c>
      <c r="J1018" s="33">
        <v>0</v>
      </c>
      <c r="K1018" s="33">
        <v>0</v>
      </c>
      <c r="L1018" s="33">
        <v>0</v>
      </c>
      <c r="M1018">
        <v>0</v>
      </c>
      <c r="N1018">
        <v>0</v>
      </c>
      <c r="O1018">
        <v>0</v>
      </c>
      <c r="P1018" t="s">
        <v>53</v>
      </c>
      <c r="Q1018" t="s">
        <v>53</v>
      </c>
      <c r="R1018" t="s">
        <v>53</v>
      </c>
      <c r="S1018" t="s">
        <v>53</v>
      </c>
      <c r="T1018" t="s">
        <v>53</v>
      </c>
      <c r="U1018" t="s">
        <v>53</v>
      </c>
      <c r="V1018" t="s">
        <v>53</v>
      </c>
      <c r="W1018" t="s">
        <v>53</v>
      </c>
      <c r="X1018" s="22" t="s">
        <v>53</v>
      </c>
      <c r="Y1018" s="22" t="s">
        <v>53</v>
      </c>
      <c r="Z1018" s="22" t="s">
        <v>53</v>
      </c>
      <c r="AA1018" s="22" t="s">
        <v>53</v>
      </c>
      <c r="AB1018" t="s">
        <v>53</v>
      </c>
      <c r="AC1018" t="s">
        <v>53</v>
      </c>
      <c r="AD1018" t="s">
        <v>53</v>
      </c>
      <c r="AE1018" t="s">
        <v>53</v>
      </c>
      <c r="AF1018" s="22" t="s">
        <v>53</v>
      </c>
      <c r="AG1018" s="22" t="s">
        <v>53</v>
      </c>
      <c r="AH1018" s="22" t="s">
        <v>53</v>
      </c>
      <c r="AI1018" s="22" t="s">
        <v>53</v>
      </c>
      <c r="AJ1018">
        <v>557</v>
      </c>
      <c r="AK1018">
        <v>855</v>
      </c>
      <c r="AL1018">
        <v>1652</v>
      </c>
      <c r="AM1018">
        <v>568</v>
      </c>
      <c r="AN1018" s="22">
        <v>0</v>
      </c>
      <c r="AO1018" s="22">
        <v>0</v>
      </c>
      <c r="AP1018" s="22">
        <v>0.00302663438256659</v>
      </c>
      <c r="AQ1018" s="22">
        <v>0.00352112676056338</v>
      </c>
      <c r="AR1018" s="35">
        <v>0</v>
      </c>
      <c r="AS1018" s="35">
        <v>0</v>
      </c>
      <c r="AT1018" s="35">
        <v>0</v>
      </c>
      <c r="AU1018" s="31" t="str">
        <f t="shared" si="19"/>
        <v>库存为0</v>
      </c>
      <c r="AV1018" s="36" t="str">
        <f>IFERROR(时间!$B$4+AU1018,"上周无销量")</f>
        <v>上周无销量</v>
      </c>
    </row>
    <row r="1019" spans="1:48">
      <c r="A1019" s="20" t="s">
        <v>2281</v>
      </c>
      <c r="B1019" t="s">
        <v>1172</v>
      </c>
      <c r="C1019" t="s">
        <v>2279</v>
      </c>
      <c r="D1019" s="31">
        <v>0</v>
      </c>
      <c r="E1019" s="31">
        <v>0</v>
      </c>
      <c r="F1019" s="31">
        <v>41</v>
      </c>
      <c r="G1019" s="31">
        <v>0</v>
      </c>
      <c r="H1019" s="32">
        <v>21.99</v>
      </c>
      <c r="I1019">
        <v>0</v>
      </c>
      <c r="J1019" s="33">
        <v>0</v>
      </c>
      <c r="K1019" s="33">
        <v>0</v>
      </c>
      <c r="L1019" s="33">
        <v>0</v>
      </c>
      <c r="M1019">
        <v>0</v>
      </c>
      <c r="N1019">
        <v>0</v>
      </c>
      <c r="O1019">
        <v>0</v>
      </c>
      <c r="P1019" t="s">
        <v>53</v>
      </c>
      <c r="Q1019" t="s">
        <v>53</v>
      </c>
      <c r="R1019" t="s">
        <v>53</v>
      </c>
      <c r="S1019" t="s">
        <v>53</v>
      </c>
      <c r="T1019" t="s">
        <v>53</v>
      </c>
      <c r="U1019" t="s">
        <v>53</v>
      </c>
      <c r="V1019" t="s">
        <v>53</v>
      </c>
      <c r="W1019" t="s">
        <v>53</v>
      </c>
      <c r="X1019" s="22" t="s">
        <v>53</v>
      </c>
      <c r="Y1019" s="22" t="s">
        <v>53</v>
      </c>
      <c r="Z1019" s="22" t="s">
        <v>53</v>
      </c>
      <c r="AA1019" s="22" t="s">
        <v>53</v>
      </c>
      <c r="AB1019" t="s">
        <v>53</v>
      </c>
      <c r="AC1019" t="s">
        <v>53</v>
      </c>
      <c r="AD1019" t="s">
        <v>53</v>
      </c>
      <c r="AE1019" t="s">
        <v>53</v>
      </c>
      <c r="AF1019" s="22" t="s">
        <v>53</v>
      </c>
      <c r="AG1019" s="22" t="s">
        <v>53</v>
      </c>
      <c r="AH1019" s="22" t="s">
        <v>53</v>
      </c>
      <c r="AI1019" s="22" t="s">
        <v>53</v>
      </c>
      <c r="AJ1019">
        <v>799</v>
      </c>
      <c r="AK1019">
        <v>636</v>
      </c>
      <c r="AL1019">
        <v>1075</v>
      </c>
      <c r="AM1019">
        <v>786</v>
      </c>
      <c r="AN1019" s="22">
        <v>0</v>
      </c>
      <c r="AO1019" s="22">
        <v>0</v>
      </c>
      <c r="AP1019" s="22">
        <v>0.0381395348837209</v>
      </c>
      <c r="AQ1019" s="22">
        <v>0</v>
      </c>
      <c r="AR1019" s="35">
        <v>0</v>
      </c>
      <c r="AS1019" s="35">
        <v>0</v>
      </c>
      <c r="AT1019" s="35">
        <v>0</v>
      </c>
      <c r="AU1019" s="31" t="str">
        <f t="shared" si="19"/>
        <v>库存为0</v>
      </c>
      <c r="AV1019" s="36" t="str">
        <f>IFERROR(时间!$B$4+AU1019,"上周无销量")</f>
        <v>上周无销量</v>
      </c>
    </row>
    <row r="1020" spans="1:48">
      <c r="A1020" s="20" t="s">
        <v>2282</v>
      </c>
      <c r="B1020" t="s">
        <v>1191</v>
      </c>
      <c r="C1020" t="s">
        <v>2279</v>
      </c>
      <c r="D1020" s="31">
        <v>0</v>
      </c>
      <c r="E1020" s="31">
        <v>0</v>
      </c>
      <c r="F1020" s="31">
        <v>11</v>
      </c>
      <c r="G1020" s="31">
        <v>0</v>
      </c>
      <c r="H1020" s="32">
        <v>21.99</v>
      </c>
      <c r="I1020">
        <v>0</v>
      </c>
      <c r="J1020" s="33">
        <v>0</v>
      </c>
      <c r="K1020" s="33">
        <v>0</v>
      </c>
      <c r="L1020" s="33">
        <v>0</v>
      </c>
      <c r="M1020">
        <v>0</v>
      </c>
      <c r="N1020">
        <v>0</v>
      </c>
      <c r="O1020">
        <v>0</v>
      </c>
      <c r="P1020" t="s">
        <v>53</v>
      </c>
      <c r="Q1020" t="s">
        <v>53</v>
      </c>
      <c r="R1020" t="s">
        <v>53</v>
      </c>
      <c r="S1020" t="s">
        <v>53</v>
      </c>
      <c r="T1020" t="s">
        <v>53</v>
      </c>
      <c r="U1020" t="s">
        <v>53</v>
      </c>
      <c r="V1020" t="s">
        <v>53</v>
      </c>
      <c r="W1020" t="s">
        <v>53</v>
      </c>
      <c r="X1020" s="22" t="s">
        <v>53</v>
      </c>
      <c r="Y1020" s="22" t="s">
        <v>53</v>
      </c>
      <c r="Z1020" s="22" t="s">
        <v>53</v>
      </c>
      <c r="AA1020" s="22" t="s">
        <v>53</v>
      </c>
      <c r="AB1020" t="s">
        <v>53</v>
      </c>
      <c r="AC1020" t="s">
        <v>53</v>
      </c>
      <c r="AD1020" t="s">
        <v>53</v>
      </c>
      <c r="AE1020" t="s">
        <v>53</v>
      </c>
      <c r="AF1020" s="22" t="s">
        <v>53</v>
      </c>
      <c r="AG1020" s="22" t="s">
        <v>53</v>
      </c>
      <c r="AH1020" s="22" t="s">
        <v>53</v>
      </c>
      <c r="AI1020" s="22" t="s">
        <v>53</v>
      </c>
      <c r="AJ1020">
        <v>409</v>
      </c>
      <c r="AK1020">
        <v>554</v>
      </c>
      <c r="AL1020">
        <v>1111</v>
      </c>
      <c r="AM1020">
        <v>397</v>
      </c>
      <c r="AN1020" s="22">
        <v>0</v>
      </c>
      <c r="AO1020" s="22">
        <v>0</v>
      </c>
      <c r="AP1020" s="22">
        <v>0.0099009900990099</v>
      </c>
      <c r="AQ1020" s="22">
        <v>0</v>
      </c>
      <c r="AR1020" s="35">
        <v>0</v>
      </c>
      <c r="AS1020" s="35">
        <v>0</v>
      </c>
      <c r="AT1020" s="35">
        <v>0</v>
      </c>
      <c r="AU1020" s="31" t="str">
        <f t="shared" si="19"/>
        <v>库存为0</v>
      </c>
      <c r="AV1020" s="36" t="str">
        <f>IFERROR(时间!$B$4+AU1020,"上周无销量")</f>
        <v>上周无销量</v>
      </c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C6:C1020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9818" operator="lessThan">
      <formula>20</formula>
    </cfRule>
    <cfRule type="cellIs" dxfId="1" priority="19817" operator="greaterThan">
      <formula>120</formula>
    </cfRule>
    <cfRule type="containsText" dxfId="2" priority="19816" operator="between" text="库存为">
      <formula>NOT(ISERROR(SEARCH("库存为",AU2)))</formula>
    </cfRule>
  </conditionalFormatting>
  <conditionalFormatting sqref="AU6">
    <cfRule type="cellIs" dxfId="0" priority="3045" operator="lessThan">
      <formula>20</formula>
    </cfRule>
    <cfRule type="cellIs" dxfId="1" priority="2030" operator="greaterThan">
      <formula>120</formula>
    </cfRule>
    <cfRule type="containsText" dxfId="2" priority="1015" operator="between" text="库存为">
      <formula>NOT(ISERROR(SEARCH("库存为",AU6)))</formula>
    </cfRule>
  </conditionalFormatting>
  <conditionalFormatting sqref="AU7">
    <cfRule type="cellIs" dxfId="0" priority="3044" operator="lessThan">
      <formula>20</formula>
    </cfRule>
    <cfRule type="cellIs" dxfId="1" priority="2029" operator="greaterThan">
      <formula>120</formula>
    </cfRule>
    <cfRule type="containsText" dxfId="2" priority="1014" operator="between" text="库存为">
      <formula>NOT(ISERROR(SEARCH("库存为",AU7)))</formula>
    </cfRule>
  </conditionalFormatting>
  <conditionalFormatting sqref="AU8">
    <cfRule type="cellIs" dxfId="0" priority="3043" operator="lessThan">
      <formula>20</formula>
    </cfRule>
    <cfRule type="cellIs" dxfId="1" priority="2028" operator="greaterThan">
      <formula>120</formula>
    </cfRule>
    <cfRule type="containsText" dxfId="2" priority="1013" operator="between" text="库存为">
      <formula>NOT(ISERROR(SEARCH("库存为",AU8)))</formula>
    </cfRule>
  </conditionalFormatting>
  <conditionalFormatting sqref="AU9">
    <cfRule type="cellIs" dxfId="0" priority="3042" operator="lessThan">
      <formula>20</formula>
    </cfRule>
    <cfRule type="cellIs" dxfId="1" priority="2027" operator="greaterThan">
      <formula>120</formula>
    </cfRule>
    <cfRule type="containsText" dxfId="2" priority="1012" operator="between" text="库存为">
      <formula>NOT(ISERROR(SEARCH("库存为",AU9)))</formula>
    </cfRule>
  </conditionalFormatting>
  <conditionalFormatting sqref="AU10">
    <cfRule type="cellIs" dxfId="0" priority="3041" operator="lessThan">
      <formula>20</formula>
    </cfRule>
    <cfRule type="cellIs" dxfId="1" priority="2026" operator="greaterThan">
      <formula>120</formula>
    </cfRule>
    <cfRule type="containsText" dxfId="2" priority="1011" operator="between" text="库存为">
      <formula>NOT(ISERROR(SEARCH("库存为",AU10)))</formula>
    </cfRule>
  </conditionalFormatting>
  <conditionalFormatting sqref="AU11">
    <cfRule type="cellIs" dxfId="0" priority="3040" operator="lessThan">
      <formula>20</formula>
    </cfRule>
    <cfRule type="cellIs" dxfId="1" priority="2025" operator="greaterThan">
      <formula>120</formula>
    </cfRule>
    <cfRule type="containsText" dxfId="2" priority="1010" operator="between" text="库存为">
      <formula>NOT(ISERROR(SEARCH("库存为",AU11)))</formula>
    </cfRule>
  </conditionalFormatting>
  <conditionalFormatting sqref="AU12">
    <cfRule type="cellIs" dxfId="0" priority="3039" operator="lessThan">
      <formula>20</formula>
    </cfRule>
    <cfRule type="cellIs" dxfId="1" priority="2024" operator="greaterThan">
      <formula>120</formula>
    </cfRule>
    <cfRule type="containsText" dxfId="2" priority="1009" operator="between" text="库存为">
      <formula>NOT(ISERROR(SEARCH("库存为",AU12)))</formula>
    </cfRule>
  </conditionalFormatting>
  <conditionalFormatting sqref="AU13">
    <cfRule type="cellIs" dxfId="0" priority="3038" operator="lessThan">
      <formula>20</formula>
    </cfRule>
    <cfRule type="cellIs" dxfId="1" priority="2023" operator="greaterThan">
      <formula>120</formula>
    </cfRule>
    <cfRule type="containsText" dxfId="2" priority="1008" operator="between" text="库存为">
      <formula>NOT(ISERROR(SEARCH("库存为",AU13)))</formula>
    </cfRule>
  </conditionalFormatting>
  <conditionalFormatting sqref="AU14">
    <cfRule type="cellIs" dxfId="0" priority="3037" operator="lessThan">
      <formula>20</formula>
    </cfRule>
    <cfRule type="cellIs" dxfId="1" priority="2022" operator="greaterThan">
      <formula>120</formula>
    </cfRule>
    <cfRule type="containsText" dxfId="2" priority="1007" operator="between" text="库存为">
      <formula>NOT(ISERROR(SEARCH("库存为",AU14)))</formula>
    </cfRule>
  </conditionalFormatting>
  <conditionalFormatting sqref="AU15">
    <cfRule type="cellIs" dxfId="0" priority="3036" operator="lessThan">
      <formula>20</formula>
    </cfRule>
    <cfRule type="cellIs" dxfId="1" priority="2021" operator="greaterThan">
      <formula>120</formula>
    </cfRule>
    <cfRule type="containsText" dxfId="2" priority="1006" operator="between" text="库存为">
      <formula>NOT(ISERROR(SEARCH("库存为",AU15)))</formula>
    </cfRule>
  </conditionalFormatting>
  <conditionalFormatting sqref="AU16">
    <cfRule type="cellIs" dxfId="0" priority="3035" operator="lessThan">
      <formula>20</formula>
    </cfRule>
    <cfRule type="cellIs" dxfId="1" priority="2020" operator="greaterThan">
      <formula>120</formula>
    </cfRule>
    <cfRule type="containsText" dxfId="2" priority="1005" operator="between" text="库存为">
      <formula>NOT(ISERROR(SEARCH("库存为",AU16)))</formula>
    </cfRule>
  </conditionalFormatting>
  <conditionalFormatting sqref="AU17">
    <cfRule type="cellIs" dxfId="0" priority="3034" operator="lessThan">
      <formula>20</formula>
    </cfRule>
    <cfRule type="cellIs" dxfId="1" priority="2019" operator="greaterThan">
      <formula>120</formula>
    </cfRule>
    <cfRule type="containsText" dxfId="2" priority="1004" operator="between" text="库存为">
      <formula>NOT(ISERROR(SEARCH("库存为",AU17)))</formula>
    </cfRule>
  </conditionalFormatting>
  <conditionalFormatting sqref="AU18">
    <cfRule type="cellIs" dxfId="0" priority="3033" operator="lessThan">
      <formula>20</formula>
    </cfRule>
    <cfRule type="cellIs" dxfId="1" priority="2018" operator="greaterThan">
      <formula>120</formula>
    </cfRule>
    <cfRule type="containsText" dxfId="2" priority="1003" operator="between" text="库存为">
      <formula>NOT(ISERROR(SEARCH("库存为",AU18)))</formula>
    </cfRule>
  </conditionalFormatting>
  <conditionalFormatting sqref="AU19">
    <cfRule type="cellIs" dxfId="0" priority="3032" operator="lessThan">
      <formula>20</formula>
    </cfRule>
    <cfRule type="cellIs" dxfId="1" priority="2017" operator="greaterThan">
      <formula>120</formula>
    </cfRule>
    <cfRule type="containsText" dxfId="2" priority="1002" operator="between" text="库存为">
      <formula>NOT(ISERROR(SEARCH("库存为",AU19)))</formula>
    </cfRule>
  </conditionalFormatting>
  <conditionalFormatting sqref="AU20">
    <cfRule type="cellIs" dxfId="0" priority="3031" operator="lessThan">
      <formula>20</formula>
    </cfRule>
    <cfRule type="cellIs" dxfId="1" priority="2016" operator="greaterThan">
      <formula>120</formula>
    </cfRule>
    <cfRule type="containsText" dxfId="2" priority="1001" operator="between" text="库存为">
      <formula>NOT(ISERROR(SEARCH("库存为",AU20)))</formula>
    </cfRule>
  </conditionalFormatting>
  <conditionalFormatting sqref="AU21">
    <cfRule type="cellIs" dxfId="0" priority="3030" operator="lessThan">
      <formula>20</formula>
    </cfRule>
    <cfRule type="cellIs" dxfId="1" priority="2015" operator="greaterThan">
      <formula>120</formula>
    </cfRule>
    <cfRule type="containsText" dxfId="2" priority="1000" operator="between" text="库存为">
      <formula>NOT(ISERROR(SEARCH("库存为",AU21)))</formula>
    </cfRule>
  </conditionalFormatting>
  <conditionalFormatting sqref="AU22">
    <cfRule type="cellIs" dxfId="0" priority="3029" operator="lessThan">
      <formula>20</formula>
    </cfRule>
    <cfRule type="cellIs" dxfId="1" priority="2014" operator="greaterThan">
      <formula>120</formula>
    </cfRule>
    <cfRule type="containsText" dxfId="2" priority="999" operator="between" text="库存为">
      <formula>NOT(ISERROR(SEARCH("库存为",AU22)))</formula>
    </cfRule>
  </conditionalFormatting>
  <conditionalFormatting sqref="AU23">
    <cfRule type="cellIs" dxfId="0" priority="3028" operator="lessThan">
      <formula>20</formula>
    </cfRule>
    <cfRule type="cellIs" dxfId="1" priority="2013" operator="greaterThan">
      <formula>120</formula>
    </cfRule>
    <cfRule type="containsText" dxfId="2" priority="998" operator="between" text="库存为">
      <formula>NOT(ISERROR(SEARCH("库存为",AU23)))</formula>
    </cfRule>
  </conditionalFormatting>
  <conditionalFormatting sqref="AU24">
    <cfRule type="cellIs" dxfId="0" priority="3027" operator="lessThan">
      <formula>20</formula>
    </cfRule>
    <cfRule type="cellIs" dxfId="1" priority="2012" operator="greaterThan">
      <formula>120</formula>
    </cfRule>
    <cfRule type="containsText" dxfId="2" priority="997" operator="between" text="库存为">
      <formula>NOT(ISERROR(SEARCH("库存为",AU24)))</formula>
    </cfRule>
  </conditionalFormatting>
  <conditionalFormatting sqref="AU25">
    <cfRule type="cellIs" dxfId="0" priority="3026" operator="lessThan">
      <formula>20</formula>
    </cfRule>
    <cfRule type="cellIs" dxfId="1" priority="2011" operator="greaterThan">
      <formula>120</formula>
    </cfRule>
    <cfRule type="containsText" dxfId="2" priority="996" operator="between" text="库存为">
      <formula>NOT(ISERROR(SEARCH("库存为",AU25)))</formula>
    </cfRule>
  </conditionalFormatting>
  <conditionalFormatting sqref="AU26">
    <cfRule type="cellIs" dxfId="0" priority="3025" operator="lessThan">
      <formula>20</formula>
    </cfRule>
    <cfRule type="cellIs" dxfId="1" priority="2010" operator="greaterThan">
      <formula>120</formula>
    </cfRule>
    <cfRule type="containsText" dxfId="2" priority="995" operator="between" text="库存为">
      <formula>NOT(ISERROR(SEARCH("库存为",AU26)))</formula>
    </cfRule>
  </conditionalFormatting>
  <conditionalFormatting sqref="AU27">
    <cfRule type="cellIs" dxfId="0" priority="3024" operator="lessThan">
      <formula>20</formula>
    </cfRule>
    <cfRule type="cellIs" dxfId="1" priority="2009" operator="greaterThan">
      <formula>120</formula>
    </cfRule>
    <cfRule type="containsText" dxfId="2" priority="994" operator="between" text="库存为">
      <formula>NOT(ISERROR(SEARCH("库存为",AU27)))</formula>
    </cfRule>
  </conditionalFormatting>
  <conditionalFormatting sqref="AU28">
    <cfRule type="cellIs" dxfId="0" priority="3023" operator="lessThan">
      <formula>20</formula>
    </cfRule>
    <cfRule type="cellIs" dxfId="1" priority="2008" operator="greaterThan">
      <formula>120</formula>
    </cfRule>
    <cfRule type="containsText" dxfId="2" priority="993" operator="between" text="库存为">
      <formula>NOT(ISERROR(SEARCH("库存为",AU28)))</formula>
    </cfRule>
  </conditionalFormatting>
  <conditionalFormatting sqref="AU29">
    <cfRule type="cellIs" dxfId="0" priority="3022" operator="lessThan">
      <formula>20</formula>
    </cfRule>
    <cfRule type="cellIs" dxfId="1" priority="2007" operator="greaterThan">
      <formula>120</formula>
    </cfRule>
    <cfRule type="containsText" dxfId="2" priority="992" operator="between" text="库存为">
      <formula>NOT(ISERROR(SEARCH("库存为",AU29)))</formula>
    </cfRule>
  </conditionalFormatting>
  <conditionalFormatting sqref="AU30">
    <cfRule type="cellIs" dxfId="0" priority="3021" operator="lessThan">
      <formula>20</formula>
    </cfRule>
    <cfRule type="cellIs" dxfId="1" priority="2006" operator="greaterThan">
      <formula>120</formula>
    </cfRule>
    <cfRule type="containsText" dxfId="2" priority="991" operator="between" text="库存为">
      <formula>NOT(ISERROR(SEARCH("库存为",AU30)))</formula>
    </cfRule>
  </conditionalFormatting>
  <conditionalFormatting sqref="AU31">
    <cfRule type="cellIs" dxfId="0" priority="3020" operator="lessThan">
      <formula>20</formula>
    </cfRule>
    <cfRule type="cellIs" dxfId="1" priority="2005" operator="greaterThan">
      <formula>120</formula>
    </cfRule>
    <cfRule type="containsText" dxfId="2" priority="990" operator="between" text="库存为">
      <formula>NOT(ISERROR(SEARCH("库存为",AU31)))</formula>
    </cfRule>
  </conditionalFormatting>
  <conditionalFormatting sqref="AU32">
    <cfRule type="cellIs" dxfId="0" priority="3019" operator="lessThan">
      <formula>20</formula>
    </cfRule>
    <cfRule type="cellIs" dxfId="1" priority="2004" operator="greaterThan">
      <formula>120</formula>
    </cfRule>
    <cfRule type="containsText" dxfId="2" priority="989" operator="between" text="库存为">
      <formula>NOT(ISERROR(SEARCH("库存为",AU32)))</formula>
    </cfRule>
  </conditionalFormatting>
  <conditionalFormatting sqref="AU33">
    <cfRule type="cellIs" dxfId="0" priority="3018" operator="lessThan">
      <formula>20</formula>
    </cfRule>
    <cfRule type="cellIs" dxfId="1" priority="2003" operator="greaterThan">
      <formula>120</formula>
    </cfRule>
    <cfRule type="containsText" dxfId="2" priority="988" operator="between" text="库存为">
      <formula>NOT(ISERROR(SEARCH("库存为",AU33)))</formula>
    </cfRule>
  </conditionalFormatting>
  <conditionalFormatting sqref="AU34">
    <cfRule type="cellIs" dxfId="0" priority="3017" operator="lessThan">
      <formula>20</formula>
    </cfRule>
    <cfRule type="cellIs" dxfId="1" priority="2002" operator="greaterThan">
      <formula>120</formula>
    </cfRule>
    <cfRule type="containsText" dxfId="2" priority="987" operator="between" text="库存为">
      <formula>NOT(ISERROR(SEARCH("库存为",AU34)))</formula>
    </cfRule>
  </conditionalFormatting>
  <conditionalFormatting sqref="AU35">
    <cfRule type="cellIs" dxfId="0" priority="3016" operator="lessThan">
      <formula>20</formula>
    </cfRule>
    <cfRule type="cellIs" dxfId="1" priority="2001" operator="greaterThan">
      <formula>120</formula>
    </cfRule>
    <cfRule type="containsText" dxfId="2" priority="986" operator="between" text="库存为">
      <formula>NOT(ISERROR(SEARCH("库存为",AU35)))</formula>
    </cfRule>
  </conditionalFormatting>
  <conditionalFormatting sqref="AU36">
    <cfRule type="cellIs" dxfId="0" priority="3015" operator="lessThan">
      <formula>20</formula>
    </cfRule>
    <cfRule type="cellIs" dxfId="1" priority="2000" operator="greaterThan">
      <formula>120</formula>
    </cfRule>
    <cfRule type="containsText" dxfId="2" priority="985" operator="between" text="库存为">
      <formula>NOT(ISERROR(SEARCH("库存为",AU36)))</formula>
    </cfRule>
  </conditionalFormatting>
  <conditionalFormatting sqref="AU37">
    <cfRule type="cellIs" dxfId="0" priority="3014" operator="lessThan">
      <formula>20</formula>
    </cfRule>
    <cfRule type="cellIs" dxfId="1" priority="1999" operator="greaterThan">
      <formula>120</formula>
    </cfRule>
    <cfRule type="containsText" dxfId="2" priority="984" operator="between" text="库存为">
      <formula>NOT(ISERROR(SEARCH("库存为",AU37)))</formula>
    </cfRule>
  </conditionalFormatting>
  <conditionalFormatting sqref="AU38">
    <cfRule type="cellIs" dxfId="0" priority="3013" operator="lessThan">
      <formula>20</formula>
    </cfRule>
    <cfRule type="cellIs" dxfId="1" priority="1998" operator="greaterThan">
      <formula>120</formula>
    </cfRule>
    <cfRule type="containsText" dxfId="2" priority="983" operator="between" text="库存为">
      <formula>NOT(ISERROR(SEARCH("库存为",AU38)))</formula>
    </cfRule>
  </conditionalFormatting>
  <conditionalFormatting sqref="AU39">
    <cfRule type="cellIs" dxfId="0" priority="3012" operator="lessThan">
      <formula>20</formula>
    </cfRule>
    <cfRule type="cellIs" dxfId="1" priority="1997" operator="greaterThan">
      <formula>120</formula>
    </cfRule>
    <cfRule type="containsText" dxfId="2" priority="982" operator="between" text="库存为">
      <formula>NOT(ISERROR(SEARCH("库存为",AU39)))</formula>
    </cfRule>
  </conditionalFormatting>
  <conditionalFormatting sqref="AU40">
    <cfRule type="cellIs" dxfId="0" priority="3011" operator="lessThan">
      <formula>20</formula>
    </cfRule>
    <cfRule type="cellIs" dxfId="1" priority="1996" operator="greaterThan">
      <formula>120</formula>
    </cfRule>
    <cfRule type="containsText" dxfId="2" priority="981" operator="between" text="库存为">
      <formula>NOT(ISERROR(SEARCH("库存为",AU40)))</formula>
    </cfRule>
  </conditionalFormatting>
  <conditionalFormatting sqref="AU41">
    <cfRule type="cellIs" dxfId="0" priority="3010" operator="lessThan">
      <formula>20</formula>
    </cfRule>
    <cfRule type="cellIs" dxfId="1" priority="1995" operator="greaterThan">
      <formula>120</formula>
    </cfRule>
    <cfRule type="containsText" dxfId="2" priority="980" operator="between" text="库存为">
      <formula>NOT(ISERROR(SEARCH("库存为",AU41)))</formula>
    </cfRule>
  </conditionalFormatting>
  <conditionalFormatting sqref="AU42">
    <cfRule type="cellIs" dxfId="0" priority="3009" operator="lessThan">
      <formula>20</formula>
    </cfRule>
    <cfRule type="cellIs" dxfId="1" priority="1994" operator="greaterThan">
      <formula>120</formula>
    </cfRule>
    <cfRule type="containsText" dxfId="2" priority="979" operator="between" text="库存为">
      <formula>NOT(ISERROR(SEARCH("库存为",AU42)))</formula>
    </cfRule>
  </conditionalFormatting>
  <conditionalFormatting sqref="AU43">
    <cfRule type="cellIs" dxfId="0" priority="3008" operator="lessThan">
      <formula>20</formula>
    </cfRule>
    <cfRule type="cellIs" dxfId="1" priority="1993" operator="greaterThan">
      <formula>120</formula>
    </cfRule>
    <cfRule type="containsText" dxfId="2" priority="978" operator="between" text="库存为">
      <formula>NOT(ISERROR(SEARCH("库存为",AU43)))</formula>
    </cfRule>
  </conditionalFormatting>
  <conditionalFormatting sqref="AU44">
    <cfRule type="cellIs" dxfId="0" priority="3007" operator="lessThan">
      <formula>20</formula>
    </cfRule>
    <cfRule type="cellIs" dxfId="1" priority="1992" operator="greaterThan">
      <formula>120</formula>
    </cfRule>
    <cfRule type="containsText" dxfId="2" priority="977" operator="between" text="库存为">
      <formula>NOT(ISERROR(SEARCH("库存为",AU44)))</formula>
    </cfRule>
  </conditionalFormatting>
  <conditionalFormatting sqref="AU45">
    <cfRule type="cellIs" dxfId="0" priority="3006" operator="lessThan">
      <formula>20</formula>
    </cfRule>
    <cfRule type="cellIs" dxfId="1" priority="1991" operator="greaterThan">
      <formula>120</formula>
    </cfRule>
    <cfRule type="containsText" dxfId="2" priority="976" operator="between" text="库存为">
      <formula>NOT(ISERROR(SEARCH("库存为",AU45)))</formula>
    </cfRule>
  </conditionalFormatting>
  <conditionalFormatting sqref="AU46">
    <cfRule type="cellIs" dxfId="0" priority="3005" operator="lessThan">
      <formula>20</formula>
    </cfRule>
    <cfRule type="cellIs" dxfId="1" priority="1990" operator="greaterThan">
      <formula>120</formula>
    </cfRule>
    <cfRule type="containsText" dxfId="2" priority="975" operator="between" text="库存为">
      <formula>NOT(ISERROR(SEARCH("库存为",AU46)))</formula>
    </cfRule>
  </conditionalFormatting>
  <conditionalFormatting sqref="AU47">
    <cfRule type="cellIs" dxfId="0" priority="3004" operator="lessThan">
      <formula>20</formula>
    </cfRule>
    <cfRule type="cellIs" dxfId="1" priority="1989" operator="greaterThan">
      <formula>120</formula>
    </cfRule>
    <cfRule type="containsText" dxfId="2" priority="974" operator="between" text="库存为">
      <formula>NOT(ISERROR(SEARCH("库存为",AU47)))</formula>
    </cfRule>
  </conditionalFormatting>
  <conditionalFormatting sqref="AU48">
    <cfRule type="cellIs" dxfId="0" priority="3003" operator="lessThan">
      <formula>20</formula>
    </cfRule>
    <cfRule type="cellIs" dxfId="1" priority="1988" operator="greaterThan">
      <formula>120</formula>
    </cfRule>
    <cfRule type="containsText" dxfId="2" priority="973" operator="between" text="库存为">
      <formula>NOT(ISERROR(SEARCH("库存为",AU48)))</formula>
    </cfRule>
  </conditionalFormatting>
  <conditionalFormatting sqref="AU49">
    <cfRule type="cellIs" dxfId="0" priority="3002" operator="lessThan">
      <formula>20</formula>
    </cfRule>
    <cfRule type="cellIs" dxfId="1" priority="1987" operator="greaterThan">
      <formula>120</formula>
    </cfRule>
    <cfRule type="containsText" dxfId="2" priority="972" operator="between" text="库存为">
      <formula>NOT(ISERROR(SEARCH("库存为",AU49)))</formula>
    </cfRule>
  </conditionalFormatting>
  <conditionalFormatting sqref="AU50">
    <cfRule type="cellIs" dxfId="0" priority="3001" operator="lessThan">
      <formula>20</formula>
    </cfRule>
    <cfRule type="cellIs" dxfId="1" priority="1986" operator="greaterThan">
      <formula>120</formula>
    </cfRule>
    <cfRule type="containsText" dxfId="2" priority="971" operator="between" text="库存为">
      <formula>NOT(ISERROR(SEARCH("库存为",AU50)))</formula>
    </cfRule>
  </conditionalFormatting>
  <conditionalFormatting sqref="AU51">
    <cfRule type="cellIs" dxfId="0" priority="3000" operator="lessThan">
      <formula>20</formula>
    </cfRule>
    <cfRule type="cellIs" dxfId="1" priority="1985" operator="greaterThan">
      <formula>120</formula>
    </cfRule>
    <cfRule type="containsText" dxfId="2" priority="970" operator="between" text="库存为">
      <formula>NOT(ISERROR(SEARCH("库存为",AU51)))</formula>
    </cfRule>
  </conditionalFormatting>
  <conditionalFormatting sqref="AU52">
    <cfRule type="cellIs" dxfId="0" priority="2999" operator="lessThan">
      <formula>20</formula>
    </cfRule>
    <cfRule type="cellIs" dxfId="1" priority="1984" operator="greaterThan">
      <formula>120</formula>
    </cfRule>
    <cfRule type="containsText" dxfId="2" priority="969" operator="between" text="库存为">
      <formula>NOT(ISERROR(SEARCH("库存为",AU52)))</formula>
    </cfRule>
  </conditionalFormatting>
  <conditionalFormatting sqref="AU53">
    <cfRule type="cellIs" dxfId="0" priority="2998" operator="lessThan">
      <formula>20</formula>
    </cfRule>
    <cfRule type="cellIs" dxfId="1" priority="1983" operator="greaterThan">
      <formula>120</formula>
    </cfRule>
    <cfRule type="containsText" dxfId="2" priority="968" operator="between" text="库存为">
      <formula>NOT(ISERROR(SEARCH("库存为",AU53)))</formula>
    </cfRule>
  </conditionalFormatting>
  <conditionalFormatting sqref="AU54">
    <cfRule type="cellIs" dxfId="0" priority="2997" operator="lessThan">
      <formula>20</formula>
    </cfRule>
    <cfRule type="cellIs" dxfId="1" priority="1982" operator="greaterThan">
      <formula>120</formula>
    </cfRule>
    <cfRule type="containsText" dxfId="2" priority="967" operator="between" text="库存为">
      <formula>NOT(ISERROR(SEARCH("库存为",AU54)))</formula>
    </cfRule>
  </conditionalFormatting>
  <conditionalFormatting sqref="AU55">
    <cfRule type="cellIs" dxfId="0" priority="2996" operator="lessThan">
      <formula>20</formula>
    </cfRule>
    <cfRule type="cellIs" dxfId="1" priority="1981" operator="greaterThan">
      <formula>120</formula>
    </cfRule>
    <cfRule type="containsText" dxfId="2" priority="966" operator="between" text="库存为">
      <formula>NOT(ISERROR(SEARCH("库存为",AU55)))</formula>
    </cfRule>
  </conditionalFormatting>
  <conditionalFormatting sqref="AU56">
    <cfRule type="cellIs" dxfId="0" priority="2995" operator="lessThan">
      <formula>20</formula>
    </cfRule>
    <cfRule type="cellIs" dxfId="1" priority="1980" operator="greaterThan">
      <formula>120</formula>
    </cfRule>
    <cfRule type="containsText" dxfId="2" priority="965" operator="between" text="库存为">
      <formula>NOT(ISERROR(SEARCH("库存为",AU56)))</formula>
    </cfRule>
  </conditionalFormatting>
  <conditionalFormatting sqref="AU57">
    <cfRule type="cellIs" dxfId="0" priority="2994" operator="lessThan">
      <formula>20</formula>
    </cfRule>
    <cfRule type="cellIs" dxfId="1" priority="1979" operator="greaterThan">
      <formula>120</formula>
    </cfRule>
    <cfRule type="containsText" dxfId="2" priority="964" operator="between" text="库存为">
      <formula>NOT(ISERROR(SEARCH("库存为",AU57)))</formula>
    </cfRule>
  </conditionalFormatting>
  <conditionalFormatting sqref="AU58">
    <cfRule type="cellIs" dxfId="0" priority="2993" operator="lessThan">
      <formula>20</formula>
    </cfRule>
    <cfRule type="cellIs" dxfId="1" priority="1978" operator="greaterThan">
      <formula>120</formula>
    </cfRule>
    <cfRule type="containsText" dxfId="2" priority="963" operator="between" text="库存为">
      <formula>NOT(ISERROR(SEARCH("库存为",AU58)))</formula>
    </cfRule>
  </conditionalFormatting>
  <conditionalFormatting sqref="AU59">
    <cfRule type="cellIs" dxfId="0" priority="2992" operator="lessThan">
      <formula>20</formula>
    </cfRule>
    <cfRule type="cellIs" dxfId="1" priority="1977" operator="greaterThan">
      <formula>120</formula>
    </cfRule>
    <cfRule type="containsText" dxfId="2" priority="962" operator="between" text="库存为">
      <formula>NOT(ISERROR(SEARCH("库存为",AU59)))</formula>
    </cfRule>
  </conditionalFormatting>
  <conditionalFormatting sqref="AU60">
    <cfRule type="cellIs" dxfId="0" priority="2991" operator="lessThan">
      <formula>20</formula>
    </cfRule>
    <cfRule type="cellIs" dxfId="1" priority="1976" operator="greaterThan">
      <formula>120</formula>
    </cfRule>
    <cfRule type="containsText" dxfId="2" priority="961" operator="between" text="库存为">
      <formula>NOT(ISERROR(SEARCH("库存为",AU60)))</formula>
    </cfRule>
  </conditionalFormatting>
  <conditionalFormatting sqref="AU61">
    <cfRule type="cellIs" dxfId="0" priority="2990" operator="lessThan">
      <formula>20</formula>
    </cfRule>
    <cfRule type="cellIs" dxfId="1" priority="1975" operator="greaterThan">
      <formula>120</formula>
    </cfRule>
    <cfRule type="containsText" dxfId="2" priority="960" operator="between" text="库存为">
      <formula>NOT(ISERROR(SEARCH("库存为",AU61)))</formula>
    </cfRule>
  </conditionalFormatting>
  <conditionalFormatting sqref="AU62">
    <cfRule type="cellIs" dxfId="0" priority="2989" operator="lessThan">
      <formula>20</formula>
    </cfRule>
    <cfRule type="cellIs" dxfId="1" priority="1974" operator="greaterThan">
      <formula>120</formula>
    </cfRule>
    <cfRule type="containsText" dxfId="2" priority="959" operator="between" text="库存为">
      <formula>NOT(ISERROR(SEARCH("库存为",AU62)))</formula>
    </cfRule>
  </conditionalFormatting>
  <conditionalFormatting sqref="AU63">
    <cfRule type="cellIs" dxfId="0" priority="2988" operator="lessThan">
      <formula>20</formula>
    </cfRule>
    <cfRule type="cellIs" dxfId="1" priority="1973" operator="greaterThan">
      <formula>120</formula>
    </cfRule>
    <cfRule type="containsText" dxfId="2" priority="958" operator="between" text="库存为">
      <formula>NOT(ISERROR(SEARCH("库存为",AU63)))</formula>
    </cfRule>
  </conditionalFormatting>
  <conditionalFormatting sqref="AU64">
    <cfRule type="cellIs" dxfId="0" priority="2987" operator="lessThan">
      <formula>20</formula>
    </cfRule>
    <cfRule type="cellIs" dxfId="1" priority="1972" operator="greaterThan">
      <formula>120</formula>
    </cfRule>
    <cfRule type="containsText" dxfId="2" priority="957" operator="between" text="库存为">
      <formula>NOT(ISERROR(SEARCH("库存为",AU64)))</formula>
    </cfRule>
  </conditionalFormatting>
  <conditionalFormatting sqref="AU65">
    <cfRule type="cellIs" dxfId="0" priority="2986" operator="lessThan">
      <formula>20</formula>
    </cfRule>
    <cfRule type="cellIs" dxfId="1" priority="1971" operator="greaterThan">
      <formula>120</formula>
    </cfRule>
    <cfRule type="containsText" dxfId="2" priority="956" operator="between" text="库存为">
      <formula>NOT(ISERROR(SEARCH("库存为",AU65)))</formula>
    </cfRule>
  </conditionalFormatting>
  <conditionalFormatting sqref="AU66">
    <cfRule type="cellIs" dxfId="0" priority="2985" operator="lessThan">
      <formula>20</formula>
    </cfRule>
    <cfRule type="cellIs" dxfId="1" priority="1970" operator="greaterThan">
      <formula>120</formula>
    </cfRule>
    <cfRule type="containsText" dxfId="2" priority="955" operator="between" text="库存为">
      <formula>NOT(ISERROR(SEARCH("库存为",AU66)))</formula>
    </cfRule>
  </conditionalFormatting>
  <conditionalFormatting sqref="AU67">
    <cfRule type="cellIs" dxfId="0" priority="2984" operator="lessThan">
      <formula>20</formula>
    </cfRule>
    <cfRule type="cellIs" dxfId="1" priority="1969" operator="greaterThan">
      <formula>120</formula>
    </cfRule>
    <cfRule type="containsText" dxfId="2" priority="954" operator="between" text="库存为">
      <formula>NOT(ISERROR(SEARCH("库存为",AU67)))</formula>
    </cfRule>
  </conditionalFormatting>
  <conditionalFormatting sqref="AU68">
    <cfRule type="cellIs" dxfId="0" priority="2983" operator="lessThan">
      <formula>20</formula>
    </cfRule>
    <cfRule type="cellIs" dxfId="1" priority="1968" operator="greaterThan">
      <formula>120</formula>
    </cfRule>
    <cfRule type="containsText" dxfId="2" priority="953" operator="between" text="库存为">
      <formula>NOT(ISERROR(SEARCH("库存为",AU68)))</formula>
    </cfRule>
  </conditionalFormatting>
  <conditionalFormatting sqref="AU69">
    <cfRule type="cellIs" dxfId="0" priority="2982" operator="lessThan">
      <formula>20</formula>
    </cfRule>
    <cfRule type="cellIs" dxfId="1" priority="1967" operator="greaterThan">
      <formula>120</formula>
    </cfRule>
    <cfRule type="containsText" dxfId="2" priority="952" operator="between" text="库存为">
      <formula>NOT(ISERROR(SEARCH("库存为",AU69)))</formula>
    </cfRule>
  </conditionalFormatting>
  <conditionalFormatting sqref="AU70">
    <cfRule type="cellIs" dxfId="0" priority="2981" operator="lessThan">
      <formula>20</formula>
    </cfRule>
    <cfRule type="cellIs" dxfId="1" priority="1966" operator="greaterThan">
      <formula>120</formula>
    </cfRule>
    <cfRule type="containsText" dxfId="2" priority="951" operator="between" text="库存为">
      <formula>NOT(ISERROR(SEARCH("库存为",AU70)))</formula>
    </cfRule>
  </conditionalFormatting>
  <conditionalFormatting sqref="AU71">
    <cfRule type="cellIs" dxfId="0" priority="2980" operator="lessThan">
      <formula>20</formula>
    </cfRule>
    <cfRule type="cellIs" dxfId="1" priority="1965" operator="greaterThan">
      <formula>120</formula>
    </cfRule>
    <cfRule type="containsText" dxfId="2" priority="950" operator="between" text="库存为">
      <formula>NOT(ISERROR(SEARCH("库存为",AU71)))</formula>
    </cfRule>
  </conditionalFormatting>
  <conditionalFormatting sqref="AU72">
    <cfRule type="cellIs" dxfId="0" priority="2979" operator="lessThan">
      <formula>20</formula>
    </cfRule>
    <cfRule type="cellIs" dxfId="1" priority="1964" operator="greaterThan">
      <formula>120</formula>
    </cfRule>
    <cfRule type="containsText" dxfId="2" priority="949" operator="between" text="库存为">
      <formula>NOT(ISERROR(SEARCH("库存为",AU72)))</formula>
    </cfRule>
  </conditionalFormatting>
  <conditionalFormatting sqref="AU73">
    <cfRule type="cellIs" dxfId="0" priority="2978" operator="lessThan">
      <formula>20</formula>
    </cfRule>
    <cfRule type="cellIs" dxfId="1" priority="1963" operator="greaterThan">
      <formula>120</formula>
    </cfRule>
    <cfRule type="containsText" dxfId="2" priority="948" operator="between" text="库存为">
      <formula>NOT(ISERROR(SEARCH("库存为",AU73)))</formula>
    </cfRule>
  </conditionalFormatting>
  <conditionalFormatting sqref="AU74">
    <cfRule type="cellIs" dxfId="0" priority="2977" operator="lessThan">
      <formula>20</formula>
    </cfRule>
    <cfRule type="cellIs" dxfId="1" priority="1962" operator="greaterThan">
      <formula>120</formula>
    </cfRule>
    <cfRule type="containsText" dxfId="2" priority="947" operator="between" text="库存为">
      <formula>NOT(ISERROR(SEARCH("库存为",AU74)))</formula>
    </cfRule>
  </conditionalFormatting>
  <conditionalFormatting sqref="AU75">
    <cfRule type="cellIs" dxfId="0" priority="2976" operator="lessThan">
      <formula>20</formula>
    </cfRule>
    <cfRule type="cellIs" dxfId="1" priority="1961" operator="greaterThan">
      <formula>120</formula>
    </cfRule>
    <cfRule type="containsText" dxfId="2" priority="946" operator="between" text="库存为">
      <formula>NOT(ISERROR(SEARCH("库存为",AU75)))</formula>
    </cfRule>
  </conditionalFormatting>
  <conditionalFormatting sqref="AU76">
    <cfRule type="cellIs" dxfId="0" priority="2975" operator="lessThan">
      <formula>20</formula>
    </cfRule>
    <cfRule type="cellIs" dxfId="1" priority="1960" operator="greaterThan">
      <formula>120</formula>
    </cfRule>
    <cfRule type="containsText" dxfId="2" priority="945" operator="between" text="库存为">
      <formula>NOT(ISERROR(SEARCH("库存为",AU76)))</formula>
    </cfRule>
  </conditionalFormatting>
  <conditionalFormatting sqref="AU77">
    <cfRule type="cellIs" dxfId="0" priority="2974" operator="lessThan">
      <formula>20</formula>
    </cfRule>
    <cfRule type="cellIs" dxfId="1" priority="1959" operator="greaterThan">
      <formula>120</formula>
    </cfRule>
    <cfRule type="containsText" dxfId="2" priority="944" operator="between" text="库存为">
      <formula>NOT(ISERROR(SEARCH("库存为",AU77)))</formula>
    </cfRule>
  </conditionalFormatting>
  <conditionalFormatting sqref="AU78">
    <cfRule type="cellIs" dxfId="0" priority="2973" operator="lessThan">
      <formula>20</formula>
    </cfRule>
    <cfRule type="cellIs" dxfId="1" priority="1958" operator="greaterThan">
      <formula>120</formula>
    </cfRule>
    <cfRule type="containsText" dxfId="2" priority="943" operator="between" text="库存为">
      <formula>NOT(ISERROR(SEARCH("库存为",AU78)))</formula>
    </cfRule>
  </conditionalFormatting>
  <conditionalFormatting sqref="AU79">
    <cfRule type="cellIs" dxfId="0" priority="2972" operator="lessThan">
      <formula>20</formula>
    </cfRule>
    <cfRule type="cellIs" dxfId="1" priority="1957" operator="greaterThan">
      <formula>120</formula>
    </cfRule>
    <cfRule type="containsText" dxfId="2" priority="942" operator="between" text="库存为">
      <formula>NOT(ISERROR(SEARCH("库存为",AU79)))</formula>
    </cfRule>
  </conditionalFormatting>
  <conditionalFormatting sqref="AU80">
    <cfRule type="cellIs" dxfId="0" priority="2971" operator="lessThan">
      <formula>20</formula>
    </cfRule>
    <cfRule type="cellIs" dxfId="1" priority="1956" operator="greaterThan">
      <formula>120</formula>
    </cfRule>
    <cfRule type="containsText" dxfId="2" priority="941" operator="between" text="库存为">
      <formula>NOT(ISERROR(SEARCH("库存为",AU80)))</formula>
    </cfRule>
  </conditionalFormatting>
  <conditionalFormatting sqref="AU81">
    <cfRule type="cellIs" dxfId="0" priority="2970" operator="lessThan">
      <formula>20</formula>
    </cfRule>
    <cfRule type="cellIs" dxfId="1" priority="1955" operator="greaterThan">
      <formula>120</formula>
    </cfRule>
    <cfRule type="containsText" dxfId="2" priority="940" operator="between" text="库存为">
      <formula>NOT(ISERROR(SEARCH("库存为",AU81)))</formula>
    </cfRule>
  </conditionalFormatting>
  <conditionalFormatting sqref="AU82">
    <cfRule type="cellIs" dxfId="0" priority="2969" operator="lessThan">
      <formula>20</formula>
    </cfRule>
    <cfRule type="cellIs" dxfId="1" priority="1954" operator="greaterThan">
      <formula>120</formula>
    </cfRule>
    <cfRule type="containsText" dxfId="2" priority="939" operator="between" text="库存为">
      <formula>NOT(ISERROR(SEARCH("库存为",AU82)))</formula>
    </cfRule>
  </conditionalFormatting>
  <conditionalFormatting sqref="AU83">
    <cfRule type="cellIs" dxfId="0" priority="2968" operator="lessThan">
      <formula>20</formula>
    </cfRule>
    <cfRule type="cellIs" dxfId="1" priority="1953" operator="greaterThan">
      <formula>120</formula>
    </cfRule>
    <cfRule type="containsText" dxfId="2" priority="938" operator="between" text="库存为">
      <formula>NOT(ISERROR(SEARCH("库存为",AU83)))</formula>
    </cfRule>
  </conditionalFormatting>
  <conditionalFormatting sqref="AU84">
    <cfRule type="cellIs" dxfId="0" priority="2967" operator="lessThan">
      <formula>20</formula>
    </cfRule>
    <cfRule type="cellIs" dxfId="1" priority="1952" operator="greaterThan">
      <formula>120</formula>
    </cfRule>
    <cfRule type="containsText" dxfId="2" priority="937" operator="between" text="库存为">
      <formula>NOT(ISERROR(SEARCH("库存为",AU84)))</formula>
    </cfRule>
  </conditionalFormatting>
  <conditionalFormatting sqref="AU85">
    <cfRule type="cellIs" dxfId="0" priority="2966" operator="lessThan">
      <formula>20</formula>
    </cfRule>
    <cfRule type="cellIs" dxfId="1" priority="1951" operator="greaterThan">
      <formula>120</formula>
    </cfRule>
    <cfRule type="containsText" dxfId="2" priority="936" operator="between" text="库存为">
      <formula>NOT(ISERROR(SEARCH("库存为",AU85)))</formula>
    </cfRule>
  </conditionalFormatting>
  <conditionalFormatting sqref="AU86">
    <cfRule type="cellIs" dxfId="0" priority="2965" operator="lessThan">
      <formula>20</formula>
    </cfRule>
    <cfRule type="cellIs" dxfId="1" priority="1950" operator="greaterThan">
      <formula>120</formula>
    </cfRule>
    <cfRule type="containsText" dxfId="2" priority="935" operator="between" text="库存为">
      <formula>NOT(ISERROR(SEARCH("库存为",AU86)))</formula>
    </cfRule>
  </conditionalFormatting>
  <conditionalFormatting sqref="AU87">
    <cfRule type="cellIs" dxfId="0" priority="2964" operator="lessThan">
      <formula>20</formula>
    </cfRule>
    <cfRule type="cellIs" dxfId="1" priority="1949" operator="greaterThan">
      <formula>120</formula>
    </cfRule>
    <cfRule type="containsText" dxfId="2" priority="934" operator="between" text="库存为">
      <formula>NOT(ISERROR(SEARCH("库存为",AU87)))</formula>
    </cfRule>
  </conditionalFormatting>
  <conditionalFormatting sqref="AU88">
    <cfRule type="cellIs" dxfId="0" priority="2963" operator="lessThan">
      <formula>20</formula>
    </cfRule>
    <cfRule type="cellIs" dxfId="1" priority="1948" operator="greaterThan">
      <formula>120</formula>
    </cfRule>
    <cfRule type="containsText" dxfId="2" priority="933" operator="between" text="库存为">
      <formula>NOT(ISERROR(SEARCH("库存为",AU88)))</formula>
    </cfRule>
  </conditionalFormatting>
  <conditionalFormatting sqref="AU89">
    <cfRule type="cellIs" dxfId="0" priority="2962" operator="lessThan">
      <formula>20</formula>
    </cfRule>
    <cfRule type="cellIs" dxfId="1" priority="1947" operator="greaterThan">
      <formula>120</formula>
    </cfRule>
    <cfRule type="containsText" dxfId="2" priority="932" operator="between" text="库存为">
      <formula>NOT(ISERROR(SEARCH("库存为",AU89)))</formula>
    </cfRule>
  </conditionalFormatting>
  <conditionalFormatting sqref="AU90">
    <cfRule type="cellIs" dxfId="0" priority="2961" operator="lessThan">
      <formula>20</formula>
    </cfRule>
    <cfRule type="cellIs" dxfId="1" priority="1946" operator="greaterThan">
      <formula>120</formula>
    </cfRule>
    <cfRule type="containsText" dxfId="2" priority="931" operator="between" text="库存为">
      <formula>NOT(ISERROR(SEARCH("库存为",AU90)))</formula>
    </cfRule>
  </conditionalFormatting>
  <conditionalFormatting sqref="AU91">
    <cfRule type="cellIs" dxfId="0" priority="2960" operator="lessThan">
      <formula>20</formula>
    </cfRule>
    <cfRule type="cellIs" dxfId="1" priority="1945" operator="greaterThan">
      <formula>120</formula>
    </cfRule>
    <cfRule type="containsText" dxfId="2" priority="930" operator="between" text="库存为">
      <formula>NOT(ISERROR(SEARCH("库存为",AU91)))</formula>
    </cfRule>
  </conditionalFormatting>
  <conditionalFormatting sqref="AU92">
    <cfRule type="cellIs" dxfId="0" priority="2959" operator="lessThan">
      <formula>20</formula>
    </cfRule>
    <cfRule type="cellIs" dxfId="1" priority="1944" operator="greaterThan">
      <formula>120</formula>
    </cfRule>
    <cfRule type="containsText" dxfId="2" priority="929" operator="between" text="库存为">
      <formula>NOT(ISERROR(SEARCH("库存为",AU92)))</formula>
    </cfRule>
  </conditionalFormatting>
  <conditionalFormatting sqref="AU93">
    <cfRule type="cellIs" dxfId="0" priority="2958" operator="lessThan">
      <formula>20</formula>
    </cfRule>
    <cfRule type="cellIs" dxfId="1" priority="1943" operator="greaterThan">
      <formula>120</formula>
    </cfRule>
    <cfRule type="containsText" dxfId="2" priority="928" operator="between" text="库存为">
      <formula>NOT(ISERROR(SEARCH("库存为",AU93)))</formula>
    </cfRule>
  </conditionalFormatting>
  <conditionalFormatting sqref="AU94">
    <cfRule type="cellIs" dxfId="0" priority="2957" operator="lessThan">
      <formula>20</formula>
    </cfRule>
    <cfRule type="cellIs" dxfId="1" priority="1942" operator="greaterThan">
      <formula>120</formula>
    </cfRule>
    <cfRule type="containsText" dxfId="2" priority="927" operator="between" text="库存为">
      <formula>NOT(ISERROR(SEARCH("库存为",AU94)))</formula>
    </cfRule>
  </conditionalFormatting>
  <conditionalFormatting sqref="AU95">
    <cfRule type="cellIs" dxfId="0" priority="2956" operator="lessThan">
      <formula>20</formula>
    </cfRule>
    <cfRule type="cellIs" dxfId="1" priority="1941" operator="greaterThan">
      <formula>120</formula>
    </cfRule>
    <cfRule type="containsText" dxfId="2" priority="926" operator="between" text="库存为">
      <formula>NOT(ISERROR(SEARCH("库存为",AU95)))</formula>
    </cfRule>
  </conditionalFormatting>
  <conditionalFormatting sqref="AU96">
    <cfRule type="cellIs" dxfId="0" priority="2955" operator="lessThan">
      <formula>20</formula>
    </cfRule>
    <cfRule type="cellIs" dxfId="1" priority="1940" operator="greaterThan">
      <formula>120</formula>
    </cfRule>
    <cfRule type="containsText" dxfId="2" priority="925" operator="between" text="库存为">
      <formula>NOT(ISERROR(SEARCH("库存为",AU96)))</formula>
    </cfRule>
  </conditionalFormatting>
  <conditionalFormatting sqref="AU97">
    <cfRule type="cellIs" dxfId="0" priority="2954" operator="lessThan">
      <formula>20</formula>
    </cfRule>
    <cfRule type="cellIs" dxfId="1" priority="1939" operator="greaterThan">
      <formula>120</formula>
    </cfRule>
    <cfRule type="containsText" dxfId="2" priority="924" operator="between" text="库存为">
      <formula>NOT(ISERROR(SEARCH("库存为",AU97)))</formula>
    </cfRule>
  </conditionalFormatting>
  <conditionalFormatting sqref="AU98">
    <cfRule type="cellIs" dxfId="0" priority="2953" operator="lessThan">
      <formula>20</formula>
    </cfRule>
    <cfRule type="cellIs" dxfId="1" priority="1938" operator="greaterThan">
      <formula>120</formula>
    </cfRule>
    <cfRule type="containsText" dxfId="2" priority="923" operator="between" text="库存为">
      <formula>NOT(ISERROR(SEARCH("库存为",AU98)))</formula>
    </cfRule>
  </conditionalFormatting>
  <conditionalFormatting sqref="AU99">
    <cfRule type="cellIs" dxfId="0" priority="2952" operator="lessThan">
      <formula>20</formula>
    </cfRule>
    <cfRule type="cellIs" dxfId="1" priority="1937" operator="greaterThan">
      <formula>120</formula>
    </cfRule>
    <cfRule type="containsText" dxfId="2" priority="922" operator="between" text="库存为">
      <formula>NOT(ISERROR(SEARCH("库存为",AU99)))</formula>
    </cfRule>
  </conditionalFormatting>
  <conditionalFormatting sqref="AU100">
    <cfRule type="cellIs" dxfId="0" priority="2951" operator="lessThan">
      <formula>20</formula>
    </cfRule>
    <cfRule type="cellIs" dxfId="1" priority="1936" operator="greaterThan">
      <formula>120</formula>
    </cfRule>
    <cfRule type="containsText" dxfId="2" priority="921" operator="between" text="库存为">
      <formula>NOT(ISERROR(SEARCH("库存为",AU100)))</formula>
    </cfRule>
  </conditionalFormatting>
  <conditionalFormatting sqref="AU101">
    <cfRule type="cellIs" dxfId="0" priority="2950" operator="lessThan">
      <formula>20</formula>
    </cfRule>
    <cfRule type="cellIs" dxfId="1" priority="1935" operator="greaterThan">
      <formula>120</formula>
    </cfRule>
    <cfRule type="containsText" dxfId="2" priority="920" operator="between" text="库存为">
      <formula>NOT(ISERROR(SEARCH("库存为",AU101)))</formula>
    </cfRule>
  </conditionalFormatting>
  <conditionalFormatting sqref="AU102">
    <cfRule type="cellIs" dxfId="0" priority="2949" operator="lessThan">
      <formula>20</formula>
    </cfRule>
    <cfRule type="cellIs" dxfId="1" priority="1934" operator="greaterThan">
      <formula>120</formula>
    </cfRule>
    <cfRule type="containsText" dxfId="2" priority="919" operator="between" text="库存为">
      <formula>NOT(ISERROR(SEARCH("库存为",AU102)))</formula>
    </cfRule>
  </conditionalFormatting>
  <conditionalFormatting sqref="AU103">
    <cfRule type="cellIs" dxfId="0" priority="2948" operator="lessThan">
      <formula>20</formula>
    </cfRule>
    <cfRule type="cellIs" dxfId="1" priority="1933" operator="greaterThan">
      <formula>120</formula>
    </cfRule>
    <cfRule type="containsText" dxfId="2" priority="918" operator="between" text="库存为">
      <formula>NOT(ISERROR(SEARCH("库存为",AU103)))</formula>
    </cfRule>
  </conditionalFormatting>
  <conditionalFormatting sqref="AU104">
    <cfRule type="cellIs" dxfId="0" priority="2947" operator="lessThan">
      <formula>20</formula>
    </cfRule>
    <cfRule type="cellIs" dxfId="1" priority="1932" operator="greaterThan">
      <formula>120</formula>
    </cfRule>
    <cfRule type="containsText" dxfId="2" priority="917" operator="between" text="库存为">
      <formula>NOT(ISERROR(SEARCH("库存为",AU104)))</formula>
    </cfRule>
  </conditionalFormatting>
  <conditionalFormatting sqref="AU105">
    <cfRule type="cellIs" dxfId="0" priority="2946" operator="lessThan">
      <formula>20</formula>
    </cfRule>
    <cfRule type="cellIs" dxfId="1" priority="1931" operator="greaterThan">
      <formula>120</formula>
    </cfRule>
    <cfRule type="containsText" dxfId="2" priority="916" operator="between" text="库存为">
      <formula>NOT(ISERROR(SEARCH("库存为",AU105)))</formula>
    </cfRule>
  </conditionalFormatting>
  <conditionalFormatting sqref="AU106">
    <cfRule type="cellIs" dxfId="0" priority="2945" operator="lessThan">
      <formula>20</formula>
    </cfRule>
    <cfRule type="cellIs" dxfId="1" priority="1930" operator="greaterThan">
      <formula>120</formula>
    </cfRule>
    <cfRule type="containsText" dxfId="2" priority="915" operator="between" text="库存为">
      <formula>NOT(ISERROR(SEARCH("库存为",AU106)))</formula>
    </cfRule>
  </conditionalFormatting>
  <conditionalFormatting sqref="AU107">
    <cfRule type="cellIs" dxfId="0" priority="2944" operator="lessThan">
      <formula>20</formula>
    </cfRule>
    <cfRule type="cellIs" dxfId="1" priority="1929" operator="greaterThan">
      <formula>120</formula>
    </cfRule>
    <cfRule type="containsText" dxfId="2" priority="914" operator="between" text="库存为">
      <formula>NOT(ISERROR(SEARCH("库存为",AU107)))</formula>
    </cfRule>
  </conditionalFormatting>
  <conditionalFormatting sqref="AU108">
    <cfRule type="cellIs" dxfId="0" priority="2943" operator="lessThan">
      <formula>20</formula>
    </cfRule>
    <cfRule type="cellIs" dxfId="1" priority="1928" operator="greaterThan">
      <formula>120</formula>
    </cfRule>
    <cfRule type="containsText" dxfId="2" priority="913" operator="between" text="库存为">
      <formula>NOT(ISERROR(SEARCH("库存为",AU108)))</formula>
    </cfRule>
  </conditionalFormatting>
  <conditionalFormatting sqref="AU109">
    <cfRule type="cellIs" dxfId="0" priority="2942" operator="lessThan">
      <formula>20</formula>
    </cfRule>
    <cfRule type="cellIs" dxfId="1" priority="1927" operator="greaterThan">
      <formula>120</formula>
    </cfRule>
    <cfRule type="containsText" dxfId="2" priority="912" operator="between" text="库存为">
      <formula>NOT(ISERROR(SEARCH("库存为",AU109)))</formula>
    </cfRule>
  </conditionalFormatting>
  <conditionalFormatting sqref="AU110">
    <cfRule type="cellIs" dxfId="0" priority="2941" operator="lessThan">
      <formula>20</formula>
    </cfRule>
    <cfRule type="cellIs" dxfId="1" priority="1926" operator="greaterThan">
      <formula>120</formula>
    </cfRule>
    <cfRule type="containsText" dxfId="2" priority="911" operator="between" text="库存为">
      <formula>NOT(ISERROR(SEARCH("库存为",AU110)))</formula>
    </cfRule>
  </conditionalFormatting>
  <conditionalFormatting sqref="AU111">
    <cfRule type="cellIs" dxfId="0" priority="2940" operator="lessThan">
      <formula>20</formula>
    </cfRule>
    <cfRule type="cellIs" dxfId="1" priority="1925" operator="greaterThan">
      <formula>120</formula>
    </cfRule>
    <cfRule type="containsText" dxfId="2" priority="910" operator="between" text="库存为">
      <formula>NOT(ISERROR(SEARCH("库存为",AU111)))</formula>
    </cfRule>
  </conditionalFormatting>
  <conditionalFormatting sqref="AU112">
    <cfRule type="cellIs" dxfId="0" priority="2939" operator="lessThan">
      <formula>20</formula>
    </cfRule>
    <cfRule type="cellIs" dxfId="1" priority="1924" operator="greaterThan">
      <formula>120</formula>
    </cfRule>
    <cfRule type="containsText" dxfId="2" priority="909" operator="between" text="库存为">
      <formula>NOT(ISERROR(SEARCH("库存为",AU112)))</formula>
    </cfRule>
  </conditionalFormatting>
  <conditionalFormatting sqref="AU113">
    <cfRule type="cellIs" dxfId="0" priority="2938" operator="lessThan">
      <formula>20</formula>
    </cfRule>
    <cfRule type="cellIs" dxfId="1" priority="1923" operator="greaterThan">
      <formula>120</formula>
    </cfRule>
    <cfRule type="containsText" dxfId="2" priority="908" operator="between" text="库存为">
      <formula>NOT(ISERROR(SEARCH("库存为",AU113)))</formula>
    </cfRule>
  </conditionalFormatting>
  <conditionalFormatting sqref="AU114">
    <cfRule type="cellIs" dxfId="0" priority="2937" operator="lessThan">
      <formula>20</formula>
    </cfRule>
    <cfRule type="cellIs" dxfId="1" priority="1922" operator="greaterThan">
      <formula>120</formula>
    </cfRule>
    <cfRule type="containsText" dxfId="2" priority="907" operator="between" text="库存为">
      <formula>NOT(ISERROR(SEARCH("库存为",AU114)))</formula>
    </cfRule>
  </conditionalFormatting>
  <conditionalFormatting sqref="AU115">
    <cfRule type="cellIs" dxfId="0" priority="2936" operator="lessThan">
      <formula>20</formula>
    </cfRule>
    <cfRule type="cellIs" dxfId="1" priority="1921" operator="greaterThan">
      <formula>120</formula>
    </cfRule>
    <cfRule type="containsText" dxfId="2" priority="906" operator="between" text="库存为">
      <formula>NOT(ISERROR(SEARCH("库存为",AU115)))</formula>
    </cfRule>
  </conditionalFormatting>
  <conditionalFormatting sqref="AU116">
    <cfRule type="cellIs" dxfId="0" priority="2935" operator="lessThan">
      <formula>20</formula>
    </cfRule>
    <cfRule type="cellIs" dxfId="1" priority="1920" operator="greaterThan">
      <formula>120</formula>
    </cfRule>
    <cfRule type="containsText" dxfId="2" priority="905" operator="between" text="库存为">
      <formula>NOT(ISERROR(SEARCH("库存为",AU116)))</formula>
    </cfRule>
  </conditionalFormatting>
  <conditionalFormatting sqref="AU117">
    <cfRule type="cellIs" dxfId="0" priority="2934" operator="lessThan">
      <formula>20</formula>
    </cfRule>
    <cfRule type="cellIs" dxfId="1" priority="1919" operator="greaterThan">
      <formula>120</formula>
    </cfRule>
    <cfRule type="containsText" dxfId="2" priority="904" operator="between" text="库存为">
      <formula>NOT(ISERROR(SEARCH("库存为",AU117)))</formula>
    </cfRule>
  </conditionalFormatting>
  <conditionalFormatting sqref="AU118">
    <cfRule type="cellIs" dxfId="0" priority="2933" operator="lessThan">
      <formula>20</formula>
    </cfRule>
    <cfRule type="cellIs" dxfId="1" priority="1918" operator="greaterThan">
      <formula>120</formula>
    </cfRule>
    <cfRule type="containsText" dxfId="2" priority="903" operator="between" text="库存为">
      <formula>NOT(ISERROR(SEARCH("库存为",AU118)))</formula>
    </cfRule>
  </conditionalFormatting>
  <conditionalFormatting sqref="AU119">
    <cfRule type="cellIs" dxfId="0" priority="2932" operator="lessThan">
      <formula>20</formula>
    </cfRule>
    <cfRule type="cellIs" dxfId="1" priority="1917" operator="greaterThan">
      <formula>120</formula>
    </cfRule>
    <cfRule type="containsText" dxfId="2" priority="902" operator="between" text="库存为">
      <formula>NOT(ISERROR(SEARCH("库存为",AU119)))</formula>
    </cfRule>
  </conditionalFormatting>
  <conditionalFormatting sqref="AU120">
    <cfRule type="cellIs" dxfId="0" priority="2931" operator="lessThan">
      <formula>20</formula>
    </cfRule>
    <cfRule type="cellIs" dxfId="1" priority="1916" operator="greaterThan">
      <formula>120</formula>
    </cfRule>
    <cfRule type="containsText" dxfId="2" priority="901" operator="between" text="库存为">
      <formula>NOT(ISERROR(SEARCH("库存为",AU120)))</formula>
    </cfRule>
  </conditionalFormatting>
  <conditionalFormatting sqref="AU121">
    <cfRule type="cellIs" dxfId="0" priority="2930" operator="lessThan">
      <formula>20</formula>
    </cfRule>
    <cfRule type="cellIs" dxfId="1" priority="1915" operator="greaterThan">
      <formula>120</formula>
    </cfRule>
    <cfRule type="containsText" dxfId="2" priority="900" operator="between" text="库存为">
      <formula>NOT(ISERROR(SEARCH("库存为",AU121)))</formula>
    </cfRule>
  </conditionalFormatting>
  <conditionalFormatting sqref="AU122">
    <cfRule type="cellIs" dxfId="0" priority="2929" operator="lessThan">
      <formula>20</formula>
    </cfRule>
    <cfRule type="cellIs" dxfId="1" priority="1914" operator="greaterThan">
      <formula>120</formula>
    </cfRule>
    <cfRule type="containsText" dxfId="2" priority="899" operator="between" text="库存为">
      <formula>NOT(ISERROR(SEARCH("库存为",AU122)))</formula>
    </cfRule>
  </conditionalFormatting>
  <conditionalFormatting sqref="AU123">
    <cfRule type="cellIs" dxfId="0" priority="2928" operator="lessThan">
      <formula>20</formula>
    </cfRule>
    <cfRule type="cellIs" dxfId="1" priority="1913" operator="greaterThan">
      <formula>120</formula>
    </cfRule>
    <cfRule type="containsText" dxfId="2" priority="898" operator="between" text="库存为">
      <formula>NOT(ISERROR(SEARCH("库存为",AU123)))</formula>
    </cfRule>
  </conditionalFormatting>
  <conditionalFormatting sqref="AU124">
    <cfRule type="cellIs" dxfId="0" priority="2927" operator="lessThan">
      <formula>20</formula>
    </cfRule>
    <cfRule type="cellIs" dxfId="1" priority="1912" operator="greaterThan">
      <formula>120</formula>
    </cfRule>
    <cfRule type="containsText" dxfId="2" priority="897" operator="between" text="库存为">
      <formula>NOT(ISERROR(SEARCH("库存为",AU124)))</formula>
    </cfRule>
  </conditionalFormatting>
  <conditionalFormatting sqref="AU125">
    <cfRule type="cellIs" dxfId="0" priority="2926" operator="lessThan">
      <formula>20</formula>
    </cfRule>
    <cfRule type="cellIs" dxfId="1" priority="1911" operator="greaterThan">
      <formula>120</formula>
    </cfRule>
    <cfRule type="containsText" dxfId="2" priority="896" operator="between" text="库存为">
      <formula>NOT(ISERROR(SEARCH("库存为",AU125)))</formula>
    </cfRule>
  </conditionalFormatting>
  <conditionalFormatting sqref="AU126">
    <cfRule type="cellIs" dxfId="0" priority="2925" operator="lessThan">
      <formula>20</formula>
    </cfRule>
    <cfRule type="cellIs" dxfId="1" priority="1910" operator="greaterThan">
      <formula>120</formula>
    </cfRule>
    <cfRule type="containsText" dxfId="2" priority="895" operator="between" text="库存为">
      <formula>NOT(ISERROR(SEARCH("库存为",AU126)))</formula>
    </cfRule>
  </conditionalFormatting>
  <conditionalFormatting sqref="AU127">
    <cfRule type="cellIs" dxfId="0" priority="2924" operator="lessThan">
      <formula>20</formula>
    </cfRule>
    <cfRule type="cellIs" dxfId="1" priority="1909" operator="greaterThan">
      <formula>120</formula>
    </cfRule>
    <cfRule type="containsText" dxfId="2" priority="894" operator="between" text="库存为">
      <formula>NOT(ISERROR(SEARCH("库存为",AU127)))</formula>
    </cfRule>
  </conditionalFormatting>
  <conditionalFormatting sqref="AU128">
    <cfRule type="cellIs" dxfId="0" priority="2923" operator="lessThan">
      <formula>20</formula>
    </cfRule>
    <cfRule type="cellIs" dxfId="1" priority="1908" operator="greaterThan">
      <formula>120</formula>
    </cfRule>
    <cfRule type="containsText" dxfId="2" priority="893" operator="between" text="库存为">
      <formula>NOT(ISERROR(SEARCH("库存为",AU128)))</formula>
    </cfRule>
  </conditionalFormatting>
  <conditionalFormatting sqref="AU129">
    <cfRule type="cellIs" dxfId="0" priority="2922" operator="lessThan">
      <formula>20</formula>
    </cfRule>
    <cfRule type="cellIs" dxfId="1" priority="1907" operator="greaterThan">
      <formula>120</formula>
    </cfRule>
    <cfRule type="containsText" dxfId="2" priority="892" operator="between" text="库存为">
      <formula>NOT(ISERROR(SEARCH("库存为",AU129)))</formula>
    </cfRule>
  </conditionalFormatting>
  <conditionalFormatting sqref="AU130">
    <cfRule type="cellIs" dxfId="0" priority="2921" operator="lessThan">
      <formula>20</formula>
    </cfRule>
    <cfRule type="cellIs" dxfId="1" priority="1906" operator="greaterThan">
      <formula>120</formula>
    </cfRule>
    <cfRule type="containsText" dxfId="2" priority="891" operator="between" text="库存为">
      <formula>NOT(ISERROR(SEARCH("库存为",AU130)))</formula>
    </cfRule>
  </conditionalFormatting>
  <conditionalFormatting sqref="AU131">
    <cfRule type="cellIs" dxfId="0" priority="2920" operator="lessThan">
      <formula>20</formula>
    </cfRule>
    <cfRule type="cellIs" dxfId="1" priority="1905" operator="greaterThan">
      <formula>120</formula>
    </cfRule>
    <cfRule type="containsText" dxfId="2" priority="890" operator="between" text="库存为">
      <formula>NOT(ISERROR(SEARCH("库存为",AU131)))</formula>
    </cfRule>
  </conditionalFormatting>
  <conditionalFormatting sqref="AU132">
    <cfRule type="cellIs" dxfId="0" priority="2919" operator="lessThan">
      <formula>20</formula>
    </cfRule>
    <cfRule type="cellIs" dxfId="1" priority="1904" operator="greaterThan">
      <formula>120</formula>
    </cfRule>
    <cfRule type="containsText" dxfId="2" priority="889" operator="between" text="库存为">
      <formula>NOT(ISERROR(SEARCH("库存为",AU132)))</formula>
    </cfRule>
  </conditionalFormatting>
  <conditionalFormatting sqref="AU133">
    <cfRule type="cellIs" dxfId="0" priority="2918" operator="lessThan">
      <formula>20</formula>
    </cfRule>
    <cfRule type="cellIs" dxfId="1" priority="1903" operator="greaterThan">
      <formula>120</formula>
    </cfRule>
    <cfRule type="containsText" dxfId="2" priority="888" operator="between" text="库存为">
      <formula>NOT(ISERROR(SEARCH("库存为",AU133)))</formula>
    </cfRule>
  </conditionalFormatting>
  <conditionalFormatting sqref="AU134">
    <cfRule type="cellIs" dxfId="0" priority="2917" operator="lessThan">
      <formula>20</formula>
    </cfRule>
    <cfRule type="cellIs" dxfId="1" priority="1902" operator="greaterThan">
      <formula>120</formula>
    </cfRule>
    <cfRule type="containsText" dxfId="2" priority="887" operator="between" text="库存为">
      <formula>NOT(ISERROR(SEARCH("库存为",AU134)))</formula>
    </cfRule>
  </conditionalFormatting>
  <conditionalFormatting sqref="AU135">
    <cfRule type="cellIs" dxfId="0" priority="2916" operator="lessThan">
      <formula>20</formula>
    </cfRule>
    <cfRule type="cellIs" dxfId="1" priority="1901" operator="greaterThan">
      <formula>120</formula>
    </cfRule>
    <cfRule type="containsText" dxfId="2" priority="886" operator="between" text="库存为">
      <formula>NOT(ISERROR(SEARCH("库存为",AU135)))</formula>
    </cfRule>
  </conditionalFormatting>
  <conditionalFormatting sqref="AU136">
    <cfRule type="cellIs" dxfId="0" priority="2915" operator="lessThan">
      <formula>20</formula>
    </cfRule>
    <cfRule type="cellIs" dxfId="1" priority="1900" operator="greaterThan">
      <formula>120</formula>
    </cfRule>
    <cfRule type="containsText" dxfId="2" priority="885" operator="between" text="库存为">
      <formula>NOT(ISERROR(SEARCH("库存为",AU136)))</formula>
    </cfRule>
  </conditionalFormatting>
  <conditionalFormatting sqref="AU137">
    <cfRule type="cellIs" dxfId="0" priority="2914" operator="lessThan">
      <formula>20</formula>
    </cfRule>
    <cfRule type="cellIs" dxfId="1" priority="1899" operator="greaterThan">
      <formula>120</formula>
    </cfRule>
    <cfRule type="containsText" dxfId="2" priority="884" operator="between" text="库存为">
      <formula>NOT(ISERROR(SEARCH("库存为",AU137)))</formula>
    </cfRule>
  </conditionalFormatting>
  <conditionalFormatting sqref="AU138">
    <cfRule type="cellIs" dxfId="0" priority="2913" operator="lessThan">
      <formula>20</formula>
    </cfRule>
    <cfRule type="cellIs" dxfId="1" priority="1898" operator="greaterThan">
      <formula>120</formula>
    </cfRule>
    <cfRule type="containsText" dxfId="2" priority="883" operator="between" text="库存为">
      <formula>NOT(ISERROR(SEARCH("库存为",AU138)))</formula>
    </cfRule>
  </conditionalFormatting>
  <conditionalFormatting sqref="AU139">
    <cfRule type="cellIs" dxfId="0" priority="2912" operator="lessThan">
      <formula>20</formula>
    </cfRule>
    <cfRule type="cellIs" dxfId="1" priority="1897" operator="greaterThan">
      <formula>120</formula>
    </cfRule>
    <cfRule type="containsText" dxfId="2" priority="882" operator="between" text="库存为">
      <formula>NOT(ISERROR(SEARCH("库存为",AU139)))</formula>
    </cfRule>
  </conditionalFormatting>
  <conditionalFormatting sqref="AU140">
    <cfRule type="cellIs" dxfId="0" priority="2911" operator="lessThan">
      <formula>20</formula>
    </cfRule>
    <cfRule type="cellIs" dxfId="1" priority="1896" operator="greaterThan">
      <formula>120</formula>
    </cfRule>
    <cfRule type="containsText" dxfId="2" priority="881" operator="between" text="库存为">
      <formula>NOT(ISERROR(SEARCH("库存为",AU140)))</formula>
    </cfRule>
  </conditionalFormatting>
  <conditionalFormatting sqref="AU141">
    <cfRule type="cellIs" dxfId="0" priority="2910" operator="lessThan">
      <formula>20</formula>
    </cfRule>
    <cfRule type="cellIs" dxfId="1" priority="1895" operator="greaterThan">
      <formula>120</formula>
    </cfRule>
    <cfRule type="containsText" dxfId="2" priority="880" operator="between" text="库存为">
      <formula>NOT(ISERROR(SEARCH("库存为",AU141)))</formula>
    </cfRule>
  </conditionalFormatting>
  <conditionalFormatting sqref="AU142">
    <cfRule type="cellIs" dxfId="0" priority="2909" operator="lessThan">
      <formula>20</formula>
    </cfRule>
    <cfRule type="cellIs" dxfId="1" priority="1894" operator="greaterThan">
      <formula>120</formula>
    </cfRule>
    <cfRule type="containsText" dxfId="2" priority="879" operator="between" text="库存为">
      <formula>NOT(ISERROR(SEARCH("库存为",AU142)))</formula>
    </cfRule>
  </conditionalFormatting>
  <conditionalFormatting sqref="AU143">
    <cfRule type="cellIs" dxfId="0" priority="2908" operator="lessThan">
      <formula>20</formula>
    </cfRule>
    <cfRule type="cellIs" dxfId="1" priority="1893" operator="greaterThan">
      <formula>120</formula>
    </cfRule>
    <cfRule type="containsText" dxfId="2" priority="878" operator="between" text="库存为">
      <formula>NOT(ISERROR(SEARCH("库存为",AU143)))</formula>
    </cfRule>
  </conditionalFormatting>
  <conditionalFormatting sqref="AU144">
    <cfRule type="cellIs" dxfId="0" priority="2907" operator="lessThan">
      <formula>20</formula>
    </cfRule>
    <cfRule type="cellIs" dxfId="1" priority="1892" operator="greaterThan">
      <formula>120</formula>
    </cfRule>
    <cfRule type="containsText" dxfId="2" priority="877" operator="between" text="库存为">
      <formula>NOT(ISERROR(SEARCH("库存为",AU144)))</formula>
    </cfRule>
  </conditionalFormatting>
  <conditionalFormatting sqref="AU145">
    <cfRule type="cellIs" dxfId="0" priority="2906" operator="lessThan">
      <formula>20</formula>
    </cfRule>
    <cfRule type="cellIs" dxfId="1" priority="1891" operator="greaterThan">
      <formula>120</formula>
    </cfRule>
    <cfRule type="containsText" dxfId="2" priority="876" operator="between" text="库存为">
      <formula>NOT(ISERROR(SEARCH("库存为",AU145)))</formula>
    </cfRule>
  </conditionalFormatting>
  <conditionalFormatting sqref="AU146">
    <cfRule type="cellIs" dxfId="0" priority="2905" operator="lessThan">
      <formula>20</formula>
    </cfRule>
    <cfRule type="cellIs" dxfId="1" priority="1890" operator="greaterThan">
      <formula>120</formula>
    </cfRule>
    <cfRule type="containsText" dxfId="2" priority="875" operator="between" text="库存为">
      <formula>NOT(ISERROR(SEARCH("库存为",AU146)))</formula>
    </cfRule>
  </conditionalFormatting>
  <conditionalFormatting sqref="AU147">
    <cfRule type="cellIs" dxfId="0" priority="2904" operator="lessThan">
      <formula>20</formula>
    </cfRule>
    <cfRule type="cellIs" dxfId="1" priority="1889" operator="greaterThan">
      <formula>120</formula>
    </cfRule>
    <cfRule type="containsText" dxfId="2" priority="874" operator="between" text="库存为">
      <formula>NOT(ISERROR(SEARCH("库存为",AU147)))</formula>
    </cfRule>
  </conditionalFormatting>
  <conditionalFormatting sqref="AU148">
    <cfRule type="cellIs" dxfId="0" priority="2903" operator="lessThan">
      <formula>20</formula>
    </cfRule>
    <cfRule type="cellIs" dxfId="1" priority="1888" operator="greaterThan">
      <formula>120</formula>
    </cfRule>
    <cfRule type="containsText" dxfId="2" priority="873" operator="between" text="库存为">
      <formula>NOT(ISERROR(SEARCH("库存为",AU148)))</formula>
    </cfRule>
  </conditionalFormatting>
  <conditionalFormatting sqref="AU149">
    <cfRule type="cellIs" dxfId="0" priority="2902" operator="lessThan">
      <formula>20</formula>
    </cfRule>
    <cfRule type="cellIs" dxfId="1" priority="1887" operator="greaterThan">
      <formula>120</formula>
    </cfRule>
    <cfRule type="containsText" dxfId="2" priority="872" operator="between" text="库存为">
      <formula>NOT(ISERROR(SEARCH("库存为",AU149)))</formula>
    </cfRule>
  </conditionalFormatting>
  <conditionalFormatting sqref="AU150">
    <cfRule type="cellIs" dxfId="0" priority="2901" operator="lessThan">
      <formula>20</formula>
    </cfRule>
    <cfRule type="cellIs" dxfId="1" priority="1886" operator="greaterThan">
      <formula>120</formula>
    </cfRule>
    <cfRule type="containsText" dxfId="2" priority="871" operator="between" text="库存为">
      <formula>NOT(ISERROR(SEARCH("库存为",AU150)))</formula>
    </cfRule>
  </conditionalFormatting>
  <conditionalFormatting sqref="AU151">
    <cfRule type="cellIs" dxfId="0" priority="2900" operator="lessThan">
      <formula>20</formula>
    </cfRule>
    <cfRule type="cellIs" dxfId="1" priority="1885" operator="greaterThan">
      <formula>120</formula>
    </cfRule>
    <cfRule type="containsText" dxfId="2" priority="870" operator="between" text="库存为">
      <formula>NOT(ISERROR(SEARCH("库存为",AU151)))</formula>
    </cfRule>
  </conditionalFormatting>
  <conditionalFormatting sqref="AU152">
    <cfRule type="cellIs" dxfId="0" priority="2899" operator="lessThan">
      <formula>20</formula>
    </cfRule>
    <cfRule type="cellIs" dxfId="1" priority="1884" operator="greaterThan">
      <formula>120</formula>
    </cfRule>
    <cfRule type="containsText" dxfId="2" priority="869" operator="between" text="库存为">
      <formula>NOT(ISERROR(SEARCH("库存为",AU152)))</formula>
    </cfRule>
  </conditionalFormatting>
  <conditionalFormatting sqref="AU153">
    <cfRule type="cellIs" dxfId="0" priority="2898" operator="lessThan">
      <formula>20</formula>
    </cfRule>
    <cfRule type="cellIs" dxfId="1" priority="1883" operator="greaterThan">
      <formula>120</formula>
    </cfRule>
    <cfRule type="containsText" dxfId="2" priority="868" operator="between" text="库存为">
      <formula>NOT(ISERROR(SEARCH("库存为",AU153)))</formula>
    </cfRule>
  </conditionalFormatting>
  <conditionalFormatting sqref="AU154">
    <cfRule type="cellIs" dxfId="0" priority="2897" operator="lessThan">
      <formula>20</formula>
    </cfRule>
    <cfRule type="cellIs" dxfId="1" priority="1882" operator="greaterThan">
      <formula>120</formula>
    </cfRule>
    <cfRule type="containsText" dxfId="2" priority="867" operator="between" text="库存为">
      <formula>NOT(ISERROR(SEARCH("库存为",AU154)))</formula>
    </cfRule>
  </conditionalFormatting>
  <conditionalFormatting sqref="AU155">
    <cfRule type="cellIs" dxfId="0" priority="2896" operator="lessThan">
      <formula>20</formula>
    </cfRule>
    <cfRule type="cellIs" dxfId="1" priority="1881" operator="greaterThan">
      <formula>120</formula>
    </cfRule>
    <cfRule type="containsText" dxfId="2" priority="866" operator="between" text="库存为">
      <formula>NOT(ISERROR(SEARCH("库存为",AU155)))</formula>
    </cfRule>
  </conditionalFormatting>
  <conditionalFormatting sqref="AU156">
    <cfRule type="cellIs" dxfId="0" priority="2895" operator="lessThan">
      <formula>20</formula>
    </cfRule>
    <cfRule type="cellIs" dxfId="1" priority="1880" operator="greaterThan">
      <formula>120</formula>
    </cfRule>
    <cfRule type="containsText" dxfId="2" priority="865" operator="between" text="库存为">
      <formula>NOT(ISERROR(SEARCH("库存为",AU156)))</formula>
    </cfRule>
  </conditionalFormatting>
  <conditionalFormatting sqref="AU157">
    <cfRule type="cellIs" dxfId="0" priority="2894" operator="lessThan">
      <formula>20</formula>
    </cfRule>
    <cfRule type="cellIs" dxfId="1" priority="1879" operator="greaterThan">
      <formula>120</formula>
    </cfRule>
    <cfRule type="containsText" dxfId="2" priority="864" operator="between" text="库存为">
      <formula>NOT(ISERROR(SEARCH("库存为",AU157)))</formula>
    </cfRule>
  </conditionalFormatting>
  <conditionalFormatting sqref="AU158">
    <cfRule type="cellIs" dxfId="0" priority="2893" operator="lessThan">
      <formula>20</formula>
    </cfRule>
    <cfRule type="cellIs" dxfId="1" priority="1878" operator="greaterThan">
      <formula>120</formula>
    </cfRule>
    <cfRule type="containsText" dxfId="2" priority="863" operator="between" text="库存为">
      <formula>NOT(ISERROR(SEARCH("库存为",AU158)))</formula>
    </cfRule>
  </conditionalFormatting>
  <conditionalFormatting sqref="AU159">
    <cfRule type="cellIs" dxfId="0" priority="2892" operator="lessThan">
      <formula>20</formula>
    </cfRule>
    <cfRule type="cellIs" dxfId="1" priority="1877" operator="greaterThan">
      <formula>120</formula>
    </cfRule>
    <cfRule type="containsText" dxfId="2" priority="862" operator="between" text="库存为">
      <formula>NOT(ISERROR(SEARCH("库存为",AU159)))</formula>
    </cfRule>
  </conditionalFormatting>
  <conditionalFormatting sqref="AU160">
    <cfRule type="cellIs" dxfId="0" priority="2891" operator="lessThan">
      <formula>20</formula>
    </cfRule>
    <cfRule type="cellIs" dxfId="1" priority="1876" operator="greaterThan">
      <formula>120</formula>
    </cfRule>
    <cfRule type="containsText" dxfId="2" priority="861" operator="between" text="库存为">
      <formula>NOT(ISERROR(SEARCH("库存为",AU160)))</formula>
    </cfRule>
  </conditionalFormatting>
  <conditionalFormatting sqref="AU161">
    <cfRule type="cellIs" dxfId="0" priority="2890" operator="lessThan">
      <formula>20</formula>
    </cfRule>
    <cfRule type="cellIs" dxfId="1" priority="1875" operator="greaterThan">
      <formula>120</formula>
    </cfRule>
    <cfRule type="containsText" dxfId="2" priority="860" operator="between" text="库存为">
      <formula>NOT(ISERROR(SEARCH("库存为",AU161)))</formula>
    </cfRule>
  </conditionalFormatting>
  <conditionalFormatting sqref="AU162">
    <cfRule type="cellIs" dxfId="0" priority="2889" operator="lessThan">
      <formula>20</formula>
    </cfRule>
    <cfRule type="cellIs" dxfId="1" priority="1874" operator="greaterThan">
      <formula>120</formula>
    </cfRule>
    <cfRule type="containsText" dxfId="2" priority="859" operator="between" text="库存为">
      <formula>NOT(ISERROR(SEARCH("库存为",AU162)))</formula>
    </cfRule>
  </conditionalFormatting>
  <conditionalFormatting sqref="AU163">
    <cfRule type="cellIs" dxfId="0" priority="2888" operator="lessThan">
      <formula>20</formula>
    </cfRule>
    <cfRule type="cellIs" dxfId="1" priority="1873" operator="greaterThan">
      <formula>120</formula>
    </cfRule>
    <cfRule type="containsText" dxfId="2" priority="858" operator="between" text="库存为">
      <formula>NOT(ISERROR(SEARCH("库存为",AU163)))</formula>
    </cfRule>
  </conditionalFormatting>
  <conditionalFormatting sqref="AU164">
    <cfRule type="cellIs" dxfId="0" priority="2887" operator="lessThan">
      <formula>20</formula>
    </cfRule>
    <cfRule type="cellIs" dxfId="1" priority="1872" operator="greaterThan">
      <formula>120</formula>
    </cfRule>
    <cfRule type="containsText" dxfId="2" priority="857" operator="between" text="库存为">
      <formula>NOT(ISERROR(SEARCH("库存为",AU164)))</formula>
    </cfRule>
  </conditionalFormatting>
  <conditionalFormatting sqref="AU165">
    <cfRule type="cellIs" dxfId="0" priority="2886" operator="lessThan">
      <formula>20</formula>
    </cfRule>
    <cfRule type="cellIs" dxfId="1" priority="1871" operator="greaterThan">
      <formula>120</formula>
    </cfRule>
    <cfRule type="containsText" dxfId="2" priority="856" operator="between" text="库存为">
      <formula>NOT(ISERROR(SEARCH("库存为",AU165)))</formula>
    </cfRule>
  </conditionalFormatting>
  <conditionalFormatting sqref="AU166">
    <cfRule type="cellIs" dxfId="0" priority="2885" operator="lessThan">
      <formula>20</formula>
    </cfRule>
    <cfRule type="cellIs" dxfId="1" priority="1870" operator="greaterThan">
      <formula>120</formula>
    </cfRule>
    <cfRule type="containsText" dxfId="2" priority="855" operator="between" text="库存为">
      <formula>NOT(ISERROR(SEARCH("库存为",AU166)))</formula>
    </cfRule>
  </conditionalFormatting>
  <conditionalFormatting sqref="AU167">
    <cfRule type="cellIs" dxfId="0" priority="2884" operator="lessThan">
      <formula>20</formula>
    </cfRule>
    <cfRule type="cellIs" dxfId="1" priority="1869" operator="greaterThan">
      <formula>120</formula>
    </cfRule>
    <cfRule type="containsText" dxfId="2" priority="854" operator="between" text="库存为">
      <formula>NOT(ISERROR(SEARCH("库存为",AU167)))</formula>
    </cfRule>
  </conditionalFormatting>
  <conditionalFormatting sqref="AU168">
    <cfRule type="cellIs" dxfId="0" priority="2883" operator="lessThan">
      <formula>20</formula>
    </cfRule>
    <cfRule type="cellIs" dxfId="1" priority="1868" operator="greaterThan">
      <formula>120</formula>
    </cfRule>
    <cfRule type="containsText" dxfId="2" priority="853" operator="between" text="库存为">
      <formula>NOT(ISERROR(SEARCH("库存为",AU168)))</formula>
    </cfRule>
  </conditionalFormatting>
  <conditionalFormatting sqref="AU169">
    <cfRule type="cellIs" dxfId="0" priority="2882" operator="lessThan">
      <formula>20</formula>
    </cfRule>
    <cfRule type="cellIs" dxfId="1" priority="1867" operator="greaterThan">
      <formula>120</formula>
    </cfRule>
    <cfRule type="containsText" dxfId="2" priority="852" operator="between" text="库存为">
      <formula>NOT(ISERROR(SEARCH("库存为",AU169)))</formula>
    </cfRule>
  </conditionalFormatting>
  <conditionalFormatting sqref="AU170">
    <cfRule type="cellIs" dxfId="0" priority="2881" operator="lessThan">
      <formula>20</formula>
    </cfRule>
    <cfRule type="cellIs" dxfId="1" priority="1866" operator="greaterThan">
      <formula>120</formula>
    </cfRule>
    <cfRule type="containsText" dxfId="2" priority="851" operator="between" text="库存为">
      <formula>NOT(ISERROR(SEARCH("库存为",AU170)))</formula>
    </cfRule>
  </conditionalFormatting>
  <conditionalFormatting sqref="AU171">
    <cfRule type="cellIs" dxfId="0" priority="2880" operator="lessThan">
      <formula>20</formula>
    </cfRule>
    <cfRule type="cellIs" dxfId="1" priority="1865" operator="greaterThan">
      <formula>120</formula>
    </cfRule>
    <cfRule type="containsText" dxfId="2" priority="850" operator="between" text="库存为">
      <formula>NOT(ISERROR(SEARCH("库存为",AU171)))</formula>
    </cfRule>
  </conditionalFormatting>
  <conditionalFormatting sqref="AU172">
    <cfRule type="cellIs" dxfId="0" priority="2879" operator="lessThan">
      <formula>20</formula>
    </cfRule>
    <cfRule type="cellIs" dxfId="1" priority="1864" operator="greaterThan">
      <formula>120</formula>
    </cfRule>
    <cfRule type="containsText" dxfId="2" priority="849" operator="between" text="库存为">
      <formula>NOT(ISERROR(SEARCH("库存为",AU172)))</formula>
    </cfRule>
  </conditionalFormatting>
  <conditionalFormatting sqref="AU173">
    <cfRule type="cellIs" dxfId="0" priority="2878" operator="lessThan">
      <formula>20</formula>
    </cfRule>
    <cfRule type="cellIs" dxfId="1" priority="1863" operator="greaterThan">
      <formula>120</formula>
    </cfRule>
    <cfRule type="containsText" dxfId="2" priority="848" operator="between" text="库存为">
      <formula>NOT(ISERROR(SEARCH("库存为",AU173)))</formula>
    </cfRule>
  </conditionalFormatting>
  <conditionalFormatting sqref="AU174">
    <cfRule type="cellIs" dxfId="0" priority="2877" operator="lessThan">
      <formula>20</formula>
    </cfRule>
    <cfRule type="cellIs" dxfId="1" priority="1862" operator="greaterThan">
      <formula>120</formula>
    </cfRule>
    <cfRule type="containsText" dxfId="2" priority="847" operator="between" text="库存为">
      <formula>NOT(ISERROR(SEARCH("库存为",AU174)))</formula>
    </cfRule>
  </conditionalFormatting>
  <conditionalFormatting sqref="AU175">
    <cfRule type="cellIs" dxfId="0" priority="2876" operator="lessThan">
      <formula>20</formula>
    </cfRule>
    <cfRule type="cellIs" dxfId="1" priority="1861" operator="greaterThan">
      <formula>120</formula>
    </cfRule>
    <cfRule type="containsText" dxfId="2" priority="846" operator="between" text="库存为">
      <formula>NOT(ISERROR(SEARCH("库存为",AU175)))</formula>
    </cfRule>
  </conditionalFormatting>
  <conditionalFormatting sqref="AU176">
    <cfRule type="cellIs" dxfId="0" priority="2875" operator="lessThan">
      <formula>20</formula>
    </cfRule>
    <cfRule type="cellIs" dxfId="1" priority="1860" operator="greaterThan">
      <formula>120</formula>
    </cfRule>
    <cfRule type="containsText" dxfId="2" priority="845" operator="between" text="库存为">
      <formula>NOT(ISERROR(SEARCH("库存为",AU176)))</formula>
    </cfRule>
  </conditionalFormatting>
  <conditionalFormatting sqref="AU177">
    <cfRule type="cellIs" dxfId="0" priority="2874" operator="lessThan">
      <formula>20</formula>
    </cfRule>
    <cfRule type="cellIs" dxfId="1" priority="1859" operator="greaterThan">
      <formula>120</formula>
    </cfRule>
    <cfRule type="containsText" dxfId="2" priority="844" operator="between" text="库存为">
      <formula>NOT(ISERROR(SEARCH("库存为",AU177)))</formula>
    </cfRule>
  </conditionalFormatting>
  <conditionalFormatting sqref="AU178">
    <cfRule type="cellIs" dxfId="0" priority="2873" operator="lessThan">
      <formula>20</formula>
    </cfRule>
    <cfRule type="cellIs" dxfId="1" priority="1858" operator="greaterThan">
      <formula>120</formula>
    </cfRule>
    <cfRule type="containsText" dxfId="2" priority="843" operator="between" text="库存为">
      <formula>NOT(ISERROR(SEARCH("库存为",AU178)))</formula>
    </cfRule>
  </conditionalFormatting>
  <conditionalFormatting sqref="AU179">
    <cfRule type="cellIs" dxfId="0" priority="2872" operator="lessThan">
      <formula>20</formula>
    </cfRule>
    <cfRule type="cellIs" dxfId="1" priority="1857" operator="greaterThan">
      <formula>120</formula>
    </cfRule>
    <cfRule type="containsText" dxfId="2" priority="842" operator="between" text="库存为">
      <formula>NOT(ISERROR(SEARCH("库存为",AU179)))</formula>
    </cfRule>
  </conditionalFormatting>
  <conditionalFormatting sqref="AU180">
    <cfRule type="cellIs" dxfId="0" priority="2871" operator="lessThan">
      <formula>20</formula>
    </cfRule>
    <cfRule type="cellIs" dxfId="1" priority="1856" operator="greaterThan">
      <formula>120</formula>
    </cfRule>
    <cfRule type="containsText" dxfId="2" priority="841" operator="between" text="库存为">
      <formula>NOT(ISERROR(SEARCH("库存为",AU180)))</formula>
    </cfRule>
  </conditionalFormatting>
  <conditionalFormatting sqref="AU181">
    <cfRule type="cellIs" dxfId="0" priority="2870" operator="lessThan">
      <formula>20</formula>
    </cfRule>
    <cfRule type="cellIs" dxfId="1" priority="1855" operator="greaterThan">
      <formula>120</formula>
    </cfRule>
    <cfRule type="containsText" dxfId="2" priority="840" operator="between" text="库存为">
      <formula>NOT(ISERROR(SEARCH("库存为",AU181)))</formula>
    </cfRule>
  </conditionalFormatting>
  <conditionalFormatting sqref="AU182">
    <cfRule type="cellIs" dxfId="0" priority="2869" operator="lessThan">
      <formula>20</formula>
    </cfRule>
    <cfRule type="cellIs" dxfId="1" priority="1854" operator="greaterThan">
      <formula>120</formula>
    </cfRule>
    <cfRule type="containsText" dxfId="2" priority="839" operator="between" text="库存为">
      <formula>NOT(ISERROR(SEARCH("库存为",AU182)))</formula>
    </cfRule>
  </conditionalFormatting>
  <conditionalFormatting sqref="AU183">
    <cfRule type="cellIs" dxfId="0" priority="2868" operator="lessThan">
      <formula>20</formula>
    </cfRule>
    <cfRule type="cellIs" dxfId="1" priority="1853" operator="greaterThan">
      <formula>120</formula>
    </cfRule>
    <cfRule type="containsText" dxfId="2" priority="838" operator="between" text="库存为">
      <formula>NOT(ISERROR(SEARCH("库存为",AU183)))</formula>
    </cfRule>
  </conditionalFormatting>
  <conditionalFormatting sqref="AU184">
    <cfRule type="cellIs" dxfId="0" priority="2867" operator="lessThan">
      <formula>20</formula>
    </cfRule>
    <cfRule type="cellIs" dxfId="1" priority="1852" operator="greaterThan">
      <formula>120</formula>
    </cfRule>
    <cfRule type="containsText" dxfId="2" priority="837" operator="between" text="库存为">
      <formula>NOT(ISERROR(SEARCH("库存为",AU184)))</formula>
    </cfRule>
  </conditionalFormatting>
  <conditionalFormatting sqref="AU185">
    <cfRule type="cellIs" dxfId="0" priority="2866" operator="lessThan">
      <formula>20</formula>
    </cfRule>
    <cfRule type="cellIs" dxfId="1" priority="1851" operator="greaterThan">
      <formula>120</formula>
    </cfRule>
    <cfRule type="containsText" dxfId="2" priority="836" operator="between" text="库存为">
      <formula>NOT(ISERROR(SEARCH("库存为",AU185)))</formula>
    </cfRule>
  </conditionalFormatting>
  <conditionalFormatting sqref="AU186">
    <cfRule type="cellIs" dxfId="0" priority="2865" operator="lessThan">
      <formula>20</formula>
    </cfRule>
    <cfRule type="cellIs" dxfId="1" priority="1850" operator="greaterThan">
      <formula>120</formula>
    </cfRule>
    <cfRule type="containsText" dxfId="2" priority="835" operator="between" text="库存为">
      <formula>NOT(ISERROR(SEARCH("库存为",AU186)))</formula>
    </cfRule>
  </conditionalFormatting>
  <conditionalFormatting sqref="AU187">
    <cfRule type="cellIs" dxfId="0" priority="2864" operator="lessThan">
      <formula>20</formula>
    </cfRule>
    <cfRule type="cellIs" dxfId="1" priority="1849" operator="greaterThan">
      <formula>120</formula>
    </cfRule>
    <cfRule type="containsText" dxfId="2" priority="834" operator="between" text="库存为">
      <formula>NOT(ISERROR(SEARCH("库存为",AU187)))</formula>
    </cfRule>
  </conditionalFormatting>
  <conditionalFormatting sqref="AU188">
    <cfRule type="cellIs" dxfId="0" priority="2863" operator="lessThan">
      <formula>20</formula>
    </cfRule>
    <cfRule type="cellIs" dxfId="1" priority="1848" operator="greaterThan">
      <formula>120</formula>
    </cfRule>
    <cfRule type="containsText" dxfId="2" priority="833" operator="between" text="库存为">
      <formula>NOT(ISERROR(SEARCH("库存为",AU188)))</formula>
    </cfRule>
  </conditionalFormatting>
  <conditionalFormatting sqref="AU189">
    <cfRule type="cellIs" dxfId="0" priority="2862" operator="lessThan">
      <formula>20</formula>
    </cfRule>
    <cfRule type="cellIs" dxfId="1" priority="1847" operator="greaterThan">
      <formula>120</formula>
    </cfRule>
    <cfRule type="containsText" dxfId="2" priority="832" operator="between" text="库存为">
      <formula>NOT(ISERROR(SEARCH("库存为",AU189)))</formula>
    </cfRule>
  </conditionalFormatting>
  <conditionalFormatting sqref="AU190">
    <cfRule type="cellIs" dxfId="0" priority="2861" operator="lessThan">
      <formula>20</formula>
    </cfRule>
    <cfRule type="cellIs" dxfId="1" priority="1846" operator="greaterThan">
      <formula>120</formula>
    </cfRule>
    <cfRule type="containsText" dxfId="2" priority="831" operator="between" text="库存为">
      <formula>NOT(ISERROR(SEARCH("库存为",AU190)))</formula>
    </cfRule>
  </conditionalFormatting>
  <conditionalFormatting sqref="AU191">
    <cfRule type="cellIs" dxfId="0" priority="2860" operator="lessThan">
      <formula>20</formula>
    </cfRule>
    <cfRule type="cellIs" dxfId="1" priority="1845" operator="greaterThan">
      <formula>120</formula>
    </cfRule>
    <cfRule type="containsText" dxfId="2" priority="830" operator="between" text="库存为">
      <formula>NOT(ISERROR(SEARCH("库存为",AU191)))</formula>
    </cfRule>
  </conditionalFormatting>
  <conditionalFormatting sqref="AU192">
    <cfRule type="cellIs" dxfId="0" priority="2859" operator="lessThan">
      <formula>20</formula>
    </cfRule>
    <cfRule type="cellIs" dxfId="1" priority="1844" operator="greaterThan">
      <formula>120</formula>
    </cfRule>
    <cfRule type="containsText" dxfId="2" priority="829" operator="between" text="库存为">
      <formula>NOT(ISERROR(SEARCH("库存为",AU192)))</formula>
    </cfRule>
  </conditionalFormatting>
  <conditionalFormatting sqref="AU193">
    <cfRule type="cellIs" dxfId="0" priority="2858" operator="lessThan">
      <formula>20</formula>
    </cfRule>
    <cfRule type="cellIs" dxfId="1" priority="1843" operator="greaterThan">
      <formula>120</formula>
    </cfRule>
    <cfRule type="containsText" dxfId="2" priority="828" operator="between" text="库存为">
      <formula>NOT(ISERROR(SEARCH("库存为",AU193)))</formula>
    </cfRule>
  </conditionalFormatting>
  <conditionalFormatting sqref="AU194">
    <cfRule type="cellIs" dxfId="0" priority="2857" operator="lessThan">
      <formula>20</formula>
    </cfRule>
    <cfRule type="cellIs" dxfId="1" priority="1842" operator="greaterThan">
      <formula>120</formula>
    </cfRule>
    <cfRule type="containsText" dxfId="2" priority="827" operator="between" text="库存为">
      <formula>NOT(ISERROR(SEARCH("库存为",AU194)))</formula>
    </cfRule>
  </conditionalFormatting>
  <conditionalFormatting sqref="AU195">
    <cfRule type="cellIs" dxfId="0" priority="2856" operator="lessThan">
      <formula>20</formula>
    </cfRule>
    <cfRule type="cellIs" dxfId="1" priority="1841" operator="greaterThan">
      <formula>120</formula>
    </cfRule>
    <cfRule type="containsText" dxfId="2" priority="826" operator="between" text="库存为">
      <formula>NOT(ISERROR(SEARCH("库存为",AU195)))</formula>
    </cfRule>
  </conditionalFormatting>
  <conditionalFormatting sqref="AU196">
    <cfRule type="cellIs" dxfId="0" priority="2855" operator="lessThan">
      <formula>20</formula>
    </cfRule>
    <cfRule type="cellIs" dxfId="1" priority="1840" operator="greaterThan">
      <formula>120</formula>
    </cfRule>
    <cfRule type="containsText" dxfId="2" priority="825" operator="between" text="库存为">
      <formula>NOT(ISERROR(SEARCH("库存为",AU196)))</formula>
    </cfRule>
  </conditionalFormatting>
  <conditionalFormatting sqref="AU197">
    <cfRule type="cellIs" dxfId="0" priority="2854" operator="lessThan">
      <formula>20</formula>
    </cfRule>
    <cfRule type="cellIs" dxfId="1" priority="1839" operator="greaterThan">
      <formula>120</formula>
    </cfRule>
    <cfRule type="containsText" dxfId="2" priority="824" operator="between" text="库存为">
      <formula>NOT(ISERROR(SEARCH("库存为",AU197)))</formula>
    </cfRule>
  </conditionalFormatting>
  <conditionalFormatting sqref="AU198">
    <cfRule type="cellIs" dxfId="0" priority="2853" operator="lessThan">
      <formula>20</formula>
    </cfRule>
    <cfRule type="cellIs" dxfId="1" priority="1838" operator="greaterThan">
      <formula>120</formula>
    </cfRule>
    <cfRule type="containsText" dxfId="2" priority="823" operator="between" text="库存为">
      <formula>NOT(ISERROR(SEARCH("库存为",AU198)))</formula>
    </cfRule>
  </conditionalFormatting>
  <conditionalFormatting sqref="AU199">
    <cfRule type="cellIs" dxfId="0" priority="2852" operator="lessThan">
      <formula>20</formula>
    </cfRule>
    <cfRule type="cellIs" dxfId="1" priority="1837" operator="greaterThan">
      <formula>120</formula>
    </cfRule>
    <cfRule type="containsText" dxfId="2" priority="822" operator="between" text="库存为">
      <formula>NOT(ISERROR(SEARCH("库存为",AU199)))</formula>
    </cfRule>
  </conditionalFormatting>
  <conditionalFormatting sqref="AU200">
    <cfRule type="cellIs" dxfId="0" priority="2851" operator="lessThan">
      <formula>20</formula>
    </cfRule>
    <cfRule type="cellIs" dxfId="1" priority="1836" operator="greaterThan">
      <formula>120</formula>
    </cfRule>
    <cfRule type="containsText" dxfId="2" priority="821" operator="between" text="库存为">
      <formula>NOT(ISERROR(SEARCH("库存为",AU200)))</formula>
    </cfRule>
  </conditionalFormatting>
  <conditionalFormatting sqref="AU201">
    <cfRule type="cellIs" dxfId="0" priority="2850" operator="lessThan">
      <formula>20</formula>
    </cfRule>
    <cfRule type="cellIs" dxfId="1" priority="1835" operator="greaterThan">
      <formula>120</formula>
    </cfRule>
    <cfRule type="containsText" dxfId="2" priority="820" operator="between" text="库存为">
      <formula>NOT(ISERROR(SEARCH("库存为",AU201)))</formula>
    </cfRule>
  </conditionalFormatting>
  <conditionalFormatting sqref="AU202">
    <cfRule type="cellIs" dxfId="0" priority="2849" operator="lessThan">
      <formula>20</formula>
    </cfRule>
    <cfRule type="cellIs" dxfId="1" priority="1834" operator="greaterThan">
      <formula>120</formula>
    </cfRule>
    <cfRule type="containsText" dxfId="2" priority="819" operator="between" text="库存为">
      <formula>NOT(ISERROR(SEARCH("库存为",AU202)))</formula>
    </cfRule>
  </conditionalFormatting>
  <conditionalFormatting sqref="AU203">
    <cfRule type="cellIs" dxfId="0" priority="2848" operator="lessThan">
      <formula>20</formula>
    </cfRule>
    <cfRule type="cellIs" dxfId="1" priority="1833" operator="greaterThan">
      <formula>120</formula>
    </cfRule>
    <cfRule type="containsText" dxfId="2" priority="818" operator="between" text="库存为">
      <formula>NOT(ISERROR(SEARCH("库存为",AU203)))</formula>
    </cfRule>
  </conditionalFormatting>
  <conditionalFormatting sqref="AU204">
    <cfRule type="cellIs" dxfId="0" priority="2847" operator="lessThan">
      <formula>20</formula>
    </cfRule>
    <cfRule type="cellIs" dxfId="1" priority="1832" operator="greaterThan">
      <formula>120</formula>
    </cfRule>
    <cfRule type="containsText" dxfId="2" priority="817" operator="between" text="库存为">
      <formula>NOT(ISERROR(SEARCH("库存为",AU204)))</formula>
    </cfRule>
  </conditionalFormatting>
  <conditionalFormatting sqref="AU205">
    <cfRule type="cellIs" dxfId="0" priority="2846" operator="lessThan">
      <formula>20</formula>
    </cfRule>
    <cfRule type="cellIs" dxfId="1" priority="1831" operator="greaterThan">
      <formula>120</formula>
    </cfRule>
    <cfRule type="containsText" dxfId="2" priority="816" operator="between" text="库存为">
      <formula>NOT(ISERROR(SEARCH("库存为",AU205)))</formula>
    </cfRule>
  </conditionalFormatting>
  <conditionalFormatting sqref="AU206">
    <cfRule type="cellIs" dxfId="0" priority="2845" operator="lessThan">
      <formula>20</formula>
    </cfRule>
    <cfRule type="cellIs" dxfId="1" priority="1830" operator="greaterThan">
      <formula>120</formula>
    </cfRule>
    <cfRule type="containsText" dxfId="2" priority="815" operator="between" text="库存为">
      <formula>NOT(ISERROR(SEARCH("库存为",AU206)))</formula>
    </cfRule>
  </conditionalFormatting>
  <conditionalFormatting sqref="AU207">
    <cfRule type="cellIs" dxfId="0" priority="2844" operator="lessThan">
      <formula>20</formula>
    </cfRule>
    <cfRule type="cellIs" dxfId="1" priority="1829" operator="greaterThan">
      <formula>120</formula>
    </cfRule>
    <cfRule type="containsText" dxfId="2" priority="814" operator="between" text="库存为">
      <formula>NOT(ISERROR(SEARCH("库存为",AU207)))</formula>
    </cfRule>
  </conditionalFormatting>
  <conditionalFormatting sqref="AU208">
    <cfRule type="cellIs" dxfId="0" priority="2843" operator="lessThan">
      <formula>20</formula>
    </cfRule>
    <cfRule type="cellIs" dxfId="1" priority="1828" operator="greaterThan">
      <formula>120</formula>
    </cfRule>
    <cfRule type="containsText" dxfId="2" priority="813" operator="between" text="库存为">
      <formula>NOT(ISERROR(SEARCH("库存为",AU208)))</formula>
    </cfRule>
  </conditionalFormatting>
  <conditionalFormatting sqref="AU209">
    <cfRule type="cellIs" dxfId="0" priority="2842" operator="lessThan">
      <formula>20</formula>
    </cfRule>
    <cfRule type="cellIs" dxfId="1" priority="1827" operator="greaterThan">
      <formula>120</formula>
    </cfRule>
    <cfRule type="containsText" dxfId="2" priority="812" operator="between" text="库存为">
      <formula>NOT(ISERROR(SEARCH("库存为",AU209)))</formula>
    </cfRule>
  </conditionalFormatting>
  <conditionalFormatting sqref="AU210">
    <cfRule type="cellIs" dxfId="0" priority="2841" operator="lessThan">
      <formula>20</formula>
    </cfRule>
    <cfRule type="cellIs" dxfId="1" priority="1826" operator="greaterThan">
      <formula>120</formula>
    </cfRule>
    <cfRule type="containsText" dxfId="2" priority="811" operator="between" text="库存为">
      <formula>NOT(ISERROR(SEARCH("库存为",AU210)))</formula>
    </cfRule>
  </conditionalFormatting>
  <conditionalFormatting sqref="AU211">
    <cfRule type="cellIs" dxfId="0" priority="2840" operator="lessThan">
      <formula>20</formula>
    </cfRule>
    <cfRule type="cellIs" dxfId="1" priority="1825" operator="greaterThan">
      <formula>120</formula>
    </cfRule>
    <cfRule type="containsText" dxfId="2" priority="810" operator="between" text="库存为">
      <formula>NOT(ISERROR(SEARCH("库存为",AU211)))</formula>
    </cfRule>
  </conditionalFormatting>
  <conditionalFormatting sqref="AU212">
    <cfRule type="cellIs" dxfId="0" priority="2839" operator="lessThan">
      <formula>20</formula>
    </cfRule>
    <cfRule type="cellIs" dxfId="1" priority="1824" operator="greaterThan">
      <formula>120</formula>
    </cfRule>
    <cfRule type="containsText" dxfId="2" priority="809" operator="between" text="库存为">
      <formula>NOT(ISERROR(SEARCH("库存为",AU212)))</formula>
    </cfRule>
  </conditionalFormatting>
  <conditionalFormatting sqref="AU213">
    <cfRule type="cellIs" dxfId="0" priority="2838" operator="lessThan">
      <formula>20</formula>
    </cfRule>
    <cfRule type="cellIs" dxfId="1" priority="1823" operator="greaterThan">
      <formula>120</formula>
    </cfRule>
    <cfRule type="containsText" dxfId="2" priority="808" operator="between" text="库存为">
      <formula>NOT(ISERROR(SEARCH("库存为",AU213)))</formula>
    </cfRule>
  </conditionalFormatting>
  <conditionalFormatting sqref="AU214">
    <cfRule type="cellIs" dxfId="0" priority="2837" operator="lessThan">
      <formula>20</formula>
    </cfRule>
    <cfRule type="cellIs" dxfId="1" priority="1822" operator="greaterThan">
      <formula>120</formula>
    </cfRule>
    <cfRule type="containsText" dxfId="2" priority="807" operator="between" text="库存为">
      <formula>NOT(ISERROR(SEARCH("库存为",AU214)))</formula>
    </cfRule>
  </conditionalFormatting>
  <conditionalFormatting sqref="AU215">
    <cfRule type="cellIs" dxfId="0" priority="2836" operator="lessThan">
      <formula>20</formula>
    </cfRule>
    <cfRule type="cellIs" dxfId="1" priority="1821" operator="greaterThan">
      <formula>120</formula>
    </cfRule>
    <cfRule type="containsText" dxfId="2" priority="806" operator="between" text="库存为">
      <formula>NOT(ISERROR(SEARCH("库存为",AU215)))</formula>
    </cfRule>
  </conditionalFormatting>
  <conditionalFormatting sqref="AU216">
    <cfRule type="cellIs" dxfId="0" priority="2835" operator="lessThan">
      <formula>20</formula>
    </cfRule>
    <cfRule type="cellIs" dxfId="1" priority="1820" operator="greaterThan">
      <formula>120</formula>
    </cfRule>
    <cfRule type="containsText" dxfId="2" priority="805" operator="between" text="库存为">
      <formula>NOT(ISERROR(SEARCH("库存为",AU216)))</formula>
    </cfRule>
  </conditionalFormatting>
  <conditionalFormatting sqref="AU217">
    <cfRule type="cellIs" dxfId="0" priority="2834" operator="lessThan">
      <formula>20</formula>
    </cfRule>
    <cfRule type="cellIs" dxfId="1" priority="1819" operator="greaterThan">
      <formula>120</formula>
    </cfRule>
    <cfRule type="containsText" dxfId="2" priority="804" operator="between" text="库存为">
      <formula>NOT(ISERROR(SEARCH("库存为",AU217)))</formula>
    </cfRule>
  </conditionalFormatting>
  <conditionalFormatting sqref="AU218">
    <cfRule type="cellIs" dxfId="0" priority="2833" operator="lessThan">
      <formula>20</formula>
    </cfRule>
    <cfRule type="cellIs" dxfId="1" priority="1818" operator="greaterThan">
      <formula>120</formula>
    </cfRule>
    <cfRule type="containsText" dxfId="2" priority="803" operator="between" text="库存为">
      <formula>NOT(ISERROR(SEARCH("库存为",AU218)))</formula>
    </cfRule>
  </conditionalFormatting>
  <conditionalFormatting sqref="AU219">
    <cfRule type="cellIs" dxfId="0" priority="2832" operator="lessThan">
      <formula>20</formula>
    </cfRule>
    <cfRule type="cellIs" dxfId="1" priority="1817" operator="greaterThan">
      <formula>120</formula>
    </cfRule>
    <cfRule type="containsText" dxfId="2" priority="802" operator="between" text="库存为">
      <formula>NOT(ISERROR(SEARCH("库存为",AU219)))</formula>
    </cfRule>
  </conditionalFormatting>
  <conditionalFormatting sqref="AU220">
    <cfRule type="cellIs" dxfId="0" priority="2831" operator="lessThan">
      <formula>20</formula>
    </cfRule>
    <cfRule type="cellIs" dxfId="1" priority="1816" operator="greaterThan">
      <formula>120</formula>
    </cfRule>
    <cfRule type="containsText" dxfId="2" priority="801" operator="between" text="库存为">
      <formula>NOT(ISERROR(SEARCH("库存为",AU220)))</formula>
    </cfRule>
  </conditionalFormatting>
  <conditionalFormatting sqref="AU221">
    <cfRule type="cellIs" dxfId="0" priority="2830" operator="lessThan">
      <formula>20</formula>
    </cfRule>
    <cfRule type="cellIs" dxfId="1" priority="1815" operator="greaterThan">
      <formula>120</formula>
    </cfRule>
    <cfRule type="containsText" dxfId="2" priority="800" operator="between" text="库存为">
      <formula>NOT(ISERROR(SEARCH("库存为",AU221)))</formula>
    </cfRule>
  </conditionalFormatting>
  <conditionalFormatting sqref="AU222">
    <cfRule type="cellIs" dxfId="0" priority="2829" operator="lessThan">
      <formula>20</formula>
    </cfRule>
    <cfRule type="cellIs" dxfId="1" priority="1814" operator="greaterThan">
      <formula>120</formula>
    </cfRule>
    <cfRule type="containsText" dxfId="2" priority="799" operator="between" text="库存为">
      <formula>NOT(ISERROR(SEARCH("库存为",AU222)))</formula>
    </cfRule>
  </conditionalFormatting>
  <conditionalFormatting sqref="AU223">
    <cfRule type="cellIs" dxfId="0" priority="2828" operator="lessThan">
      <formula>20</formula>
    </cfRule>
    <cfRule type="cellIs" dxfId="1" priority="1813" operator="greaterThan">
      <formula>120</formula>
    </cfRule>
    <cfRule type="containsText" dxfId="2" priority="798" operator="between" text="库存为">
      <formula>NOT(ISERROR(SEARCH("库存为",AU223)))</formula>
    </cfRule>
  </conditionalFormatting>
  <conditionalFormatting sqref="AU224">
    <cfRule type="cellIs" dxfId="0" priority="2827" operator="lessThan">
      <formula>20</formula>
    </cfRule>
    <cfRule type="cellIs" dxfId="1" priority="1812" operator="greaterThan">
      <formula>120</formula>
    </cfRule>
    <cfRule type="containsText" dxfId="2" priority="797" operator="between" text="库存为">
      <formula>NOT(ISERROR(SEARCH("库存为",AU224)))</formula>
    </cfRule>
  </conditionalFormatting>
  <conditionalFormatting sqref="AU225">
    <cfRule type="cellIs" dxfId="0" priority="2826" operator="lessThan">
      <formula>20</formula>
    </cfRule>
    <cfRule type="cellIs" dxfId="1" priority="1811" operator="greaterThan">
      <formula>120</formula>
    </cfRule>
    <cfRule type="containsText" dxfId="2" priority="796" operator="between" text="库存为">
      <formula>NOT(ISERROR(SEARCH("库存为",AU225)))</formula>
    </cfRule>
  </conditionalFormatting>
  <conditionalFormatting sqref="AU226">
    <cfRule type="cellIs" dxfId="0" priority="2825" operator="lessThan">
      <formula>20</formula>
    </cfRule>
    <cfRule type="cellIs" dxfId="1" priority="1810" operator="greaterThan">
      <formula>120</formula>
    </cfRule>
    <cfRule type="containsText" dxfId="2" priority="795" operator="between" text="库存为">
      <formula>NOT(ISERROR(SEARCH("库存为",AU226)))</formula>
    </cfRule>
  </conditionalFormatting>
  <conditionalFormatting sqref="AU227">
    <cfRule type="cellIs" dxfId="0" priority="2824" operator="lessThan">
      <formula>20</formula>
    </cfRule>
    <cfRule type="cellIs" dxfId="1" priority="1809" operator="greaterThan">
      <formula>120</formula>
    </cfRule>
    <cfRule type="containsText" dxfId="2" priority="794" operator="between" text="库存为">
      <formula>NOT(ISERROR(SEARCH("库存为",AU227)))</formula>
    </cfRule>
  </conditionalFormatting>
  <conditionalFormatting sqref="AU228">
    <cfRule type="cellIs" dxfId="0" priority="2823" operator="lessThan">
      <formula>20</formula>
    </cfRule>
    <cfRule type="cellIs" dxfId="1" priority="1808" operator="greaterThan">
      <formula>120</formula>
    </cfRule>
    <cfRule type="containsText" dxfId="2" priority="793" operator="between" text="库存为">
      <formula>NOT(ISERROR(SEARCH("库存为",AU228)))</formula>
    </cfRule>
  </conditionalFormatting>
  <conditionalFormatting sqref="AU229">
    <cfRule type="cellIs" dxfId="0" priority="2822" operator="lessThan">
      <formula>20</formula>
    </cfRule>
    <cfRule type="cellIs" dxfId="1" priority="1807" operator="greaterThan">
      <formula>120</formula>
    </cfRule>
    <cfRule type="containsText" dxfId="2" priority="792" operator="between" text="库存为">
      <formula>NOT(ISERROR(SEARCH("库存为",AU229)))</formula>
    </cfRule>
  </conditionalFormatting>
  <conditionalFormatting sqref="AU230">
    <cfRule type="cellIs" dxfId="0" priority="2821" operator="lessThan">
      <formula>20</formula>
    </cfRule>
    <cfRule type="cellIs" dxfId="1" priority="1806" operator="greaterThan">
      <formula>120</formula>
    </cfRule>
    <cfRule type="containsText" dxfId="2" priority="791" operator="between" text="库存为">
      <formula>NOT(ISERROR(SEARCH("库存为",AU230)))</formula>
    </cfRule>
  </conditionalFormatting>
  <conditionalFormatting sqref="AU231">
    <cfRule type="cellIs" dxfId="0" priority="2820" operator="lessThan">
      <formula>20</formula>
    </cfRule>
    <cfRule type="cellIs" dxfId="1" priority="1805" operator="greaterThan">
      <formula>120</formula>
    </cfRule>
    <cfRule type="containsText" dxfId="2" priority="790" operator="between" text="库存为">
      <formula>NOT(ISERROR(SEARCH("库存为",AU231)))</formula>
    </cfRule>
  </conditionalFormatting>
  <conditionalFormatting sqref="AU232">
    <cfRule type="cellIs" dxfId="0" priority="2819" operator="lessThan">
      <formula>20</formula>
    </cfRule>
    <cfRule type="cellIs" dxfId="1" priority="1804" operator="greaterThan">
      <formula>120</formula>
    </cfRule>
    <cfRule type="containsText" dxfId="2" priority="789" operator="between" text="库存为">
      <formula>NOT(ISERROR(SEARCH("库存为",AU232)))</formula>
    </cfRule>
  </conditionalFormatting>
  <conditionalFormatting sqref="AU233">
    <cfRule type="cellIs" dxfId="0" priority="2818" operator="lessThan">
      <formula>20</formula>
    </cfRule>
    <cfRule type="cellIs" dxfId="1" priority="1803" operator="greaterThan">
      <formula>120</formula>
    </cfRule>
    <cfRule type="containsText" dxfId="2" priority="788" operator="between" text="库存为">
      <formula>NOT(ISERROR(SEARCH("库存为",AU233)))</formula>
    </cfRule>
  </conditionalFormatting>
  <conditionalFormatting sqref="AU234">
    <cfRule type="cellIs" dxfId="0" priority="2817" operator="lessThan">
      <formula>20</formula>
    </cfRule>
    <cfRule type="cellIs" dxfId="1" priority="1802" operator="greaterThan">
      <formula>120</formula>
    </cfRule>
    <cfRule type="containsText" dxfId="2" priority="787" operator="between" text="库存为">
      <formula>NOT(ISERROR(SEARCH("库存为",AU234)))</formula>
    </cfRule>
  </conditionalFormatting>
  <conditionalFormatting sqref="AU235">
    <cfRule type="cellIs" dxfId="0" priority="2816" operator="lessThan">
      <formula>20</formula>
    </cfRule>
    <cfRule type="cellIs" dxfId="1" priority="1801" operator="greaterThan">
      <formula>120</formula>
    </cfRule>
    <cfRule type="containsText" dxfId="2" priority="786" operator="between" text="库存为">
      <formula>NOT(ISERROR(SEARCH("库存为",AU235)))</formula>
    </cfRule>
  </conditionalFormatting>
  <conditionalFormatting sqref="AU236">
    <cfRule type="cellIs" dxfId="0" priority="2815" operator="lessThan">
      <formula>20</formula>
    </cfRule>
    <cfRule type="cellIs" dxfId="1" priority="1800" operator="greaterThan">
      <formula>120</formula>
    </cfRule>
    <cfRule type="containsText" dxfId="2" priority="785" operator="between" text="库存为">
      <formula>NOT(ISERROR(SEARCH("库存为",AU236)))</formula>
    </cfRule>
  </conditionalFormatting>
  <conditionalFormatting sqref="AU237">
    <cfRule type="cellIs" dxfId="0" priority="2814" operator="lessThan">
      <formula>20</formula>
    </cfRule>
    <cfRule type="cellIs" dxfId="1" priority="1799" operator="greaterThan">
      <formula>120</formula>
    </cfRule>
    <cfRule type="containsText" dxfId="2" priority="784" operator="between" text="库存为">
      <formula>NOT(ISERROR(SEARCH("库存为",AU237)))</formula>
    </cfRule>
  </conditionalFormatting>
  <conditionalFormatting sqref="AU238">
    <cfRule type="cellIs" dxfId="0" priority="2813" operator="lessThan">
      <formula>20</formula>
    </cfRule>
    <cfRule type="cellIs" dxfId="1" priority="1798" operator="greaterThan">
      <formula>120</formula>
    </cfRule>
    <cfRule type="containsText" dxfId="2" priority="783" operator="between" text="库存为">
      <formula>NOT(ISERROR(SEARCH("库存为",AU238)))</formula>
    </cfRule>
  </conditionalFormatting>
  <conditionalFormatting sqref="AU239">
    <cfRule type="cellIs" dxfId="0" priority="2812" operator="lessThan">
      <formula>20</formula>
    </cfRule>
    <cfRule type="cellIs" dxfId="1" priority="1797" operator="greaterThan">
      <formula>120</formula>
    </cfRule>
    <cfRule type="containsText" dxfId="2" priority="782" operator="between" text="库存为">
      <formula>NOT(ISERROR(SEARCH("库存为",AU239)))</formula>
    </cfRule>
  </conditionalFormatting>
  <conditionalFormatting sqref="AU240">
    <cfRule type="cellIs" dxfId="0" priority="2811" operator="lessThan">
      <formula>20</formula>
    </cfRule>
    <cfRule type="cellIs" dxfId="1" priority="1796" operator="greaterThan">
      <formula>120</formula>
    </cfRule>
    <cfRule type="containsText" dxfId="2" priority="781" operator="between" text="库存为">
      <formula>NOT(ISERROR(SEARCH("库存为",AU240)))</formula>
    </cfRule>
  </conditionalFormatting>
  <conditionalFormatting sqref="AU241">
    <cfRule type="cellIs" dxfId="0" priority="2810" operator="lessThan">
      <formula>20</formula>
    </cfRule>
    <cfRule type="cellIs" dxfId="1" priority="1795" operator="greaterThan">
      <formula>120</formula>
    </cfRule>
    <cfRule type="containsText" dxfId="2" priority="780" operator="between" text="库存为">
      <formula>NOT(ISERROR(SEARCH("库存为",AU241)))</formula>
    </cfRule>
  </conditionalFormatting>
  <conditionalFormatting sqref="AU242">
    <cfRule type="cellIs" dxfId="0" priority="2809" operator="lessThan">
      <formula>20</formula>
    </cfRule>
    <cfRule type="cellIs" dxfId="1" priority="1794" operator="greaterThan">
      <formula>120</formula>
    </cfRule>
    <cfRule type="containsText" dxfId="2" priority="779" operator="between" text="库存为">
      <formula>NOT(ISERROR(SEARCH("库存为",AU242)))</formula>
    </cfRule>
  </conditionalFormatting>
  <conditionalFormatting sqref="AU243">
    <cfRule type="cellIs" dxfId="0" priority="2808" operator="lessThan">
      <formula>20</formula>
    </cfRule>
    <cfRule type="cellIs" dxfId="1" priority="1793" operator="greaterThan">
      <formula>120</formula>
    </cfRule>
    <cfRule type="containsText" dxfId="2" priority="778" operator="between" text="库存为">
      <formula>NOT(ISERROR(SEARCH("库存为",AU243)))</formula>
    </cfRule>
  </conditionalFormatting>
  <conditionalFormatting sqref="AU244">
    <cfRule type="cellIs" dxfId="0" priority="2807" operator="lessThan">
      <formula>20</formula>
    </cfRule>
    <cfRule type="cellIs" dxfId="1" priority="1792" operator="greaterThan">
      <formula>120</formula>
    </cfRule>
    <cfRule type="containsText" dxfId="2" priority="777" operator="between" text="库存为">
      <formula>NOT(ISERROR(SEARCH("库存为",AU244)))</formula>
    </cfRule>
  </conditionalFormatting>
  <conditionalFormatting sqref="AU245">
    <cfRule type="cellIs" dxfId="0" priority="2806" operator="lessThan">
      <formula>20</formula>
    </cfRule>
    <cfRule type="cellIs" dxfId="1" priority="1791" operator="greaterThan">
      <formula>120</formula>
    </cfRule>
    <cfRule type="containsText" dxfId="2" priority="776" operator="between" text="库存为">
      <formula>NOT(ISERROR(SEARCH("库存为",AU245)))</formula>
    </cfRule>
  </conditionalFormatting>
  <conditionalFormatting sqref="AU246">
    <cfRule type="cellIs" dxfId="0" priority="2805" operator="lessThan">
      <formula>20</formula>
    </cfRule>
    <cfRule type="cellIs" dxfId="1" priority="1790" operator="greaterThan">
      <formula>120</formula>
    </cfRule>
    <cfRule type="containsText" dxfId="2" priority="775" operator="between" text="库存为">
      <formula>NOT(ISERROR(SEARCH("库存为",AU246)))</formula>
    </cfRule>
  </conditionalFormatting>
  <conditionalFormatting sqref="AU247">
    <cfRule type="cellIs" dxfId="0" priority="2804" operator="lessThan">
      <formula>20</formula>
    </cfRule>
    <cfRule type="cellIs" dxfId="1" priority="1789" operator="greaterThan">
      <formula>120</formula>
    </cfRule>
    <cfRule type="containsText" dxfId="2" priority="774" operator="between" text="库存为">
      <formula>NOT(ISERROR(SEARCH("库存为",AU247)))</formula>
    </cfRule>
  </conditionalFormatting>
  <conditionalFormatting sqref="AU248">
    <cfRule type="cellIs" dxfId="0" priority="2803" operator="lessThan">
      <formula>20</formula>
    </cfRule>
    <cfRule type="cellIs" dxfId="1" priority="1788" operator="greaterThan">
      <formula>120</formula>
    </cfRule>
    <cfRule type="containsText" dxfId="2" priority="773" operator="between" text="库存为">
      <formula>NOT(ISERROR(SEARCH("库存为",AU248)))</formula>
    </cfRule>
  </conditionalFormatting>
  <conditionalFormatting sqref="AU249">
    <cfRule type="cellIs" dxfId="0" priority="2802" operator="lessThan">
      <formula>20</formula>
    </cfRule>
    <cfRule type="cellIs" dxfId="1" priority="1787" operator="greaterThan">
      <formula>120</formula>
    </cfRule>
    <cfRule type="containsText" dxfId="2" priority="772" operator="between" text="库存为">
      <formula>NOT(ISERROR(SEARCH("库存为",AU249)))</formula>
    </cfRule>
  </conditionalFormatting>
  <conditionalFormatting sqref="AU250">
    <cfRule type="cellIs" dxfId="0" priority="2801" operator="lessThan">
      <formula>20</formula>
    </cfRule>
    <cfRule type="cellIs" dxfId="1" priority="1786" operator="greaterThan">
      <formula>120</formula>
    </cfRule>
    <cfRule type="containsText" dxfId="2" priority="771" operator="between" text="库存为">
      <formula>NOT(ISERROR(SEARCH("库存为",AU250)))</formula>
    </cfRule>
  </conditionalFormatting>
  <conditionalFormatting sqref="AU251">
    <cfRule type="cellIs" dxfId="0" priority="2800" operator="lessThan">
      <formula>20</formula>
    </cfRule>
    <cfRule type="cellIs" dxfId="1" priority="1785" operator="greaterThan">
      <formula>120</formula>
    </cfRule>
    <cfRule type="containsText" dxfId="2" priority="770" operator="between" text="库存为">
      <formula>NOT(ISERROR(SEARCH("库存为",AU251)))</formula>
    </cfRule>
  </conditionalFormatting>
  <conditionalFormatting sqref="AU252">
    <cfRule type="cellIs" dxfId="0" priority="2799" operator="lessThan">
      <formula>20</formula>
    </cfRule>
    <cfRule type="cellIs" dxfId="1" priority="1784" operator="greaterThan">
      <formula>120</formula>
    </cfRule>
    <cfRule type="containsText" dxfId="2" priority="769" operator="between" text="库存为">
      <formula>NOT(ISERROR(SEARCH("库存为",AU252)))</formula>
    </cfRule>
  </conditionalFormatting>
  <conditionalFormatting sqref="AU253">
    <cfRule type="cellIs" dxfId="0" priority="2798" operator="lessThan">
      <formula>20</formula>
    </cfRule>
    <cfRule type="cellIs" dxfId="1" priority="1783" operator="greaterThan">
      <formula>120</formula>
    </cfRule>
    <cfRule type="containsText" dxfId="2" priority="768" operator="between" text="库存为">
      <formula>NOT(ISERROR(SEARCH("库存为",AU253)))</formula>
    </cfRule>
  </conditionalFormatting>
  <conditionalFormatting sqref="AU254">
    <cfRule type="cellIs" dxfId="0" priority="2797" operator="lessThan">
      <formula>20</formula>
    </cfRule>
    <cfRule type="cellIs" dxfId="1" priority="1782" operator="greaterThan">
      <formula>120</formula>
    </cfRule>
    <cfRule type="containsText" dxfId="2" priority="767" operator="between" text="库存为">
      <formula>NOT(ISERROR(SEARCH("库存为",AU254)))</formula>
    </cfRule>
  </conditionalFormatting>
  <conditionalFormatting sqref="AU255">
    <cfRule type="cellIs" dxfId="0" priority="2796" operator="lessThan">
      <formula>20</formula>
    </cfRule>
    <cfRule type="cellIs" dxfId="1" priority="1781" operator="greaterThan">
      <formula>120</formula>
    </cfRule>
    <cfRule type="containsText" dxfId="2" priority="766" operator="between" text="库存为">
      <formula>NOT(ISERROR(SEARCH("库存为",AU255)))</formula>
    </cfRule>
  </conditionalFormatting>
  <conditionalFormatting sqref="AU256">
    <cfRule type="cellIs" dxfId="0" priority="2795" operator="lessThan">
      <formula>20</formula>
    </cfRule>
    <cfRule type="cellIs" dxfId="1" priority="1780" operator="greaterThan">
      <formula>120</formula>
    </cfRule>
    <cfRule type="containsText" dxfId="2" priority="765" operator="between" text="库存为">
      <formula>NOT(ISERROR(SEARCH("库存为",AU256)))</formula>
    </cfRule>
  </conditionalFormatting>
  <conditionalFormatting sqref="AU257">
    <cfRule type="cellIs" dxfId="0" priority="2794" operator="lessThan">
      <formula>20</formula>
    </cfRule>
    <cfRule type="cellIs" dxfId="1" priority="1779" operator="greaterThan">
      <formula>120</formula>
    </cfRule>
    <cfRule type="containsText" dxfId="2" priority="764" operator="between" text="库存为">
      <formula>NOT(ISERROR(SEARCH("库存为",AU257)))</formula>
    </cfRule>
  </conditionalFormatting>
  <conditionalFormatting sqref="AU258">
    <cfRule type="cellIs" dxfId="0" priority="2793" operator="lessThan">
      <formula>20</formula>
    </cfRule>
    <cfRule type="cellIs" dxfId="1" priority="1778" operator="greaterThan">
      <formula>120</formula>
    </cfRule>
    <cfRule type="containsText" dxfId="2" priority="763" operator="between" text="库存为">
      <formula>NOT(ISERROR(SEARCH("库存为",AU258)))</formula>
    </cfRule>
  </conditionalFormatting>
  <conditionalFormatting sqref="AU259">
    <cfRule type="cellIs" dxfId="0" priority="2792" operator="lessThan">
      <formula>20</formula>
    </cfRule>
    <cfRule type="cellIs" dxfId="1" priority="1777" operator="greaterThan">
      <formula>120</formula>
    </cfRule>
    <cfRule type="containsText" dxfId="2" priority="762" operator="between" text="库存为">
      <formula>NOT(ISERROR(SEARCH("库存为",AU259)))</formula>
    </cfRule>
  </conditionalFormatting>
  <conditionalFormatting sqref="AU260">
    <cfRule type="cellIs" dxfId="0" priority="2791" operator="lessThan">
      <formula>20</formula>
    </cfRule>
    <cfRule type="cellIs" dxfId="1" priority="1776" operator="greaterThan">
      <formula>120</formula>
    </cfRule>
    <cfRule type="containsText" dxfId="2" priority="761" operator="between" text="库存为">
      <formula>NOT(ISERROR(SEARCH("库存为",AU260)))</formula>
    </cfRule>
  </conditionalFormatting>
  <conditionalFormatting sqref="AU261">
    <cfRule type="cellIs" dxfId="0" priority="2790" operator="lessThan">
      <formula>20</formula>
    </cfRule>
    <cfRule type="cellIs" dxfId="1" priority="1775" operator="greaterThan">
      <formula>120</formula>
    </cfRule>
    <cfRule type="containsText" dxfId="2" priority="760" operator="between" text="库存为">
      <formula>NOT(ISERROR(SEARCH("库存为",AU261)))</formula>
    </cfRule>
  </conditionalFormatting>
  <conditionalFormatting sqref="AU262">
    <cfRule type="cellIs" dxfId="0" priority="2789" operator="lessThan">
      <formula>20</formula>
    </cfRule>
    <cfRule type="cellIs" dxfId="1" priority="1774" operator="greaterThan">
      <formula>120</formula>
    </cfRule>
    <cfRule type="containsText" dxfId="2" priority="759" operator="between" text="库存为">
      <formula>NOT(ISERROR(SEARCH("库存为",AU262)))</formula>
    </cfRule>
  </conditionalFormatting>
  <conditionalFormatting sqref="AU263">
    <cfRule type="cellIs" dxfId="0" priority="2788" operator="lessThan">
      <formula>20</formula>
    </cfRule>
    <cfRule type="cellIs" dxfId="1" priority="1773" operator="greaterThan">
      <formula>120</formula>
    </cfRule>
    <cfRule type="containsText" dxfId="2" priority="758" operator="between" text="库存为">
      <formula>NOT(ISERROR(SEARCH("库存为",AU263)))</formula>
    </cfRule>
  </conditionalFormatting>
  <conditionalFormatting sqref="AU264">
    <cfRule type="cellIs" dxfId="0" priority="2787" operator="lessThan">
      <formula>20</formula>
    </cfRule>
    <cfRule type="cellIs" dxfId="1" priority="1772" operator="greaterThan">
      <formula>120</formula>
    </cfRule>
    <cfRule type="containsText" dxfId="2" priority="757" operator="between" text="库存为">
      <formula>NOT(ISERROR(SEARCH("库存为",AU264)))</formula>
    </cfRule>
  </conditionalFormatting>
  <conditionalFormatting sqref="AU265">
    <cfRule type="cellIs" dxfId="0" priority="2786" operator="lessThan">
      <formula>20</formula>
    </cfRule>
    <cfRule type="cellIs" dxfId="1" priority="1771" operator="greaterThan">
      <formula>120</formula>
    </cfRule>
    <cfRule type="containsText" dxfId="2" priority="756" operator="between" text="库存为">
      <formula>NOT(ISERROR(SEARCH("库存为",AU265)))</formula>
    </cfRule>
  </conditionalFormatting>
  <conditionalFormatting sqref="AU266">
    <cfRule type="cellIs" dxfId="0" priority="2785" operator="lessThan">
      <formula>20</formula>
    </cfRule>
    <cfRule type="cellIs" dxfId="1" priority="1770" operator="greaterThan">
      <formula>120</formula>
    </cfRule>
    <cfRule type="containsText" dxfId="2" priority="755" operator="between" text="库存为">
      <formula>NOT(ISERROR(SEARCH("库存为",AU266)))</formula>
    </cfRule>
  </conditionalFormatting>
  <conditionalFormatting sqref="AU267">
    <cfRule type="cellIs" dxfId="0" priority="2784" operator="lessThan">
      <formula>20</formula>
    </cfRule>
    <cfRule type="cellIs" dxfId="1" priority="1769" operator="greaterThan">
      <formula>120</formula>
    </cfRule>
    <cfRule type="containsText" dxfId="2" priority="754" operator="between" text="库存为">
      <formula>NOT(ISERROR(SEARCH("库存为",AU267)))</formula>
    </cfRule>
  </conditionalFormatting>
  <conditionalFormatting sqref="AU268">
    <cfRule type="cellIs" dxfId="0" priority="2783" operator="lessThan">
      <formula>20</formula>
    </cfRule>
    <cfRule type="cellIs" dxfId="1" priority="1768" operator="greaterThan">
      <formula>120</formula>
    </cfRule>
    <cfRule type="containsText" dxfId="2" priority="753" operator="between" text="库存为">
      <formula>NOT(ISERROR(SEARCH("库存为",AU268)))</formula>
    </cfRule>
  </conditionalFormatting>
  <conditionalFormatting sqref="AU269">
    <cfRule type="cellIs" dxfId="0" priority="2782" operator="lessThan">
      <formula>20</formula>
    </cfRule>
    <cfRule type="cellIs" dxfId="1" priority="1767" operator="greaterThan">
      <formula>120</formula>
    </cfRule>
    <cfRule type="containsText" dxfId="2" priority="752" operator="between" text="库存为">
      <formula>NOT(ISERROR(SEARCH("库存为",AU269)))</formula>
    </cfRule>
  </conditionalFormatting>
  <conditionalFormatting sqref="AU270">
    <cfRule type="cellIs" dxfId="0" priority="2781" operator="lessThan">
      <formula>20</formula>
    </cfRule>
    <cfRule type="cellIs" dxfId="1" priority="1766" operator="greaterThan">
      <formula>120</formula>
    </cfRule>
    <cfRule type="containsText" dxfId="2" priority="751" operator="between" text="库存为">
      <formula>NOT(ISERROR(SEARCH("库存为",AU270)))</formula>
    </cfRule>
  </conditionalFormatting>
  <conditionalFormatting sqref="AU271">
    <cfRule type="cellIs" dxfId="0" priority="2780" operator="lessThan">
      <formula>20</formula>
    </cfRule>
    <cfRule type="cellIs" dxfId="1" priority="1765" operator="greaterThan">
      <formula>120</formula>
    </cfRule>
    <cfRule type="containsText" dxfId="2" priority="750" operator="between" text="库存为">
      <formula>NOT(ISERROR(SEARCH("库存为",AU271)))</formula>
    </cfRule>
  </conditionalFormatting>
  <conditionalFormatting sqref="AU272">
    <cfRule type="cellIs" dxfId="0" priority="2779" operator="lessThan">
      <formula>20</formula>
    </cfRule>
    <cfRule type="cellIs" dxfId="1" priority="1764" operator="greaterThan">
      <formula>120</formula>
    </cfRule>
    <cfRule type="containsText" dxfId="2" priority="749" operator="between" text="库存为">
      <formula>NOT(ISERROR(SEARCH("库存为",AU272)))</formula>
    </cfRule>
  </conditionalFormatting>
  <conditionalFormatting sqref="AU273">
    <cfRule type="cellIs" dxfId="0" priority="2778" operator="lessThan">
      <formula>20</formula>
    </cfRule>
    <cfRule type="cellIs" dxfId="1" priority="1763" operator="greaterThan">
      <formula>120</formula>
    </cfRule>
    <cfRule type="containsText" dxfId="2" priority="748" operator="between" text="库存为">
      <formula>NOT(ISERROR(SEARCH("库存为",AU273)))</formula>
    </cfRule>
  </conditionalFormatting>
  <conditionalFormatting sqref="AU274">
    <cfRule type="cellIs" dxfId="0" priority="2777" operator="lessThan">
      <formula>20</formula>
    </cfRule>
    <cfRule type="cellIs" dxfId="1" priority="1762" operator="greaterThan">
      <formula>120</formula>
    </cfRule>
    <cfRule type="containsText" dxfId="2" priority="747" operator="between" text="库存为">
      <formula>NOT(ISERROR(SEARCH("库存为",AU274)))</formula>
    </cfRule>
  </conditionalFormatting>
  <conditionalFormatting sqref="AU275">
    <cfRule type="cellIs" dxfId="0" priority="2776" operator="lessThan">
      <formula>20</formula>
    </cfRule>
    <cfRule type="cellIs" dxfId="1" priority="1761" operator="greaterThan">
      <formula>120</formula>
    </cfRule>
    <cfRule type="containsText" dxfId="2" priority="746" operator="between" text="库存为">
      <formula>NOT(ISERROR(SEARCH("库存为",AU275)))</formula>
    </cfRule>
  </conditionalFormatting>
  <conditionalFormatting sqref="AU276">
    <cfRule type="cellIs" dxfId="0" priority="2775" operator="lessThan">
      <formula>20</formula>
    </cfRule>
    <cfRule type="cellIs" dxfId="1" priority="1760" operator="greaterThan">
      <formula>120</formula>
    </cfRule>
    <cfRule type="containsText" dxfId="2" priority="745" operator="between" text="库存为">
      <formula>NOT(ISERROR(SEARCH("库存为",AU276)))</formula>
    </cfRule>
  </conditionalFormatting>
  <conditionalFormatting sqref="AU277">
    <cfRule type="cellIs" dxfId="0" priority="2774" operator="lessThan">
      <formula>20</formula>
    </cfRule>
    <cfRule type="cellIs" dxfId="1" priority="1759" operator="greaterThan">
      <formula>120</formula>
    </cfRule>
    <cfRule type="containsText" dxfId="2" priority="744" operator="between" text="库存为">
      <formula>NOT(ISERROR(SEARCH("库存为",AU277)))</formula>
    </cfRule>
  </conditionalFormatting>
  <conditionalFormatting sqref="AU278">
    <cfRule type="cellIs" dxfId="0" priority="2773" operator="lessThan">
      <formula>20</formula>
    </cfRule>
    <cfRule type="cellIs" dxfId="1" priority="1758" operator="greaterThan">
      <formula>120</formula>
    </cfRule>
    <cfRule type="containsText" dxfId="2" priority="743" operator="between" text="库存为">
      <formula>NOT(ISERROR(SEARCH("库存为",AU278)))</formula>
    </cfRule>
  </conditionalFormatting>
  <conditionalFormatting sqref="AU279">
    <cfRule type="cellIs" dxfId="0" priority="2772" operator="lessThan">
      <formula>20</formula>
    </cfRule>
    <cfRule type="cellIs" dxfId="1" priority="1757" operator="greaterThan">
      <formula>120</formula>
    </cfRule>
    <cfRule type="containsText" dxfId="2" priority="742" operator="between" text="库存为">
      <formula>NOT(ISERROR(SEARCH("库存为",AU279)))</formula>
    </cfRule>
  </conditionalFormatting>
  <conditionalFormatting sqref="AU280">
    <cfRule type="cellIs" dxfId="0" priority="2771" operator="lessThan">
      <formula>20</formula>
    </cfRule>
    <cfRule type="cellIs" dxfId="1" priority="1756" operator="greaterThan">
      <formula>120</formula>
    </cfRule>
    <cfRule type="containsText" dxfId="2" priority="741" operator="between" text="库存为">
      <formula>NOT(ISERROR(SEARCH("库存为",AU280)))</formula>
    </cfRule>
  </conditionalFormatting>
  <conditionalFormatting sqref="AU281">
    <cfRule type="cellIs" dxfId="0" priority="2770" operator="lessThan">
      <formula>20</formula>
    </cfRule>
    <cfRule type="cellIs" dxfId="1" priority="1755" operator="greaterThan">
      <formula>120</formula>
    </cfRule>
    <cfRule type="containsText" dxfId="2" priority="740" operator="between" text="库存为">
      <formula>NOT(ISERROR(SEARCH("库存为",AU281)))</formula>
    </cfRule>
  </conditionalFormatting>
  <conditionalFormatting sqref="AU282">
    <cfRule type="cellIs" dxfId="0" priority="2769" operator="lessThan">
      <formula>20</formula>
    </cfRule>
    <cfRule type="cellIs" dxfId="1" priority="1754" operator="greaterThan">
      <formula>120</formula>
    </cfRule>
    <cfRule type="containsText" dxfId="2" priority="739" operator="between" text="库存为">
      <formula>NOT(ISERROR(SEARCH("库存为",AU282)))</formula>
    </cfRule>
  </conditionalFormatting>
  <conditionalFormatting sqref="AU283">
    <cfRule type="cellIs" dxfId="0" priority="2768" operator="lessThan">
      <formula>20</formula>
    </cfRule>
    <cfRule type="cellIs" dxfId="1" priority="1753" operator="greaterThan">
      <formula>120</formula>
    </cfRule>
    <cfRule type="containsText" dxfId="2" priority="738" operator="between" text="库存为">
      <formula>NOT(ISERROR(SEARCH("库存为",AU283)))</formula>
    </cfRule>
  </conditionalFormatting>
  <conditionalFormatting sqref="AU284">
    <cfRule type="cellIs" dxfId="0" priority="2767" operator="lessThan">
      <formula>20</formula>
    </cfRule>
    <cfRule type="cellIs" dxfId="1" priority="1752" operator="greaterThan">
      <formula>120</formula>
    </cfRule>
    <cfRule type="containsText" dxfId="2" priority="737" operator="between" text="库存为">
      <formula>NOT(ISERROR(SEARCH("库存为",AU284)))</formula>
    </cfRule>
  </conditionalFormatting>
  <conditionalFormatting sqref="AU285">
    <cfRule type="cellIs" dxfId="0" priority="2766" operator="lessThan">
      <formula>20</formula>
    </cfRule>
    <cfRule type="cellIs" dxfId="1" priority="1751" operator="greaterThan">
      <formula>120</formula>
    </cfRule>
    <cfRule type="containsText" dxfId="2" priority="736" operator="between" text="库存为">
      <formula>NOT(ISERROR(SEARCH("库存为",AU285)))</formula>
    </cfRule>
  </conditionalFormatting>
  <conditionalFormatting sqref="AU286">
    <cfRule type="cellIs" dxfId="0" priority="2765" operator="lessThan">
      <formula>20</formula>
    </cfRule>
    <cfRule type="cellIs" dxfId="1" priority="1750" operator="greaterThan">
      <formula>120</formula>
    </cfRule>
    <cfRule type="containsText" dxfId="2" priority="735" operator="between" text="库存为">
      <formula>NOT(ISERROR(SEARCH("库存为",AU286)))</formula>
    </cfRule>
  </conditionalFormatting>
  <conditionalFormatting sqref="AU287">
    <cfRule type="cellIs" dxfId="0" priority="2764" operator="lessThan">
      <formula>20</formula>
    </cfRule>
    <cfRule type="cellIs" dxfId="1" priority="1749" operator="greaterThan">
      <formula>120</formula>
    </cfRule>
    <cfRule type="containsText" dxfId="2" priority="734" operator="between" text="库存为">
      <formula>NOT(ISERROR(SEARCH("库存为",AU287)))</formula>
    </cfRule>
  </conditionalFormatting>
  <conditionalFormatting sqref="AU288">
    <cfRule type="cellIs" dxfId="0" priority="2763" operator="lessThan">
      <formula>20</formula>
    </cfRule>
    <cfRule type="cellIs" dxfId="1" priority="1748" operator="greaterThan">
      <formula>120</formula>
    </cfRule>
    <cfRule type="containsText" dxfId="2" priority="733" operator="between" text="库存为">
      <formula>NOT(ISERROR(SEARCH("库存为",AU288)))</formula>
    </cfRule>
  </conditionalFormatting>
  <conditionalFormatting sqref="AU289">
    <cfRule type="cellIs" dxfId="0" priority="2762" operator="lessThan">
      <formula>20</formula>
    </cfRule>
    <cfRule type="cellIs" dxfId="1" priority="1747" operator="greaterThan">
      <formula>120</formula>
    </cfRule>
    <cfRule type="containsText" dxfId="2" priority="732" operator="between" text="库存为">
      <formula>NOT(ISERROR(SEARCH("库存为",AU289)))</formula>
    </cfRule>
  </conditionalFormatting>
  <conditionalFormatting sqref="AU290">
    <cfRule type="cellIs" dxfId="0" priority="2761" operator="lessThan">
      <formula>20</formula>
    </cfRule>
    <cfRule type="cellIs" dxfId="1" priority="1746" operator="greaterThan">
      <formula>120</formula>
    </cfRule>
    <cfRule type="containsText" dxfId="2" priority="731" operator="between" text="库存为">
      <formula>NOT(ISERROR(SEARCH("库存为",AU290)))</formula>
    </cfRule>
  </conditionalFormatting>
  <conditionalFormatting sqref="AU291">
    <cfRule type="cellIs" dxfId="0" priority="2760" operator="lessThan">
      <formula>20</formula>
    </cfRule>
    <cfRule type="cellIs" dxfId="1" priority="1745" operator="greaterThan">
      <formula>120</formula>
    </cfRule>
    <cfRule type="containsText" dxfId="2" priority="730" operator="between" text="库存为">
      <formula>NOT(ISERROR(SEARCH("库存为",AU291)))</formula>
    </cfRule>
  </conditionalFormatting>
  <conditionalFormatting sqref="AU292">
    <cfRule type="cellIs" dxfId="0" priority="2759" operator="lessThan">
      <formula>20</formula>
    </cfRule>
    <cfRule type="cellIs" dxfId="1" priority="1744" operator="greaterThan">
      <formula>120</formula>
    </cfRule>
    <cfRule type="containsText" dxfId="2" priority="729" operator="between" text="库存为">
      <formula>NOT(ISERROR(SEARCH("库存为",AU292)))</formula>
    </cfRule>
  </conditionalFormatting>
  <conditionalFormatting sqref="AU293">
    <cfRule type="cellIs" dxfId="0" priority="2758" operator="lessThan">
      <formula>20</formula>
    </cfRule>
    <cfRule type="cellIs" dxfId="1" priority="1743" operator="greaterThan">
      <formula>120</formula>
    </cfRule>
    <cfRule type="containsText" dxfId="2" priority="728" operator="between" text="库存为">
      <formula>NOT(ISERROR(SEARCH("库存为",AU293)))</formula>
    </cfRule>
  </conditionalFormatting>
  <conditionalFormatting sqref="AU294">
    <cfRule type="cellIs" dxfId="0" priority="2757" operator="lessThan">
      <formula>20</formula>
    </cfRule>
    <cfRule type="cellIs" dxfId="1" priority="1742" operator="greaterThan">
      <formula>120</formula>
    </cfRule>
    <cfRule type="containsText" dxfId="2" priority="727" operator="between" text="库存为">
      <formula>NOT(ISERROR(SEARCH("库存为",AU294)))</formula>
    </cfRule>
  </conditionalFormatting>
  <conditionalFormatting sqref="AU295">
    <cfRule type="cellIs" dxfId="0" priority="2756" operator="lessThan">
      <formula>20</formula>
    </cfRule>
    <cfRule type="cellIs" dxfId="1" priority="1741" operator="greaterThan">
      <formula>120</formula>
    </cfRule>
    <cfRule type="containsText" dxfId="2" priority="726" operator="between" text="库存为">
      <formula>NOT(ISERROR(SEARCH("库存为",AU295)))</formula>
    </cfRule>
  </conditionalFormatting>
  <conditionalFormatting sqref="AU296">
    <cfRule type="cellIs" dxfId="0" priority="2755" operator="lessThan">
      <formula>20</formula>
    </cfRule>
    <cfRule type="cellIs" dxfId="1" priority="1740" operator="greaterThan">
      <formula>120</formula>
    </cfRule>
    <cfRule type="containsText" dxfId="2" priority="725" operator="between" text="库存为">
      <formula>NOT(ISERROR(SEARCH("库存为",AU296)))</formula>
    </cfRule>
  </conditionalFormatting>
  <conditionalFormatting sqref="AU297">
    <cfRule type="cellIs" dxfId="0" priority="2754" operator="lessThan">
      <formula>20</formula>
    </cfRule>
    <cfRule type="cellIs" dxfId="1" priority="1739" operator="greaterThan">
      <formula>120</formula>
    </cfRule>
    <cfRule type="containsText" dxfId="2" priority="724" operator="between" text="库存为">
      <formula>NOT(ISERROR(SEARCH("库存为",AU297)))</formula>
    </cfRule>
  </conditionalFormatting>
  <conditionalFormatting sqref="AU298">
    <cfRule type="cellIs" dxfId="0" priority="2753" operator="lessThan">
      <formula>20</formula>
    </cfRule>
    <cfRule type="cellIs" dxfId="1" priority="1738" operator="greaterThan">
      <formula>120</formula>
    </cfRule>
    <cfRule type="containsText" dxfId="2" priority="723" operator="between" text="库存为">
      <formula>NOT(ISERROR(SEARCH("库存为",AU298)))</formula>
    </cfRule>
  </conditionalFormatting>
  <conditionalFormatting sqref="AU299">
    <cfRule type="cellIs" dxfId="0" priority="2752" operator="lessThan">
      <formula>20</formula>
    </cfRule>
    <cfRule type="cellIs" dxfId="1" priority="1737" operator="greaterThan">
      <formula>120</formula>
    </cfRule>
    <cfRule type="containsText" dxfId="2" priority="722" operator="between" text="库存为">
      <formula>NOT(ISERROR(SEARCH("库存为",AU299)))</formula>
    </cfRule>
  </conditionalFormatting>
  <conditionalFormatting sqref="AU300">
    <cfRule type="cellIs" dxfId="0" priority="2751" operator="lessThan">
      <formula>20</formula>
    </cfRule>
    <cfRule type="cellIs" dxfId="1" priority="1736" operator="greaterThan">
      <formula>120</formula>
    </cfRule>
    <cfRule type="containsText" dxfId="2" priority="721" operator="between" text="库存为">
      <formula>NOT(ISERROR(SEARCH("库存为",AU300)))</formula>
    </cfRule>
  </conditionalFormatting>
  <conditionalFormatting sqref="AU301">
    <cfRule type="cellIs" dxfId="0" priority="2750" operator="lessThan">
      <formula>20</formula>
    </cfRule>
    <cfRule type="cellIs" dxfId="1" priority="1735" operator="greaterThan">
      <formula>120</formula>
    </cfRule>
    <cfRule type="containsText" dxfId="2" priority="720" operator="between" text="库存为">
      <formula>NOT(ISERROR(SEARCH("库存为",AU301)))</formula>
    </cfRule>
  </conditionalFormatting>
  <conditionalFormatting sqref="AU302">
    <cfRule type="cellIs" dxfId="0" priority="2749" operator="lessThan">
      <formula>20</formula>
    </cfRule>
    <cfRule type="cellIs" dxfId="1" priority="1734" operator="greaterThan">
      <formula>120</formula>
    </cfRule>
    <cfRule type="containsText" dxfId="2" priority="719" operator="between" text="库存为">
      <formula>NOT(ISERROR(SEARCH("库存为",AU302)))</formula>
    </cfRule>
  </conditionalFormatting>
  <conditionalFormatting sqref="AU303">
    <cfRule type="cellIs" dxfId="0" priority="2748" operator="lessThan">
      <formula>20</formula>
    </cfRule>
    <cfRule type="cellIs" dxfId="1" priority="1733" operator="greaterThan">
      <formula>120</formula>
    </cfRule>
    <cfRule type="containsText" dxfId="2" priority="718" operator="between" text="库存为">
      <formula>NOT(ISERROR(SEARCH("库存为",AU303)))</formula>
    </cfRule>
  </conditionalFormatting>
  <conditionalFormatting sqref="AU304">
    <cfRule type="cellIs" dxfId="0" priority="2747" operator="lessThan">
      <formula>20</formula>
    </cfRule>
    <cfRule type="cellIs" dxfId="1" priority="1732" operator="greaterThan">
      <formula>120</formula>
    </cfRule>
    <cfRule type="containsText" dxfId="2" priority="717" operator="between" text="库存为">
      <formula>NOT(ISERROR(SEARCH("库存为",AU304)))</formula>
    </cfRule>
  </conditionalFormatting>
  <conditionalFormatting sqref="AU305">
    <cfRule type="cellIs" dxfId="0" priority="2746" operator="lessThan">
      <formula>20</formula>
    </cfRule>
    <cfRule type="cellIs" dxfId="1" priority="1731" operator="greaterThan">
      <formula>120</formula>
    </cfRule>
    <cfRule type="containsText" dxfId="2" priority="716" operator="between" text="库存为">
      <formula>NOT(ISERROR(SEARCH("库存为",AU305)))</formula>
    </cfRule>
  </conditionalFormatting>
  <conditionalFormatting sqref="AU306">
    <cfRule type="cellIs" dxfId="0" priority="2745" operator="lessThan">
      <formula>20</formula>
    </cfRule>
    <cfRule type="cellIs" dxfId="1" priority="1730" operator="greaterThan">
      <formula>120</formula>
    </cfRule>
    <cfRule type="containsText" dxfId="2" priority="715" operator="between" text="库存为">
      <formula>NOT(ISERROR(SEARCH("库存为",AU306)))</formula>
    </cfRule>
  </conditionalFormatting>
  <conditionalFormatting sqref="AU307">
    <cfRule type="cellIs" dxfId="0" priority="2744" operator="lessThan">
      <formula>20</formula>
    </cfRule>
    <cfRule type="cellIs" dxfId="1" priority="1729" operator="greaterThan">
      <formula>120</formula>
    </cfRule>
    <cfRule type="containsText" dxfId="2" priority="714" operator="between" text="库存为">
      <formula>NOT(ISERROR(SEARCH("库存为",AU307)))</formula>
    </cfRule>
  </conditionalFormatting>
  <conditionalFormatting sqref="AU308">
    <cfRule type="cellIs" dxfId="0" priority="2743" operator="lessThan">
      <formula>20</formula>
    </cfRule>
    <cfRule type="cellIs" dxfId="1" priority="1728" operator="greaterThan">
      <formula>120</formula>
    </cfRule>
    <cfRule type="containsText" dxfId="2" priority="713" operator="between" text="库存为">
      <formula>NOT(ISERROR(SEARCH("库存为",AU308)))</formula>
    </cfRule>
  </conditionalFormatting>
  <conditionalFormatting sqref="AU309">
    <cfRule type="cellIs" dxfId="0" priority="2742" operator="lessThan">
      <formula>20</formula>
    </cfRule>
    <cfRule type="cellIs" dxfId="1" priority="1727" operator="greaterThan">
      <formula>120</formula>
    </cfRule>
    <cfRule type="containsText" dxfId="2" priority="712" operator="between" text="库存为">
      <formula>NOT(ISERROR(SEARCH("库存为",AU309)))</formula>
    </cfRule>
  </conditionalFormatting>
  <conditionalFormatting sqref="AU310">
    <cfRule type="cellIs" dxfId="0" priority="2741" operator="lessThan">
      <formula>20</formula>
    </cfRule>
    <cfRule type="cellIs" dxfId="1" priority="1726" operator="greaterThan">
      <formula>120</formula>
    </cfRule>
    <cfRule type="containsText" dxfId="2" priority="711" operator="between" text="库存为">
      <formula>NOT(ISERROR(SEARCH("库存为",AU310)))</formula>
    </cfRule>
  </conditionalFormatting>
  <conditionalFormatting sqref="AU311">
    <cfRule type="cellIs" dxfId="0" priority="2740" operator="lessThan">
      <formula>20</formula>
    </cfRule>
    <cfRule type="cellIs" dxfId="1" priority="1725" operator="greaterThan">
      <formula>120</formula>
    </cfRule>
    <cfRule type="containsText" dxfId="2" priority="710" operator="between" text="库存为">
      <formula>NOT(ISERROR(SEARCH("库存为",AU311)))</formula>
    </cfRule>
  </conditionalFormatting>
  <conditionalFormatting sqref="AU312">
    <cfRule type="cellIs" dxfId="0" priority="2739" operator="lessThan">
      <formula>20</formula>
    </cfRule>
    <cfRule type="cellIs" dxfId="1" priority="1724" operator="greaterThan">
      <formula>120</formula>
    </cfRule>
    <cfRule type="containsText" dxfId="2" priority="709" operator="between" text="库存为">
      <formula>NOT(ISERROR(SEARCH("库存为",AU312)))</formula>
    </cfRule>
  </conditionalFormatting>
  <conditionalFormatting sqref="AU313">
    <cfRule type="cellIs" dxfId="0" priority="2738" operator="lessThan">
      <formula>20</formula>
    </cfRule>
    <cfRule type="cellIs" dxfId="1" priority="1723" operator="greaterThan">
      <formula>120</formula>
    </cfRule>
    <cfRule type="containsText" dxfId="2" priority="708" operator="between" text="库存为">
      <formula>NOT(ISERROR(SEARCH("库存为",AU313)))</formula>
    </cfRule>
  </conditionalFormatting>
  <conditionalFormatting sqref="AU314">
    <cfRule type="cellIs" dxfId="0" priority="2737" operator="lessThan">
      <formula>20</formula>
    </cfRule>
    <cfRule type="cellIs" dxfId="1" priority="1722" operator="greaterThan">
      <formula>120</formula>
    </cfRule>
    <cfRule type="containsText" dxfId="2" priority="707" operator="between" text="库存为">
      <formula>NOT(ISERROR(SEARCH("库存为",AU314)))</formula>
    </cfRule>
  </conditionalFormatting>
  <conditionalFormatting sqref="AU315">
    <cfRule type="cellIs" dxfId="0" priority="2736" operator="lessThan">
      <formula>20</formula>
    </cfRule>
    <cfRule type="cellIs" dxfId="1" priority="1721" operator="greaterThan">
      <formula>120</formula>
    </cfRule>
    <cfRule type="containsText" dxfId="2" priority="706" operator="between" text="库存为">
      <formula>NOT(ISERROR(SEARCH("库存为",AU315)))</formula>
    </cfRule>
  </conditionalFormatting>
  <conditionalFormatting sqref="AU316">
    <cfRule type="cellIs" dxfId="0" priority="2735" operator="lessThan">
      <formula>20</formula>
    </cfRule>
    <cfRule type="cellIs" dxfId="1" priority="1720" operator="greaterThan">
      <formula>120</formula>
    </cfRule>
    <cfRule type="containsText" dxfId="2" priority="705" operator="between" text="库存为">
      <formula>NOT(ISERROR(SEARCH("库存为",AU316)))</formula>
    </cfRule>
  </conditionalFormatting>
  <conditionalFormatting sqref="AU317">
    <cfRule type="cellIs" dxfId="0" priority="2734" operator="lessThan">
      <formula>20</formula>
    </cfRule>
    <cfRule type="cellIs" dxfId="1" priority="1719" operator="greaterThan">
      <formula>120</formula>
    </cfRule>
    <cfRule type="containsText" dxfId="2" priority="704" operator="between" text="库存为">
      <formula>NOT(ISERROR(SEARCH("库存为",AU317)))</formula>
    </cfRule>
  </conditionalFormatting>
  <conditionalFormatting sqref="AU318">
    <cfRule type="cellIs" dxfId="0" priority="2733" operator="lessThan">
      <formula>20</formula>
    </cfRule>
    <cfRule type="cellIs" dxfId="1" priority="1718" operator="greaterThan">
      <formula>120</formula>
    </cfRule>
    <cfRule type="containsText" dxfId="2" priority="703" operator="between" text="库存为">
      <formula>NOT(ISERROR(SEARCH("库存为",AU318)))</formula>
    </cfRule>
  </conditionalFormatting>
  <conditionalFormatting sqref="AU319">
    <cfRule type="cellIs" dxfId="0" priority="2732" operator="lessThan">
      <formula>20</formula>
    </cfRule>
    <cfRule type="cellIs" dxfId="1" priority="1717" operator="greaterThan">
      <formula>120</formula>
    </cfRule>
    <cfRule type="containsText" dxfId="2" priority="702" operator="between" text="库存为">
      <formula>NOT(ISERROR(SEARCH("库存为",AU319)))</formula>
    </cfRule>
  </conditionalFormatting>
  <conditionalFormatting sqref="AU320">
    <cfRule type="cellIs" dxfId="0" priority="2731" operator="lessThan">
      <formula>20</formula>
    </cfRule>
    <cfRule type="cellIs" dxfId="1" priority="1716" operator="greaterThan">
      <formula>120</formula>
    </cfRule>
    <cfRule type="containsText" dxfId="2" priority="701" operator="between" text="库存为">
      <formula>NOT(ISERROR(SEARCH("库存为",AU320)))</formula>
    </cfRule>
  </conditionalFormatting>
  <conditionalFormatting sqref="AU321">
    <cfRule type="cellIs" dxfId="0" priority="2730" operator="lessThan">
      <formula>20</formula>
    </cfRule>
    <cfRule type="cellIs" dxfId="1" priority="1715" operator="greaterThan">
      <formula>120</formula>
    </cfRule>
    <cfRule type="containsText" dxfId="2" priority="700" operator="between" text="库存为">
      <formula>NOT(ISERROR(SEARCH("库存为",AU321)))</formula>
    </cfRule>
  </conditionalFormatting>
  <conditionalFormatting sqref="AU322">
    <cfRule type="cellIs" dxfId="0" priority="2729" operator="lessThan">
      <formula>20</formula>
    </cfRule>
    <cfRule type="cellIs" dxfId="1" priority="1714" operator="greaterThan">
      <formula>120</formula>
    </cfRule>
    <cfRule type="containsText" dxfId="2" priority="699" operator="between" text="库存为">
      <formula>NOT(ISERROR(SEARCH("库存为",AU322)))</formula>
    </cfRule>
  </conditionalFormatting>
  <conditionalFormatting sqref="AU323">
    <cfRule type="cellIs" dxfId="0" priority="2728" operator="lessThan">
      <formula>20</formula>
    </cfRule>
    <cfRule type="cellIs" dxfId="1" priority="1713" operator="greaterThan">
      <formula>120</formula>
    </cfRule>
    <cfRule type="containsText" dxfId="2" priority="698" operator="between" text="库存为">
      <formula>NOT(ISERROR(SEARCH("库存为",AU323)))</formula>
    </cfRule>
  </conditionalFormatting>
  <conditionalFormatting sqref="AU324">
    <cfRule type="cellIs" dxfId="0" priority="2727" operator="lessThan">
      <formula>20</formula>
    </cfRule>
    <cfRule type="cellIs" dxfId="1" priority="1712" operator="greaterThan">
      <formula>120</formula>
    </cfRule>
    <cfRule type="containsText" dxfId="2" priority="697" operator="between" text="库存为">
      <formula>NOT(ISERROR(SEARCH("库存为",AU324)))</formula>
    </cfRule>
  </conditionalFormatting>
  <conditionalFormatting sqref="AU325">
    <cfRule type="cellIs" dxfId="0" priority="2726" operator="lessThan">
      <formula>20</formula>
    </cfRule>
    <cfRule type="cellIs" dxfId="1" priority="1711" operator="greaterThan">
      <formula>120</formula>
    </cfRule>
    <cfRule type="containsText" dxfId="2" priority="696" operator="between" text="库存为">
      <formula>NOT(ISERROR(SEARCH("库存为",AU325)))</formula>
    </cfRule>
  </conditionalFormatting>
  <conditionalFormatting sqref="AU326">
    <cfRule type="cellIs" dxfId="0" priority="2725" operator="lessThan">
      <formula>20</formula>
    </cfRule>
    <cfRule type="cellIs" dxfId="1" priority="1710" operator="greaterThan">
      <formula>120</formula>
    </cfRule>
    <cfRule type="containsText" dxfId="2" priority="695" operator="between" text="库存为">
      <formula>NOT(ISERROR(SEARCH("库存为",AU326)))</formula>
    </cfRule>
  </conditionalFormatting>
  <conditionalFormatting sqref="AU327">
    <cfRule type="cellIs" dxfId="0" priority="2724" operator="lessThan">
      <formula>20</formula>
    </cfRule>
    <cfRule type="cellIs" dxfId="1" priority="1709" operator="greaterThan">
      <formula>120</formula>
    </cfRule>
    <cfRule type="containsText" dxfId="2" priority="694" operator="between" text="库存为">
      <formula>NOT(ISERROR(SEARCH("库存为",AU327)))</formula>
    </cfRule>
  </conditionalFormatting>
  <conditionalFormatting sqref="AU328">
    <cfRule type="cellIs" dxfId="0" priority="2723" operator="lessThan">
      <formula>20</formula>
    </cfRule>
    <cfRule type="cellIs" dxfId="1" priority="1708" operator="greaterThan">
      <formula>120</formula>
    </cfRule>
    <cfRule type="containsText" dxfId="2" priority="693" operator="between" text="库存为">
      <formula>NOT(ISERROR(SEARCH("库存为",AU328)))</formula>
    </cfRule>
  </conditionalFormatting>
  <conditionalFormatting sqref="AU329">
    <cfRule type="cellIs" dxfId="0" priority="2722" operator="lessThan">
      <formula>20</formula>
    </cfRule>
    <cfRule type="cellIs" dxfId="1" priority="1707" operator="greaterThan">
      <formula>120</formula>
    </cfRule>
    <cfRule type="containsText" dxfId="2" priority="692" operator="between" text="库存为">
      <formula>NOT(ISERROR(SEARCH("库存为",AU329)))</formula>
    </cfRule>
  </conditionalFormatting>
  <conditionalFormatting sqref="AU330">
    <cfRule type="cellIs" dxfId="0" priority="2721" operator="lessThan">
      <formula>20</formula>
    </cfRule>
    <cfRule type="cellIs" dxfId="1" priority="1706" operator="greaterThan">
      <formula>120</formula>
    </cfRule>
    <cfRule type="containsText" dxfId="2" priority="691" operator="between" text="库存为">
      <formula>NOT(ISERROR(SEARCH("库存为",AU330)))</formula>
    </cfRule>
  </conditionalFormatting>
  <conditionalFormatting sqref="AU331">
    <cfRule type="cellIs" dxfId="0" priority="2720" operator="lessThan">
      <formula>20</formula>
    </cfRule>
    <cfRule type="cellIs" dxfId="1" priority="1705" operator="greaterThan">
      <formula>120</formula>
    </cfRule>
    <cfRule type="containsText" dxfId="2" priority="690" operator="between" text="库存为">
      <formula>NOT(ISERROR(SEARCH("库存为",AU331)))</formula>
    </cfRule>
  </conditionalFormatting>
  <conditionalFormatting sqref="AU332">
    <cfRule type="cellIs" dxfId="0" priority="2719" operator="lessThan">
      <formula>20</formula>
    </cfRule>
    <cfRule type="cellIs" dxfId="1" priority="1704" operator="greaterThan">
      <formula>120</formula>
    </cfRule>
    <cfRule type="containsText" dxfId="2" priority="689" operator="between" text="库存为">
      <formula>NOT(ISERROR(SEARCH("库存为",AU332)))</formula>
    </cfRule>
  </conditionalFormatting>
  <conditionalFormatting sqref="AU333">
    <cfRule type="cellIs" dxfId="0" priority="2718" operator="lessThan">
      <formula>20</formula>
    </cfRule>
    <cfRule type="cellIs" dxfId="1" priority="1703" operator="greaterThan">
      <formula>120</formula>
    </cfRule>
    <cfRule type="containsText" dxfId="2" priority="688" operator="between" text="库存为">
      <formula>NOT(ISERROR(SEARCH("库存为",AU333)))</formula>
    </cfRule>
  </conditionalFormatting>
  <conditionalFormatting sqref="AU334">
    <cfRule type="cellIs" dxfId="0" priority="2717" operator="lessThan">
      <formula>20</formula>
    </cfRule>
    <cfRule type="cellIs" dxfId="1" priority="1702" operator="greaterThan">
      <formula>120</formula>
    </cfRule>
    <cfRule type="containsText" dxfId="2" priority="687" operator="between" text="库存为">
      <formula>NOT(ISERROR(SEARCH("库存为",AU334)))</formula>
    </cfRule>
  </conditionalFormatting>
  <conditionalFormatting sqref="AU335">
    <cfRule type="cellIs" dxfId="0" priority="2716" operator="lessThan">
      <formula>20</formula>
    </cfRule>
    <cfRule type="cellIs" dxfId="1" priority="1701" operator="greaterThan">
      <formula>120</formula>
    </cfRule>
    <cfRule type="containsText" dxfId="2" priority="686" operator="between" text="库存为">
      <formula>NOT(ISERROR(SEARCH("库存为",AU335)))</formula>
    </cfRule>
  </conditionalFormatting>
  <conditionalFormatting sqref="AU336">
    <cfRule type="cellIs" dxfId="0" priority="2715" operator="lessThan">
      <formula>20</formula>
    </cfRule>
    <cfRule type="cellIs" dxfId="1" priority="1700" operator="greaterThan">
      <formula>120</formula>
    </cfRule>
    <cfRule type="containsText" dxfId="2" priority="685" operator="between" text="库存为">
      <formula>NOT(ISERROR(SEARCH("库存为",AU336)))</formula>
    </cfRule>
  </conditionalFormatting>
  <conditionalFormatting sqref="AU337">
    <cfRule type="cellIs" dxfId="0" priority="2714" operator="lessThan">
      <formula>20</formula>
    </cfRule>
    <cfRule type="cellIs" dxfId="1" priority="1699" operator="greaterThan">
      <formula>120</formula>
    </cfRule>
    <cfRule type="containsText" dxfId="2" priority="684" operator="between" text="库存为">
      <formula>NOT(ISERROR(SEARCH("库存为",AU337)))</formula>
    </cfRule>
  </conditionalFormatting>
  <conditionalFormatting sqref="AU338">
    <cfRule type="cellIs" dxfId="0" priority="2713" operator="lessThan">
      <formula>20</formula>
    </cfRule>
    <cfRule type="cellIs" dxfId="1" priority="1698" operator="greaterThan">
      <formula>120</formula>
    </cfRule>
    <cfRule type="containsText" dxfId="2" priority="683" operator="between" text="库存为">
      <formula>NOT(ISERROR(SEARCH("库存为",AU338)))</formula>
    </cfRule>
  </conditionalFormatting>
  <conditionalFormatting sqref="AU339">
    <cfRule type="cellIs" dxfId="0" priority="2712" operator="lessThan">
      <formula>20</formula>
    </cfRule>
    <cfRule type="cellIs" dxfId="1" priority="1697" operator="greaterThan">
      <formula>120</formula>
    </cfRule>
    <cfRule type="containsText" dxfId="2" priority="682" operator="between" text="库存为">
      <formula>NOT(ISERROR(SEARCH("库存为",AU339)))</formula>
    </cfRule>
  </conditionalFormatting>
  <conditionalFormatting sqref="AU340">
    <cfRule type="cellIs" dxfId="0" priority="2711" operator="lessThan">
      <formula>20</formula>
    </cfRule>
    <cfRule type="cellIs" dxfId="1" priority="1696" operator="greaterThan">
      <formula>120</formula>
    </cfRule>
    <cfRule type="containsText" dxfId="2" priority="681" operator="between" text="库存为">
      <formula>NOT(ISERROR(SEARCH("库存为",AU340)))</formula>
    </cfRule>
  </conditionalFormatting>
  <conditionalFormatting sqref="AU341">
    <cfRule type="cellIs" dxfId="0" priority="2710" operator="lessThan">
      <formula>20</formula>
    </cfRule>
    <cfRule type="cellIs" dxfId="1" priority="1695" operator="greaterThan">
      <formula>120</formula>
    </cfRule>
    <cfRule type="containsText" dxfId="2" priority="680" operator="between" text="库存为">
      <formula>NOT(ISERROR(SEARCH("库存为",AU341)))</formula>
    </cfRule>
  </conditionalFormatting>
  <conditionalFormatting sqref="AU342">
    <cfRule type="cellIs" dxfId="0" priority="2709" operator="lessThan">
      <formula>20</formula>
    </cfRule>
    <cfRule type="cellIs" dxfId="1" priority="1694" operator="greaterThan">
      <formula>120</formula>
    </cfRule>
    <cfRule type="containsText" dxfId="2" priority="679" operator="between" text="库存为">
      <formula>NOT(ISERROR(SEARCH("库存为",AU342)))</formula>
    </cfRule>
  </conditionalFormatting>
  <conditionalFormatting sqref="AU343">
    <cfRule type="cellIs" dxfId="0" priority="2708" operator="lessThan">
      <formula>20</formula>
    </cfRule>
    <cfRule type="cellIs" dxfId="1" priority="1693" operator="greaterThan">
      <formula>120</formula>
    </cfRule>
    <cfRule type="containsText" dxfId="2" priority="678" operator="between" text="库存为">
      <formula>NOT(ISERROR(SEARCH("库存为",AU343)))</formula>
    </cfRule>
  </conditionalFormatting>
  <conditionalFormatting sqref="AU344">
    <cfRule type="cellIs" dxfId="0" priority="2707" operator="lessThan">
      <formula>20</formula>
    </cfRule>
    <cfRule type="cellIs" dxfId="1" priority="1692" operator="greaterThan">
      <formula>120</formula>
    </cfRule>
    <cfRule type="containsText" dxfId="2" priority="677" operator="between" text="库存为">
      <formula>NOT(ISERROR(SEARCH("库存为",AU344)))</formula>
    </cfRule>
  </conditionalFormatting>
  <conditionalFormatting sqref="AU345">
    <cfRule type="cellIs" dxfId="0" priority="2706" operator="lessThan">
      <formula>20</formula>
    </cfRule>
    <cfRule type="cellIs" dxfId="1" priority="1691" operator="greaterThan">
      <formula>120</formula>
    </cfRule>
    <cfRule type="containsText" dxfId="2" priority="676" operator="between" text="库存为">
      <formula>NOT(ISERROR(SEARCH("库存为",AU345)))</formula>
    </cfRule>
  </conditionalFormatting>
  <conditionalFormatting sqref="AU346">
    <cfRule type="cellIs" dxfId="0" priority="2705" operator="lessThan">
      <formula>20</formula>
    </cfRule>
    <cfRule type="cellIs" dxfId="1" priority="1690" operator="greaterThan">
      <formula>120</formula>
    </cfRule>
    <cfRule type="containsText" dxfId="2" priority="675" operator="between" text="库存为">
      <formula>NOT(ISERROR(SEARCH("库存为",AU346)))</formula>
    </cfRule>
  </conditionalFormatting>
  <conditionalFormatting sqref="AU347">
    <cfRule type="cellIs" dxfId="0" priority="2704" operator="lessThan">
      <formula>20</formula>
    </cfRule>
    <cfRule type="cellIs" dxfId="1" priority="1689" operator="greaterThan">
      <formula>120</formula>
    </cfRule>
    <cfRule type="containsText" dxfId="2" priority="674" operator="between" text="库存为">
      <formula>NOT(ISERROR(SEARCH("库存为",AU347)))</formula>
    </cfRule>
  </conditionalFormatting>
  <conditionalFormatting sqref="AU348">
    <cfRule type="cellIs" dxfId="0" priority="2703" operator="lessThan">
      <formula>20</formula>
    </cfRule>
    <cfRule type="cellIs" dxfId="1" priority="1688" operator="greaterThan">
      <formula>120</formula>
    </cfRule>
    <cfRule type="containsText" dxfId="2" priority="673" operator="between" text="库存为">
      <formula>NOT(ISERROR(SEARCH("库存为",AU348)))</formula>
    </cfRule>
  </conditionalFormatting>
  <conditionalFormatting sqref="AU349">
    <cfRule type="cellIs" dxfId="0" priority="2702" operator="lessThan">
      <formula>20</formula>
    </cfRule>
    <cfRule type="cellIs" dxfId="1" priority="1687" operator="greaterThan">
      <formula>120</formula>
    </cfRule>
    <cfRule type="containsText" dxfId="2" priority="672" operator="between" text="库存为">
      <formula>NOT(ISERROR(SEARCH("库存为",AU349)))</formula>
    </cfRule>
  </conditionalFormatting>
  <conditionalFormatting sqref="AU350">
    <cfRule type="cellIs" dxfId="0" priority="2701" operator="lessThan">
      <formula>20</formula>
    </cfRule>
    <cfRule type="cellIs" dxfId="1" priority="1686" operator="greaterThan">
      <formula>120</formula>
    </cfRule>
    <cfRule type="containsText" dxfId="2" priority="671" operator="between" text="库存为">
      <formula>NOT(ISERROR(SEARCH("库存为",AU350)))</formula>
    </cfRule>
  </conditionalFormatting>
  <conditionalFormatting sqref="AU351">
    <cfRule type="cellIs" dxfId="0" priority="2700" operator="lessThan">
      <formula>20</formula>
    </cfRule>
    <cfRule type="cellIs" dxfId="1" priority="1685" operator="greaterThan">
      <formula>120</formula>
    </cfRule>
    <cfRule type="containsText" dxfId="2" priority="670" operator="between" text="库存为">
      <formula>NOT(ISERROR(SEARCH("库存为",AU351)))</formula>
    </cfRule>
  </conditionalFormatting>
  <conditionalFormatting sqref="AU352">
    <cfRule type="cellIs" dxfId="0" priority="2699" operator="lessThan">
      <formula>20</formula>
    </cfRule>
    <cfRule type="cellIs" dxfId="1" priority="1684" operator="greaterThan">
      <formula>120</formula>
    </cfRule>
    <cfRule type="containsText" dxfId="2" priority="669" operator="between" text="库存为">
      <formula>NOT(ISERROR(SEARCH("库存为",AU352)))</formula>
    </cfRule>
  </conditionalFormatting>
  <conditionalFormatting sqref="AU353">
    <cfRule type="cellIs" dxfId="0" priority="2698" operator="lessThan">
      <formula>20</formula>
    </cfRule>
    <cfRule type="cellIs" dxfId="1" priority="1683" operator="greaterThan">
      <formula>120</formula>
    </cfRule>
    <cfRule type="containsText" dxfId="2" priority="668" operator="between" text="库存为">
      <formula>NOT(ISERROR(SEARCH("库存为",AU353)))</formula>
    </cfRule>
  </conditionalFormatting>
  <conditionalFormatting sqref="AU354">
    <cfRule type="cellIs" dxfId="0" priority="2697" operator="lessThan">
      <formula>20</formula>
    </cfRule>
    <cfRule type="cellIs" dxfId="1" priority="1682" operator="greaterThan">
      <formula>120</formula>
    </cfRule>
    <cfRule type="containsText" dxfId="2" priority="667" operator="between" text="库存为">
      <formula>NOT(ISERROR(SEARCH("库存为",AU354)))</formula>
    </cfRule>
  </conditionalFormatting>
  <conditionalFormatting sqref="AU355">
    <cfRule type="cellIs" dxfId="0" priority="2696" operator="lessThan">
      <formula>20</formula>
    </cfRule>
    <cfRule type="cellIs" dxfId="1" priority="1681" operator="greaterThan">
      <formula>120</formula>
    </cfRule>
    <cfRule type="containsText" dxfId="2" priority="666" operator="between" text="库存为">
      <formula>NOT(ISERROR(SEARCH("库存为",AU355)))</formula>
    </cfRule>
  </conditionalFormatting>
  <conditionalFormatting sqref="AU356">
    <cfRule type="cellIs" dxfId="0" priority="2695" operator="lessThan">
      <formula>20</formula>
    </cfRule>
    <cfRule type="cellIs" dxfId="1" priority="1680" operator="greaterThan">
      <formula>120</formula>
    </cfRule>
    <cfRule type="containsText" dxfId="2" priority="665" operator="between" text="库存为">
      <formula>NOT(ISERROR(SEARCH("库存为",AU356)))</formula>
    </cfRule>
  </conditionalFormatting>
  <conditionalFormatting sqref="AU357">
    <cfRule type="cellIs" dxfId="0" priority="2694" operator="lessThan">
      <formula>20</formula>
    </cfRule>
    <cfRule type="cellIs" dxfId="1" priority="1679" operator="greaterThan">
      <formula>120</formula>
    </cfRule>
    <cfRule type="containsText" dxfId="2" priority="664" operator="between" text="库存为">
      <formula>NOT(ISERROR(SEARCH("库存为",AU357)))</formula>
    </cfRule>
  </conditionalFormatting>
  <conditionalFormatting sqref="AU358">
    <cfRule type="cellIs" dxfId="0" priority="2693" operator="lessThan">
      <formula>20</formula>
    </cfRule>
    <cfRule type="cellIs" dxfId="1" priority="1678" operator="greaterThan">
      <formula>120</formula>
    </cfRule>
    <cfRule type="containsText" dxfId="2" priority="663" operator="between" text="库存为">
      <formula>NOT(ISERROR(SEARCH("库存为",AU358)))</formula>
    </cfRule>
  </conditionalFormatting>
  <conditionalFormatting sqref="AU359">
    <cfRule type="cellIs" dxfId="0" priority="2692" operator="lessThan">
      <formula>20</formula>
    </cfRule>
    <cfRule type="cellIs" dxfId="1" priority="1677" operator="greaterThan">
      <formula>120</formula>
    </cfRule>
    <cfRule type="containsText" dxfId="2" priority="662" operator="between" text="库存为">
      <formula>NOT(ISERROR(SEARCH("库存为",AU359)))</formula>
    </cfRule>
  </conditionalFormatting>
  <conditionalFormatting sqref="AU360">
    <cfRule type="cellIs" dxfId="0" priority="2691" operator="lessThan">
      <formula>20</formula>
    </cfRule>
    <cfRule type="cellIs" dxfId="1" priority="1676" operator="greaterThan">
      <formula>120</formula>
    </cfRule>
    <cfRule type="containsText" dxfId="2" priority="661" operator="between" text="库存为">
      <formula>NOT(ISERROR(SEARCH("库存为",AU360)))</formula>
    </cfRule>
  </conditionalFormatting>
  <conditionalFormatting sqref="AU361">
    <cfRule type="cellIs" dxfId="0" priority="2690" operator="lessThan">
      <formula>20</formula>
    </cfRule>
    <cfRule type="cellIs" dxfId="1" priority="1675" operator="greaterThan">
      <formula>120</formula>
    </cfRule>
    <cfRule type="containsText" dxfId="2" priority="660" operator="between" text="库存为">
      <formula>NOT(ISERROR(SEARCH("库存为",AU361)))</formula>
    </cfRule>
  </conditionalFormatting>
  <conditionalFormatting sqref="AU362">
    <cfRule type="cellIs" dxfId="0" priority="2689" operator="lessThan">
      <formula>20</formula>
    </cfRule>
    <cfRule type="cellIs" dxfId="1" priority="1674" operator="greaterThan">
      <formula>120</formula>
    </cfRule>
    <cfRule type="containsText" dxfId="2" priority="659" operator="between" text="库存为">
      <formula>NOT(ISERROR(SEARCH("库存为",AU362)))</formula>
    </cfRule>
  </conditionalFormatting>
  <conditionalFormatting sqref="AU363">
    <cfRule type="cellIs" dxfId="0" priority="2688" operator="lessThan">
      <formula>20</formula>
    </cfRule>
    <cfRule type="cellIs" dxfId="1" priority="1673" operator="greaterThan">
      <formula>120</formula>
    </cfRule>
    <cfRule type="containsText" dxfId="2" priority="658" operator="between" text="库存为">
      <formula>NOT(ISERROR(SEARCH("库存为",AU363)))</formula>
    </cfRule>
  </conditionalFormatting>
  <conditionalFormatting sqref="AU364">
    <cfRule type="cellIs" dxfId="0" priority="2687" operator="lessThan">
      <formula>20</formula>
    </cfRule>
    <cfRule type="cellIs" dxfId="1" priority="1672" operator="greaterThan">
      <formula>120</formula>
    </cfRule>
    <cfRule type="containsText" dxfId="2" priority="657" operator="between" text="库存为">
      <formula>NOT(ISERROR(SEARCH("库存为",AU364)))</formula>
    </cfRule>
  </conditionalFormatting>
  <conditionalFormatting sqref="AU365">
    <cfRule type="cellIs" dxfId="0" priority="2686" operator="lessThan">
      <formula>20</formula>
    </cfRule>
    <cfRule type="cellIs" dxfId="1" priority="1671" operator="greaterThan">
      <formula>120</formula>
    </cfRule>
    <cfRule type="containsText" dxfId="2" priority="656" operator="between" text="库存为">
      <formula>NOT(ISERROR(SEARCH("库存为",AU365)))</formula>
    </cfRule>
  </conditionalFormatting>
  <conditionalFormatting sqref="AU366">
    <cfRule type="cellIs" dxfId="0" priority="2685" operator="lessThan">
      <formula>20</formula>
    </cfRule>
    <cfRule type="cellIs" dxfId="1" priority="1670" operator="greaterThan">
      <formula>120</formula>
    </cfRule>
    <cfRule type="containsText" dxfId="2" priority="655" operator="between" text="库存为">
      <formula>NOT(ISERROR(SEARCH("库存为",AU366)))</formula>
    </cfRule>
  </conditionalFormatting>
  <conditionalFormatting sqref="AU367">
    <cfRule type="cellIs" dxfId="0" priority="2684" operator="lessThan">
      <formula>20</formula>
    </cfRule>
    <cfRule type="cellIs" dxfId="1" priority="1669" operator="greaterThan">
      <formula>120</formula>
    </cfRule>
    <cfRule type="containsText" dxfId="2" priority="654" operator="between" text="库存为">
      <formula>NOT(ISERROR(SEARCH("库存为",AU367)))</formula>
    </cfRule>
  </conditionalFormatting>
  <conditionalFormatting sqref="AU368">
    <cfRule type="cellIs" dxfId="0" priority="2683" operator="lessThan">
      <formula>20</formula>
    </cfRule>
    <cfRule type="cellIs" dxfId="1" priority="1668" operator="greaterThan">
      <formula>120</formula>
    </cfRule>
    <cfRule type="containsText" dxfId="2" priority="653" operator="between" text="库存为">
      <formula>NOT(ISERROR(SEARCH("库存为",AU368)))</formula>
    </cfRule>
  </conditionalFormatting>
  <conditionalFormatting sqref="AU369">
    <cfRule type="cellIs" dxfId="0" priority="2682" operator="lessThan">
      <formula>20</formula>
    </cfRule>
    <cfRule type="cellIs" dxfId="1" priority="1667" operator="greaterThan">
      <formula>120</formula>
    </cfRule>
    <cfRule type="containsText" dxfId="2" priority="652" operator="between" text="库存为">
      <formula>NOT(ISERROR(SEARCH("库存为",AU369)))</formula>
    </cfRule>
  </conditionalFormatting>
  <conditionalFormatting sqref="AU370">
    <cfRule type="cellIs" dxfId="0" priority="2681" operator="lessThan">
      <formula>20</formula>
    </cfRule>
    <cfRule type="cellIs" dxfId="1" priority="1666" operator="greaterThan">
      <formula>120</formula>
    </cfRule>
    <cfRule type="containsText" dxfId="2" priority="651" operator="between" text="库存为">
      <formula>NOT(ISERROR(SEARCH("库存为",AU370)))</formula>
    </cfRule>
  </conditionalFormatting>
  <conditionalFormatting sqref="AU371">
    <cfRule type="cellIs" dxfId="0" priority="2680" operator="lessThan">
      <formula>20</formula>
    </cfRule>
    <cfRule type="cellIs" dxfId="1" priority="1665" operator="greaterThan">
      <formula>120</formula>
    </cfRule>
    <cfRule type="containsText" dxfId="2" priority="650" operator="between" text="库存为">
      <formula>NOT(ISERROR(SEARCH("库存为",AU371)))</formula>
    </cfRule>
  </conditionalFormatting>
  <conditionalFormatting sqref="AU372">
    <cfRule type="cellIs" dxfId="0" priority="2679" operator="lessThan">
      <formula>20</formula>
    </cfRule>
    <cfRule type="cellIs" dxfId="1" priority="1664" operator="greaterThan">
      <formula>120</formula>
    </cfRule>
    <cfRule type="containsText" dxfId="2" priority="649" operator="between" text="库存为">
      <formula>NOT(ISERROR(SEARCH("库存为",AU372)))</formula>
    </cfRule>
  </conditionalFormatting>
  <conditionalFormatting sqref="AU373">
    <cfRule type="cellIs" dxfId="0" priority="2678" operator="lessThan">
      <formula>20</formula>
    </cfRule>
    <cfRule type="cellIs" dxfId="1" priority="1663" operator="greaterThan">
      <formula>120</formula>
    </cfRule>
    <cfRule type="containsText" dxfId="2" priority="648" operator="between" text="库存为">
      <formula>NOT(ISERROR(SEARCH("库存为",AU373)))</formula>
    </cfRule>
  </conditionalFormatting>
  <conditionalFormatting sqref="AU374">
    <cfRule type="cellIs" dxfId="0" priority="2677" operator="lessThan">
      <formula>20</formula>
    </cfRule>
    <cfRule type="cellIs" dxfId="1" priority="1662" operator="greaterThan">
      <formula>120</formula>
    </cfRule>
    <cfRule type="containsText" dxfId="2" priority="647" operator="between" text="库存为">
      <formula>NOT(ISERROR(SEARCH("库存为",AU374)))</formula>
    </cfRule>
  </conditionalFormatting>
  <conditionalFormatting sqref="AU375">
    <cfRule type="cellIs" dxfId="0" priority="2676" operator="lessThan">
      <formula>20</formula>
    </cfRule>
    <cfRule type="cellIs" dxfId="1" priority="1661" operator="greaterThan">
      <formula>120</formula>
    </cfRule>
    <cfRule type="containsText" dxfId="2" priority="646" operator="between" text="库存为">
      <formula>NOT(ISERROR(SEARCH("库存为",AU375)))</formula>
    </cfRule>
  </conditionalFormatting>
  <conditionalFormatting sqref="AU376">
    <cfRule type="cellIs" dxfId="0" priority="2675" operator="lessThan">
      <formula>20</formula>
    </cfRule>
    <cfRule type="cellIs" dxfId="1" priority="1660" operator="greaterThan">
      <formula>120</formula>
    </cfRule>
    <cfRule type="containsText" dxfId="2" priority="645" operator="between" text="库存为">
      <formula>NOT(ISERROR(SEARCH("库存为",AU376)))</formula>
    </cfRule>
  </conditionalFormatting>
  <conditionalFormatting sqref="AU377">
    <cfRule type="cellIs" dxfId="0" priority="2674" operator="lessThan">
      <formula>20</formula>
    </cfRule>
    <cfRule type="cellIs" dxfId="1" priority="1659" operator="greaterThan">
      <formula>120</formula>
    </cfRule>
    <cfRule type="containsText" dxfId="2" priority="644" operator="between" text="库存为">
      <formula>NOT(ISERROR(SEARCH("库存为",AU377)))</formula>
    </cfRule>
  </conditionalFormatting>
  <conditionalFormatting sqref="AU378">
    <cfRule type="cellIs" dxfId="0" priority="2673" operator="lessThan">
      <formula>20</formula>
    </cfRule>
    <cfRule type="cellIs" dxfId="1" priority="1658" operator="greaterThan">
      <formula>120</formula>
    </cfRule>
    <cfRule type="containsText" dxfId="2" priority="643" operator="between" text="库存为">
      <formula>NOT(ISERROR(SEARCH("库存为",AU378)))</formula>
    </cfRule>
  </conditionalFormatting>
  <conditionalFormatting sqref="AU379">
    <cfRule type="cellIs" dxfId="0" priority="2672" operator="lessThan">
      <formula>20</formula>
    </cfRule>
    <cfRule type="cellIs" dxfId="1" priority="1657" operator="greaterThan">
      <formula>120</formula>
    </cfRule>
    <cfRule type="containsText" dxfId="2" priority="642" operator="between" text="库存为">
      <formula>NOT(ISERROR(SEARCH("库存为",AU379)))</formula>
    </cfRule>
  </conditionalFormatting>
  <conditionalFormatting sqref="AU380">
    <cfRule type="cellIs" dxfId="0" priority="2671" operator="lessThan">
      <formula>20</formula>
    </cfRule>
    <cfRule type="cellIs" dxfId="1" priority="1656" operator="greaterThan">
      <formula>120</formula>
    </cfRule>
    <cfRule type="containsText" dxfId="2" priority="641" operator="between" text="库存为">
      <formula>NOT(ISERROR(SEARCH("库存为",AU380)))</formula>
    </cfRule>
  </conditionalFormatting>
  <conditionalFormatting sqref="AU381">
    <cfRule type="cellIs" dxfId="0" priority="2670" operator="lessThan">
      <formula>20</formula>
    </cfRule>
    <cfRule type="cellIs" dxfId="1" priority="1655" operator="greaterThan">
      <formula>120</formula>
    </cfRule>
    <cfRule type="containsText" dxfId="2" priority="640" operator="between" text="库存为">
      <formula>NOT(ISERROR(SEARCH("库存为",AU381)))</formula>
    </cfRule>
  </conditionalFormatting>
  <conditionalFormatting sqref="AU382">
    <cfRule type="cellIs" dxfId="0" priority="2669" operator="lessThan">
      <formula>20</formula>
    </cfRule>
    <cfRule type="cellIs" dxfId="1" priority="1654" operator="greaterThan">
      <formula>120</formula>
    </cfRule>
    <cfRule type="containsText" dxfId="2" priority="639" operator="between" text="库存为">
      <formula>NOT(ISERROR(SEARCH("库存为",AU382)))</formula>
    </cfRule>
  </conditionalFormatting>
  <conditionalFormatting sqref="AU383">
    <cfRule type="cellIs" dxfId="0" priority="2668" operator="lessThan">
      <formula>20</formula>
    </cfRule>
    <cfRule type="cellIs" dxfId="1" priority="1653" operator="greaterThan">
      <formula>120</formula>
    </cfRule>
    <cfRule type="containsText" dxfId="2" priority="638" operator="between" text="库存为">
      <formula>NOT(ISERROR(SEARCH("库存为",AU383)))</formula>
    </cfRule>
  </conditionalFormatting>
  <conditionalFormatting sqref="AU384">
    <cfRule type="cellIs" dxfId="0" priority="2667" operator="lessThan">
      <formula>20</formula>
    </cfRule>
    <cfRule type="cellIs" dxfId="1" priority="1652" operator="greaterThan">
      <formula>120</formula>
    </cfRule>
    <cfRule type="containsText" dxfId="2" priority="637" operator="between" text="库存为">
      <formula>NOT(ISERROR(SEARCH("库存为",AU384)))</formula>
    </cfRule>
  </conditionalFormatting>
  <conditionalFormatting sqref="AU385">
    <cfRule type="cellIs" dxfId="0" priority="2666" operator="lessThan">
      <formula>20</formula>
    </cfRule>
    <cfRule type="cellIs" dxfId="1" priority="1651" operator="greaterThan">
      <formula>120</formula>
    </cfRule>
    <cfRule type="containsText" dxfId="2" priority="636" operator="between" text="库存为">
      <formula>NOT(ISERROR(SEARCH("库存为",AU385)))</formula>
    </cfRule>
  </conditionalFormatting>
  <conditionalFormatting sqref="AU386">
    <cfRule type="cellIs" dxfId="0" priority="2665" operator="lessThan">
      <formula>20</formula>
    </cfRule>
    <cfRule type="cellIs" dxfId="1" priority="1650" operator="greaterThan">
      <formula>120</formula>
    </cfRule>
    <cfRule type="containsText" dxfId="2" priority="635" operator="between" text="库存为">
      <formula>NOT(ISERROR(SEARCH("库存为",AU386)))</formula>
    </cfRule>
  </conditionalFormatting>
  <conditionalFormatting sqref="AU387">
    <cfRule type="cellIs" dxfId="0" priority="2664" operator="lessThan">
      <formula>20</formula>
    </cfRule>
    <cfRule type="cellIs" dxfId="1" priority="1649" operator="greaterThan">
      <formula>120</formula>
    </cfRule>
    <cfRule type="containsText" dxfId="2" priority="634" operator="between" text="库存为">
      <formula>NOT(ISERROR(SEARCH("库存为",AU387)))</formula>
    </cfRule>
  </conditionalFormatting>
  <conditionalFormatting sqref="AU388">
    <cfRule type="cellIs" dxfId="0" priority="2663" operator="lessThan">
      <formula>20</formula>
    </cfRule>
    <cfRule type="cellIs" dxfId="1" priority="1648" operator="greaterThan">
      <formula>120</formula>
    </cfRule>
    <cfRule type="containsText" dxfId="2" priority="633" operator="between" text="库存为">
      <formula>NOT(ISERROR(SEARCH("库存为",AU388)))</formula>
    </cfRule>
  </conditionalFormatting>
  <conditionalFormatting sqref="AU389">
    <cfRule type="cellIs" dxfId="0" priority="2662" operator="lessThan">
      <formula>20</formula>
    </cfRule>
    <cfRule type="cellIs" dxfId="1" priority="1647" operator="greaterThan">
      <formula>120</formula>
    </cfRule>
    <cfRule type="containsText" dxfId="2" priority="632" operator="between" text="库存为">
      <formula>NOT(ISERROR(SEARCH("库存为",AU389)))</formula>
    </cfRule>
  </conditionalFormatting>
  <conditionalFormatting sqref="AU390">
    <cfRule type="cellIs" dxfId="0" priority="2661" operator="lessThan">
      <formula>20</formula>
    </cfRule>
    <cfRule type="cellIs" dxfId="1" priority="1646" operator="greaterThan">
      <formula>120</formula>
    </cfRule>
    <cfRule type="containsText" dxfId="2" priority="631" operator="between" text="库存为">
      <formula>NOT(ISERROR(SEARCH("库存为",AU390)))</formula>
    </cfRule>
  </conditionalFormatting>
  <conditionalFormatting sqref="AU391">
    <cfRule type="cellIs" dxfId="0" priority="2660" operator="lessThan">
      <formula>20</formula>
    </cfRule>
    <cfRule type="cellIs" dxfId="1" priority="1645" operator="greaterThan">
      <formula>120</formula>
    </cfRule>
    <cfRule type="containsText" dxfId="2" priority="630" operator="between" text="库存为">
      <formula>NOT(ISERROR(SEARCH("库存为",AU391)))</formula>
    </cfRule>
  </conditionalFormatting>
  <conditionalFormatting sqref="AU392">
    <cfRule type="cellIs" dxfId="0" priority="2659" operator="lessThan">
      <formula>20</formula>
    </cfRule>
    <cfRule type="cellIs" dxfId="1" priority="1644" operator="greaterThan">
      <formula>120</formula>
    </cfRule>
    <cfRule type="containsText" dxfId="2" priority="629" operator="between" text="库存为">
      <formula>NOT(ISERROR(SEARCH("库存为",AU392)))</formula>
    </cfRule>
  </conditionalFormatting>
  <conditionalFormatting sqref="AU393">
    <cfRule type="cellIs" dxfId="0" priority="2658" operator="lessThan">
      <formula>20</formula>
    </cfRule>
    <cfRule type="cellIs" dxfId="1" priority="1643" operator="greaterThan">
      <formula>120</formula>
    </cfRule>
    <cfRule type="containsText" dxfId="2" priority="628" operator="between" text="库存为">
      <formula>NOT(ISERROR(SEARCH("库存为",AU393)))</formula>
    </cfRule>
  </conditionalFormatting>
  <conditionalFormatting sqref="AU394">
    <cfRule type="cellIs" dxfId="0" priority="2657" operator="lessThan">
      <formula>20</formula>
    </cfRule>
    <cfRule type="cellIs" dxfId="1" priority="1642" operator="greaterThan">
      <formula>120</formula>
    </cfRule>
    <cfRule type="containsText" dxfId="2" priority="627" operator="between" text="库存为">
      <formula>NOT(ISERROR(SEARCH("库存为",AU394)))</formula>
    </cfRule>
  </conditionalFormatting>
  <conditionalFormatting sqref="AU395">
    <cfRule type="cellIs" dxfId="0" priority="2656" operator="lessThan">
      <formula>20</formula>
    </cfRule>
    <cfRule type="cellIs" dxfId="1" priority="1641" operator="greaterThan">
      <formula>120</formula>
    </cfRule>
    <cfRule type="containsText" dxfId="2" priority="626" operator="between" text="库存为">
      <formula>NOT(ISERROR(SEARCH("库存为",AU395)))</formula>
    </cfRule>
  </conditionalFormatting>
  <conditionalFormatting sqref="AU396">
    <cfRule type="cellIs" dxfId="0" priority="2655" operator="lessThan">
      <formula>20</formula>
    </cfRule>
    <cfRule type="cellIs" dxfId="1" priority="1640" operator="greaterThan">
      <formula>120</formula>
    </cfRule>
    <cfRule type="containsText" dxfId="2" priority="625" operator="between" text="库存为">
      <formula>NOT(ISERROR(SEARCH("库存为",AU396)))</formula>
    </cfRule>
  </conditionalFormatting>
  <conditionalFormatting sqref="AU397">
    <cfRule type="cellIs" dxfId="0" priority="2654" operator="lessThan">
      <formula>20</formula>
    </cfRule>
    <cfRule type="cellIs" dxfId="1" priority="1639" operator="greaterThan">
      <formula>120</formula>
    </cfRule>
    <cfRule type="containsText" dxfId="2" priority="624" operator="between" text="库存为">
      <formula>NOT(ISERROR(SEARCH("库存为",AU397)))</formula>
    </cfRule>
  </conditionalFormatting>
  <conditionalFormatting sqref="AU398">
    <cfRule type="cellIs" dxfId="0" priority="2653" operator="lessThan">
      <formula>20</formula>
    </cfRule>
    <cfRule type="cellIs" dxfId="1" priority="1638" operator="greaterThan">
      <formula>120</formula>
    </cfRule>
    <cfRule type="containsText" dxfId="2" priority="623" operator="between" text="库存为">
      <formula>NOT(ISERROR(SEARCH("库存为",AU398)))</formula>
    </cfRule>
  </conditionalFormatting>
  <conditionalFormatting sqref="AU399">
    <cfRule type="cellIs" dxfId="0" priority="2652" operator="lessThan">
      <formula>20</formula>
    </cfRule>
    <cfRule type="cellIs" dxfId="1" priority="1637" operator="greaterThan">
      <formula>120</formula>
    </cfRule>
    <cfRule type="containsText" dxfId="2" priority="622" operator="between" text="库存为">
      <formula>NOT(ISERROR(SEARCH("库存为",AU399)))</formula>
    </cfRule>
  </conditionalFormatting>
  <conditionalFormatting sqref="AU400">
    <cfRule type="cellIs" dxfId="0" priority="2651" operator="lessThan">
      <formula>20</formula>
    </cfRule>
    <cfRule type="cellIs" dxfId="1" priority="1636" operator="greaterThan">
      <formula>120</formula>
    </cfRule>
    <cfRule type="containsText" dxfId="2" priority="621" operator="between" text="库存为">
      <formula>NOT(ISERROR(SEARCH("库存为",AU400)))</formula>
    </cfRule>
  </conditionalFormatting>
  <conditionalFormatting sqref="AU401">
    <cfRule type="cellIs" dxfId="0" priority="2650" operator="lessThan">
      <formula>20</formula>
    </cfRule>
    <cfRule type="cellIs" dxfId="1" priority="1635" operator="greaterThan">
      <formula>120</formula>
    </cfRule>
    <cfRule type="containsText" dxfId="2" priority="620" operator="between" text="库存为">
      <formula>NOT(ISERROR(SEARCH("库存为",AU401)))</formula>
    </cfRule>
  </conditionalFormatting>
  <conditionalFormatting sqref="AU402">
    <cfRule type="cellIs" dxfId="0" priority="2649" operator="lessThan">
      <formula>20</formula>
    </cfRule>
    <cfRule type="cellIs" dxfId="1" priority="1634" operator="greaterThan">
      <formula>120</formula>
    </cfRule>
    <cfRule type="containsText" dxfId="2" priority="619" operator="between" text="库存为">
      <formula>NOT(ISERROR(SEARCH("库存为",AU402)))</formula>
    </cfRule>
  </conditionalFormatting>
  <conditionalFormatting sqref="AU403">
    <cfRule type="cellIs" dxfId="0" priority="2648" operator="lessThan">
      <formula>20</formula>
    </cfRule>
    <cfRule type="cellIs" dxfId="1" priority="1633" operator="greaterThan">
      <formula>120</formula>
    </cfRule>
    <cfRule type="containsText" dxfId="2" priority="618" operator="between" text="库存为">
      <formula>NOT(ISERROR(SEARCH("库存为",AU403)))</formula>
    </cfRule>
  </conditionalFormatting>
  <conditionalFormatting sqref="AU404">
    <cfRule type="cellIs" dxfId="0" priority="2647" operator="lessThan">
      <formula>20</formula>
    </cfRule>
    <cfRule type="cellIs" dxfId="1" priority="1632" operator="greaterThan">
      <formula>120</formula>
    </cfRule>
    <cfRule type="containsText" dxfId="2" priority="617" operator="between" text="库存为">
      <formula>NOT(ISERROR(SEARCH("库存为",AU404)))</formula>
    </cfRule>
  </conditionalFormatting>
  <conditionalFormatting sqref="AU405">
    <cfRule type="cellIs" dxfId="0" priority="2646" operator="lessThan">
      <formula>20</formula>
    </cfRule>
    <cfRule type="cellIs" dxfId="1" priority="1631" operator="greaterThan">
      <formula>120</formula>
    </cfRule>
    <cfRule type="containsText" dxfId="2" priority="616" operator="between" text="库存为">
      <formula>NOT(ISERROR(SEARCH("库存为",AU405)))</formula>
    </cfRule>
  </conditionalFormatting>
  <conditionalFormatting sqref="AU406">
    <cfRule type="cellIs" dxfId="0" priority="2645" operator="lessThan">
      <formula>20</formula>
    </cfRule>
    <cfRule type="cellIs" dxfId="1" priority="1630" operator="greaterThan">
      <formula>120</formula>
    </cfRule>
    <cfRule type="containsText" dxfId="2" priority="615" operator="between" text="库存为">
      <formula>NOT(ISERROR(SEARCH("库存为",AU406)))</formula>
    </cfRule>
  </conditionalFormatting>
  <conditionalFormatting sqref="AU407">
    <cfRule type="cellIs" dxfId="0" priority="2644" operator="lessThan">
      <formula>20</formula>
    </cfRule>
    <cfRule type="cellIs" dxfId="1" priority="1629" operator="greaterThan">
      <formula>120</formula>
    </cfRule>
    <cfRule type="containsText" dxfId="2" priority="614" operator="between" text="库存为">
      <formula>NOT(ISERROR(SEARCH("库存为",AU407)))</formula>
    </cfRule>
  </conditionalFormatting>
  <conditionalFormatting sqref="AU408">
    <cfRule type="cellIs" dxfId="0" priority="2643" operator="lessThan">
      <formula>20</formula>
    </cfRule>
    <cfRule type="cellIs" dxfId="1" priority="1628" operator="greaterThan">
      <formula>120</formula>
    </cfRule>
    <cfRule type="containsText" dxfId="2" priority="613" operator="between" text="库存为">
      <formula>NOT(ISERROR(SEARCH("库存为",AU408)))</formula>
    </cfRule>
  </conditionalFormatting>
  <conditionalFormatting sqref="AU409">
    <cfRule type="cellIs" dxfId="0" priority="2642" operator="lessThan">
      <formula>20</formula>
    </cfRule>
    <cfRule type="cellIs" dxfId="1" priority="1627" operator="greaterThan">
      <formula>120</formula>
    </cfRule>
    <cfRule type="containsText" dxfId="2" priority="612" operator="between" text="库存为">
      <formula>NOT(ISERROR(SEARCH("库存为",AU409)))</formula>
    </cfRule>
  </conditionalFormatting>
  <conditionalFormatting sqref="AU410">
    <cfRule type="cellIs" dxfId="0" priority="2641" operator="lessThan">
      <formula>20</formula>
    </cfRule>
    <cfRule type="cellIs" dxfId="1" priority="1626" operator="greaterThan">
      <formula>120</formula>
    </cfRule>
    <cfRule type="containsText" dxfId="2" priority="611" operator="between" text="库存为">
      <formula>NOT(ISERROR(SEARCH("库存为",AU410)))</formula>
    </cfRule>
  </conditionalFormatting>
  <conditionalFormatting sqref="AU411">
    <cfRule type="cellIs" dxfId="0" priority="2640" operator="lessThan">
      <formula>20</formula>
    </cfRule>
    <cfRule type="cellIs" dxfId="1" priority="1625" operator="greaterThan">
      <formula>120</formula>
    </cfRule>
    <cfRule type="containsText" dxfId="2" priority="610" operator="between" text="库存为">
      <formula>NOT(ISERROR(SEARCH("库存为",AU411)))</formula>
    </cfRule>
  </conditionalFormatting>
  <conditionalFormatting sqref="AU412">
    <cfRule type="cellIs" dxfId="0" priority="2639" operator="lessThan">
      <formula>20</formula>
    </cfRule>
    <cfRule type="cellIs" dxfId="1" priority="1624" operator="greaterThan">
      <formula>120</formula>
    </cfRule>
    <cfRule type="containsText" dxfId="2" priority="609" operator="between" text="库存为">
      <formula>NOT(ISERROR(SEARCH("库存为",AU412)))</formula>
    </cfRule>
  </conditionalFormatting>
  <conditionalFormatting sqref="AU413">
    <cfRule type="cellIs" dxfId="0" priority="2638" operator="lessThan">
      <formula>20</formula>
    </cfRule>
    <cfRule type="cellIs" dxfId="1" priority="1623" operator="greaterThan">
      <formula>120</formula>
    </cfRule>
    <cfRule type="containsText" dxfId="2" priority="608" operator="between" text="库存为">
      <formula>NOT(ISERROR(SEARCH("库存为",AU413)))</formula>
    </cfRule>
  </conditionalFormatting>
  <conditionalFormatting sqref="AU414">
    <cfRule type="cellIs" dxfId="0" priority="2637" operator="lessThan">
      <formula>20</formula>
    </cfRule>
    <cfRule type="cellIs" dxfId="1" priority="1622" operator="greaterThan">
      <formula>120</formula>
    </cfRule>
    <cfRule type="containsText" dxfId="2" priority="607" operator="between" text="库存为">
      <formula>NOT(ISERROR(SEARCH("库存为",AU414)))</formula>
    </cfRule>
  </conditionalFormatting>
  <conditionalFormatting sqref="AU415">
    <cfRule type="cellIs" dxfId="0" priority="2636" operator="lessThan">
      <formula>20</formula>
    </cfRule>
    <cfRule type="cellIs" dxfId="1" priority="1621" operator="greaterThan">
      <formula>120</formula>
    </cfRule>
    <cfRule type="containsText" dxfId="2" priority="606" operator="between" text="库存为">
      <formula>NOT(ISERROR(SEARCH("库存为",AU415)))</formula>
    </cfRule>
  </conditionalFormatting>
  <conditionalFormatting sqref="AU416">
    <cfRule type="cellIs" dxfId="0" priority="2635" operator="lessThan">
      <formula>20</formula>
    </cfRule>
    <cfRule type="cellIs" dxfId="1" priority="1620" operator="greaterThan">
      <formula>120</formula>
    </cfRule>
    <cfRule type="containsText" dxfId="2" priority="605" operator="between" text="库存为">
      <formula>NOT(ISERROR(SEARCH("库存为",AU416)))</formula>
    </cfRule>
  </conditionalFormatting>
  <conditionalFormatting sqref="AU417">
    <cfRule type="cellIs" dxfId="0" priority="2634" operator="lessThan">
      <formula>20</formula>
    </cfRule>
    <cfRule type="cellIs" dxfId="1" priority="1619" operator="greaterThan">
      <formula>120</formula>
    </cfRule>
    <cfRule type="containsText" dxfId="2" priority="604" operator="between" text="库存为">
      <formula>NOT(ISERROR(SEARCH("库存为",AU417)))</formula>
    </cfRule>
  </conditionalFormatting>
  <conditionalFormatting sqref="AU418">
    <cfRule type="cellIs" dxfId="0" priority="2633" operator="lessThan">
      <formula>20</formula>
    </cfRule>
    <cfRule type="cellIs" dxfId="1" priority="1618" operator="greaterThan">
      <formula>120</formula>
    </cfRule>
    <cfRule type="containsText" dxfId="2" priority="603" operator="between" text="库存为">
      <formula>NOT(ISERROR(SEARCH("库存为",AU418)))</formula>
    </cfRule>
  </conditionalFormatting>
  <conditionalFormatting sqref="AU419">
    <cfRule type="cellIs" dxfId="0" priority="2632" operator="lessThan">
      <formula>20</formula>
    </cfRule>
    <cfRule type="cellIs" dxfId="1" priority="1617" operator="greaterThan">
      <formula>120</formula>
    </cfRule>
    <cfRule type="containsText" dxfId="2" priority="602" operator="between" text="库存为">
      <formula>NOT(ISERROR(SEARCH("库存为",AU419)))</formula>
    </cfRule>
  </conditionalFormatting>
  <conditionalFormatting sqref="AU420">
    <cfRule type="cellIs" dxfId="0" priority="2631" operator="lessThan">
      <formula>20</formula>
    </cfRule>
    <cfRule type="cellIs" dxfId="1" priority="1616" operator="greaterThan">
      <formula>120</formula>
    </cfRule>
    <cfRule type="containsText" dxfId="2" priority="601" operator="between" text="库存为">
      <formula>NOT(ISERROR(SEARCH("库存为",AU420)))</formula>
    </cfRule>
  </conditionalFormatting>
  <conditionalFormatting sqref="AU421">
    <cfRule type="cellIs" dxfId="0" priority="2630" operator="lessThan">
      <formula>20</formula>
    </cfRule>
    <cfRule type="cellIs" dxfId="1" priority="1615" operator="greaterThan">
      <formula>120</formula>
    </cfRule>
    <cfRule type="containsText" dxfId="2" priority="600" operator="between" text="库存为">
      <formula>NOT(ISERROR(SEARCH("库存为",AU421)))</formula>
    </cfRule>
  </conditionalFormatting>
  <conditionalFormatting sqref="AU422">
    <cfRule type="cellIs" dxfId="0" priority="2629" operator="lessThan">
      <formula>20</formula>
    </cfRule>
    <cfRule type="cellIs" dxfId="1" priority="1614" operator="greaterThan">
      <formula>120</formula>
    </cfRule>
    <cfRule type="containsText" dxfId="2" priority="599" operator="between" text="库存为">
      <formula>NOT(ISERROR(SEARCH("库存为",AU422)))</formula>
    </cfRule>
  </conditionalFormatting>
  <conditionalFormatting sqref="AU423">
    <cfRule type="cellIs" dxfId="0" priority="2628" operator="lessThan">
      <formula>20</formula>
    </cfRule>
    <cfRule type="cellIs" dxfId="1" priority="1613" operator="greaterThan">
      <formula>120</formula>
    </cfRule>
    <cfRule type="containsText" dxfId="2" priority="598" operator="between" text="库存为">
      <formula>NOT(ISERROR(SEARCH("库存为",AU423)))</formula>
    </cfRule>
  </conditionalFormatting>
  <conditionalFormatting sqref="AU424">
    <cfRule type="cellIs" dxfId="0" priority="2627" operator="lessThan">
      <formula>20</formula>
    </cfRule>
    <cfRule type="cellIs" dxfId="1" priority="1612" operator="greaterThan">
      <formula>120</formula>
    </cfRule>
    <cfRule type="containsText" dxfId="2" priority="597" operator="between" text="库存为">
      <formula>NOT(ISERROR(SEARCH("库存为",AU424)))</formula>
    </cfRule>
  </conditionalFormatting>
  <conditionalFormatting sqref="AU425">
    <cfRule type="cellIs" dxfId="0" priority="2626" operator="lessThan">
      <formula>20</formula>
    </cfRule>
    <cfRule type="cellIs" dxfId="1" priority="1611" operator="greaterThan">
      <formula>120</formula>
    </cfRule>
    <cfRule type="containsText" dxfId="2" priority="596" operator="between" text="库存为">
      <formula>NOT(ISERROR(SEARCH("库存为",AU425)))</formula>
    </cfRule>
  </conditionalFormatting>
  <conditionalFormatting sqref="AU426">
    <cfRule type="cellIs" dxfId="0" priority="2625" operator="lessThan">
      <formula>20</formula>
    </cfRule>
    <cfRule type="cellIs" dxfId="1" priority="1610" operator="greaterThan">
      <formula>120</formula>
    </cfRule>
    <cfRule type="containsText" dxfId="2" priority="595" operator="between" text="库存为">
      <formula>NOT(ISERROR(SEARCH("库存为",AU426)))</formula>
    </cfRule>
  </conditionalFormatting>
  <conditionalFormatting sqref="AU427">
    <cfRule type="cellIs" dxfId="0" priority="2624" operator="lessThan">
      <formula>20</formula>
    </cfRule>
    <cfRule type="cellIs" dxfId="1" priority="1609" operator="greaterThan">
      <formula>120</formula>
    </cfRule>
    <cfRule type="containsText" dxfId="2" priority="594" operator="between" text="库存为">
      <formula>NOT(ISERROR(SEARCH("库存为",AU427)))</formula>
    </cfRule>
  </conditionalFormatting>
  <conditionalFormatting sqref="AU428">
    <cfRule type="cellIs" dxfId="0" priority="2623" operator="lessThan">
      <formula>20</formula>
    </cfRule>
    <cfRule type="cellIs" dxfId="1" priority="1608" operator="greaterThan">
      <formula>120</formula>
    </cfRule>
    <cfRule type="containsText" dxfId="2" priority="593" operator="between" text="库存为">
      <formula>NOT(ISERROR(SEARCH("库存为",AU428)))</formula>
    </cfRule>
  </conditionalFormatting>
  <conditionalFormatting sqref="AU429">
    <cfRule type="cellIs" dxfId="0" priority="2622" operator="lessThan">
      <formula>20</formula>
    </cfRule>
    <cfRule type="cellIs" dxfId="1" priority="1607" operator="greaterThan">
      <formula>120</formula>
    </cfRule>
    <cfRule type="containsText" dxfId="2" priority="592" operator="between" text="库存为">
      <formula>NOT(ISERROR(SEARCH("库存为",AU429)))</formula>
    </cfRule>
  </conditionalFormatting>
  <conditionalFormatting sqref="AU430">
    <cfRule type="cellIs" dxfId="0" priority="2621" operator="lessThan">
      <formula>20</formula>
    </cfRule>
    <cfRule type="cellIs" dxfId="1" priority="1606" operator="greaterThan">
      <formula>120</formula>
    </cfRule>
    <cfRule type="containsText" dxfId="2" priority="591" operator="between" text="库存为">
      <formula>NOT(ISERROR(SEARCH("库存为",AU430)))</formula>
    </cfRule>
  </conditionalFormatting>
  <conditionalFormatting sqref="AU431">
    <cfRule type="cellIs" dxfId="0" priority="2620" operator="lessThan">
      <formula>20</formula>
    </cfRule>
    <cfRule type="cellIs" dxfId="1" priority="1605" operator="greaterThan">
      <formula>120</formula>
    </cfRule>
    <cfRule type="containsText" dxfId="2" priority="590" operator="between" text="库存为">
      <formula>NOT(ISERROR(SEARCH("库存为",AU431)))</formula>
    </cfRule>
  </conditionalFormatting>
  <conditionalFormatting sqref="AU432">
    <cfRule type="cellIs" dxfId="0" priority="2619" operator="lessThan">
      <formula>20</formula>
    </cfRule>
    <cfRule type="cellIs" dxfId="1" priority="1604" operator="greaterThan">
      <formula>120</formula>
    </cfRule>
    <cfRule type="containsText" dxfId="2" priority="589" operator="between" text="库存为">
      <formula>NOT(ISERROR(SEARCH("库存为",AU432)))</formula>
    </cfRule>
  </conditionalFormatting>
  <conditionalFormatting sqref="AU433">
    <cfRule type="cellIs" dxfId="0" priority="2618" operator="lessThan">
      <formula>20</formula>
    </cfRule>
    <cfRule type="cellIs" dxfId="1" priority="1603" operator="greaterThan">
      <formula>120</formula>
    </cfRule>
    <cfRule type="containsText" dxfId="2" priority="588" operator="between" text="库存为">
      <formula>NOT(ISERROR(SEARCH("库存为",AU433)))</formula>
    </cfRule>
  </conditionalFormatting>
  <conditionalFormatting sqref="AU434">
    <cfRule type="cellIs" dxfId="0" priority="2617" operator="lessThan">
      <formula>20</formula>
    </cfRule>
    <cfRule type="cellIs" dxfId="1" priority="1602" operator="greaterThan">
      <formula>120</formula>
    </cfRule>
    <cfRule type="containsText" dxfId="2" priority="587" operator="between" text="库存为">
      <formula>NOT(ISERROR(SEARCH("库存为",AU434)))</formula>
    </cfRule>
  </conditionalFormatting>
  <conditionalFormatting sqref="AU435">
    <cfRule type="cellIs" dxfId="0" priority="2616" operator="lessThan">
      <formula>20</formula>
    </cfRule>
    <cfRule type="cellIs" dxfId="1" priority="1601" operator="greaterThan">
      <formula>120</formula>
    </cfRule>
    <cfRule type="containsText" dxfId="2" priority="586" operator="between" text="库存为">
      <formula>NOT(ISERROR(SEARCH("库存为",AU435)))</formula>
    </cfRule>
  </conditionalFormatting>
  <conditionalFormatting sqref="AU436">
    <cfRule type="cellIs" dxfId="0" priority="2615" operator="lessThan">
      <formula>20</formula>
    </cfRule>
    <cfRule type="cellIs" dxfId="1" priority="1600" operator="greaterThan">
      <formula>120</formula>
    </cfRule>
    <cfRule type="containsText" dxfId="2" priority="585" operator="between" text="库存为">
      <formula>NOT(ISERROR(SEARCH("库存为",AU436)))</formula>
    </cfRule>
  </conditionalFormatting>
  <conditionalFormatting sqref="AU437">
    <cfRule type="cellIs" dxfId="0" priority="2614" operator="lessThan">
      <formula>20</formula>
    </cfRule>
    <cfRule type="cellIs" dxfId="1" priority="1599" operator="greaterThan">
      <formula>120</formula>
    </cfRule>
    <cfRule type="containsText" dxfId="2" priority="584" operator="between" text="库存为">
      <formula>NOT(ISERROR(SEARCH("库存为",AU437)))</formula>
    </cfRule>
  </conditionalFormatting>
  <conditionalFormatting sqref="AU438">
    <cfRule type="cellIs" dxfId="0" priority="2613" operator="lessThan">
      <formula>20</formula>
    </cfRule>
    <cfRule type="cellIs" dxfId="1" priority="1598" operator="greaterThan">
      <formula>120</formula>
    </cfRule>
    <cfRule type="containsText" dxfId="2" priority="583" operator="between" text="库存为">
      <formula>NOT(ISERROR(SEARCH("库存为",AU438)))</formula>
    </cfRule>
  </conditionalFormatting>
  <conditionalFormatting sqref="AU439">
    <cfRule type="cellIs" dxfId="0" priority="2612" operator="lessThan">
      <formula>20</formula>
    </cfRule>
    <cfRule type="cellIs" dxfId="1" priority="1597" operator="greaterThan">
      <formula>120</formula>
    </cfRule>
    <cfRule type="containsText" dxfId="2" priority="582" operator="between" text="库存为">
      <formula>NOT(ISERROR(SEARCH("库存为",AU439)))</formula>
    </cfRule>
  </conditionalFormatting>
  <conditionalFormatting sqref="AU440">
    <cfRule type="cellIs" dxfId="0" priority="2611" operator="lessThan">
      <formula>20</formula>
    </cfRule>
    <cfRule type="cellIs" dxfId="1" priority="1596" operator="greaterThan">
      <formula>120</formula>
    </cfRule>
    <cfRule type="containsText" dxfId="2" priority="581" operator="between" text="库存为">
      <formula>NOT(ISERROR(SEARCH("库存为",AU440)))</formula>
    </cfRule>
  </conditionalFormatting>
  <conditionalFormatting sqref="AU441">
    <cfRule type="cellIs" dxfId="0" priority="2610" operator="lessThan">
      <formula>20</formula>
    </cfRule>
    <cfRule type="cellIs" dxfId="1" priority="1595" operator="greaterThan">
      <formula>120</formula>
    </cfRule>
    <cfRule type="containsText" dxfId="2" priority="580" operator="between" text="库存为">
      <formula>NOT(ISERROR(SEARCH("库存为",AU441)))</formula>
    </cfRule>
  </conditionalFormatting>
  <conditionalFormatting sqref="AU442">
    <cfRule type="cellIs" dxfId="0" priority="2609" operator="lessThan">
      <formula>20</formula>
    </cfRule>
    <cfRule type="cellIs" dxfId="1" priority="1594" operator="greaterThan">
      <formula>120</formula>
    </cfRule>
    <cfRule type="containsText" dxfId="2" priority="579" operator="between" text="库存为">
      <formula>NOT(ISERROR(SEARCH("库存为",AU442)))</formula>
    </cfRule>
  </conditionalFormatting>
  <conditionalFormatting sqref="AU443">
    <cfRule type="cellIs" dxfId="0" priority="2608" operator="lessThan">
      <formula>20</formula>
    </cfRule>
    <cfRule type="cellIs" dxfId="1" priority="1593" operator="greaterThan">
      <formula>120</formula>
    </cfRule>
    <cfRule type="containsText" dxfId="2" priority="578" operator="between" text="库存为">
      <formula>NOT(ISERROR(SEARCH("库存为",AU443)))</formula>
    </cfRule>
  </conditionalFormatting>
  <conditionalFormatting sqref="AU444">
    <cfRule type="cellIs" dxfId="0" priority="2607" operator="lessThan">
      <formula>20</formula>
    </cfRule>
    <cfRule type="cellIs" dxfId="1" priority="1592" operator="greaterThan">
      <formula>120</formula>
    </cfRule>
    <cfRule type="containsText" dxfId="2" priority="577" operator="between" text="库存为">
      <formula>NOT(ISERROR(SEARCH("库存为",AU444)))</formula>
    </cfRule>
  </conditionalFormatting>
  <conditionalFormatting sqref="AU445">
    <cfRule type="cellIs" dxfId="0" priority="2606" operator="lessThan">
      <formula>20</formula>
    </cfRule>
    <cfRule type="cellIs" dxfId="1" priority="1591" operator="greaterThan">
      <formula>120</formula>
    </cfRule>
    <cfRule type="containsText" dxfId="2" priority="576" operator="between" text="库存为">
      <formula>NOT(ISERROR(SEARCH("库存为",AU445)))</formula>
    </cfRule>
  </conditionalFormatting>
  <conditionalFormatting sqref="AU446">
    <cfRule type="cellIs" dxfId="0" priority="2605" operator="lessThan">
      <formula>20</formula>
    </cfRule>
    <cfRule type="cellIs" dxfId="1" priority="1590" operator="greaterThan">
      <formula>120</formula>
    </cfRule>
    <cfRule type="containsText" dxfId="2" priority="575" operator="between" text="库存为">
      <formula>NOT(ISERROR(SEARCH("库存为",AU446)))</formula>
    </cfRule>
  </conditionalFormatting>
  <conditionalFormatting sqref="AU447">
    <cfRule type="cellIs" dxfId="0" priority="2604" operator="lessThan">
      <formula>20</formula>
    </cfRule>
    <cfRule type="cellIs" dxfId="1" priority="1589" operator="greaterThan">
      <formula>120</formula>
    </cfRule>
    <cfRule type="containsText" dxfId="2" priority="574" operator="between" text="库存为">
      <formula>NOT(ISERROR(SEARCH("库存为",AU447)))</formula>
    </cfRule>
  </conditionalFormatting>
  <conditionalFormatting sqref="AU448">
    <cfRule type="cellIs" dxfId="0" priority="2603" operator="lessThan">
      <formula>20</formula>
    </cfRule>
    <cfRule type="cellIs" dxfId="1" priority="1588" operator="greaterThan">
      <formula>120</formula>
    </cfRule>
    <cfRule type="containsText" dxfId="2" priority="573" operator="between" text="库存为">
      <formula>NOT(ISERROR(SEARCH("库存为",AU448)))</formula>
    </cfRule>
  </conditionalFormatting>
  <conditionalFormatting sqref="AU449">
    <cfRule type="cellIs" dxfId="0" priority="2602" operator="lessThan">
      <formula>20</formula>
    </cfRule>
    <cfRule type="cellIs" dxfId="1" priority="1587" operator="greaterThan">
      <formula>120</formula>
    </cfRule>
    <cfRule type="containsText" dxfId="2" priority="572" operator="between" text="库存为">
      <formula>NOT(ISERROR(SEARCH("库存为",AU449)))</formula>
    </cfRule>
  </conditionalFormatting>
  <conditionalFormatting sqref="AU450">
    <cfRule type="cellIs" dxfId="0" priority="2601" operator="lessThan">
      <formula>20</formula>
    </cfRule>
    <cfRule type="cellIs" dxfId="1" priority="1586" operator="greaterThan">
      <formula>120</formula>
    </cfRule>
    <cfRule type="containsText" dxfId="2" priority="571" operator="between" text="库存为">
      <formula>NOT(ISERROR(SEARCH("库存为",AU450)))</formula>
    </cfRule>
  </conditionalFormatting>
  <conditionalFormatting sqref="AU451">
    <cfRule type="cellIs" dxfId="0" priority="2600" operator="lessThan">
      <formula>20</formula>
    </cfRule>
    <cfRule type="cellIs" dxfId="1" priority="1585" operator="greaterThan">
      <formula>120</formula>
    </cfRule>
    <cfRule type="containsText" dxfId="2" priority="570" operator="between" text="库存为">
      <formula>NOT(ISERROR(SEARCH("库存为",AU451)))</formula>
    </cfRule>
  </conditionalFormatting>
  <conditionalFormatting sqref="AU452">
    <cfRule type="cellIs" dxfId="0" priority="2599" operator="lessThan">
      <formula>20</formula>
    </cfRule>
    <cfRule type="cellIs" dxfId="1" priority="1584" operator="greaterThan">
      <formula>120</formula>
    </cfRule>
    <cfRule type="containsText" dxfId="2" priority="569" operator="between" text="库存为">
      <formula>NOT(ISERROR(SEARCH("库存为",AU452)))</formula>
    </cfRule>
  </conditionalFormatting>
  <conditionalFormatting sqref="AU453">
    <cfRule type="cellIs" dxfId="0" priority="2598" operator="lessThan">
      <formula>20</formula>
    </cfRule>
    <cfRule type="cellIs" dxfId="1" priority="1583" operator="greaterThan">
      <formula>120</formula>
    </cfRule>
    <cfRule type="containsText" dxfId="2" priority="568" operator="between" text="库存为">
      <formula>NOT(ISERROR(SEARCH("库存为",AU453)))</formula>
    </cfRule>
  </conditionalFormatting>
  <conditionalFormatting sqref="AU454">
    <cfRule type="cellIs" dxfId="0" priority="2597" operator="lessThan">
      <formula>20</formula>
    </cfRule>
    <cfRule type="cellIs" dxfId="1" priority="1582" operator="greaterThan">
      <formula>120</formula>
    </cfRule>
    <cfRule type="containsText" dxfId="2" priority="567" operator="between" text="库存为">
      <formula>NOT(ISERROR(SEARCH("库存为",AU454)))</formula>
    </cfRule>
  </conditionalFormatting>
  <conditionalFormatting sqref="AU455">
    <cfRule type="cellIs" dxfId="0" priority="2596" operator="lessThan">
      <formula>20</formula>
    </cfRule>
    <cfRule type="cellIs" dxfId="1" priority="1581" operator="greaterThan">
      <formula>120</formula>
    </cfRule>
    <cfRule type="containsText" dxfId="2" priority="566" operator="between" text="库存为">
      <formula>NOT(ISERROR(SEARCH("库存为",AU455)))</formula>
    </cfRule>
  </conditionalFormatting>
  <conditionalFormatting sqref="AU456">
    <cfRule type="cellIs" dxfId="0" priority="2595" operator="lessThan">
      <formula>20</formula>
    </cfRule>
    <cfRule type="cellIs" dxfId="1" priority="1580" operator="greaterThan">
      <formula>120</formula>
    </cfRule>
    <cfRule type="containsText" dxfId="2" priority="565" operator="between" text="库存为">
      <formula>NOT(ISERROR(SEARCH("库存为",AU456)))</formula>
    </cfRule>
  </conditionalFormatting>
  <conditionalFormatting sqref="AU457">
    <cfRule type="cellIs" dxfId="0" priority="2594" operator="lessThan">
      <formula>20</formula>
    </cfRule>
    <cfRule type="cellIs" dxfId="1" priority="1579" operator="greaterThan">
      <formula>120</formula>
    </cfRule>
    <cfRule type="containsText" dxfId="2" priority="564" operator="between" text="库存为">
      <formula>NOT(ISERROR(SEARCH("库存为",AU457)))</formula>
    </cfRule>
  </conditionalFormatting>
  <conditionalFormatting sqref="AU458">
    <cfRule type="cellIs" dxfId="0" priority="2593" operator="lessThan">
      <formula>20</formula>
    </cfRule>
    <cfRule type="cellIs" dxfId="1" priority="1578" operator="greaterThan">
      <formula>120</formula>
    </cfRule>
    <cfRule type="containsText" dxfId="2" priority="563" operator="between" text="库存为">
      <formula>NOT(ISERROR(SEARCH("库存为",AU458)))</formula>
    </cfRule>
  </conditionalFormatting>
  <conditionalFormatting sqref="AU459">
    <cfRule type="cellIs" dxfId="0" priority="2592" operator="lessThan">
      <formula>20</formula>
    </cfRule>
    <cfRule type="cellIs" dxfId="1" priority="1577" operator="greaterThan">
      <formula>120</formula>
    </cfRule>
    <cfRule type="containsText" dxfId="2" priority="562" operator="between" text="库存为">
      <formula>NOT(ISERROR(SEARCH("库存为",AU459)))</formula>
    </cfRule>
  </conditionalFormatting>
  <conditionalFormatting sqref="AU460">
    <cfRule type="cellIs" dxfId="0" priority="2591" operator="lessThan">
      <formula>20</formula>
    </cfRule>
    <cfRule type="cellIs" dxfId="1" priority="1576" operator="greaterThan">
      <formula>120</formula>
    </cfRule>
    <cfRule type="containsText" dxfId="2" priority="561" operator="between" text="库存为">
      <formula>NOT(ISERROR(SEARCH("库存为",AU460)))</formula>
    </cfRule>
  </conditionalFormatting>
  <conditionalFormatting sqref="AU461">
    <cfRule type="cellIs" dxfId="0" priority="2590" operator="lessThan">
      <formula>20</formula>
    </cfRule>
    <cfRule type="cellIs" dxfId="1" priority="1575" operator="greaterThan">
      <formula>120</formula>
    </cfRule>
    <cfRule type="containsText" dxfId="2" priority="560" operator="between" text="库存为">
      <formula>NOT(ISERROR(SEARCH("库存为",AU461)))</formula>
    </cfRule>
  </conditionalFormatting>
  <conditionalFormatting sqref="AU462">
    <cfRule type="cellIs" dxfId="0" priority="2589" operator="lessThan">
      <formula>20</formula>
    </cfRule>
    <cfRule type="cellIs" dxfId="1" priority="1574" operator="greaterThan">
      <formula>120</formula>
    </cfRule>
    <cfRule type="containsText" dxfId="2" priority="559" operator="between" text="库存为">
      <formula>NOT(ISERROR(SEARCH("库存为",AU462)))</formula>
    </cfRule>
  </conditionalFormatting>
  <conditionalFormatting sqref="AU463">
    <cfRule type="cellIs" dxfId="0" priority="2588" operator="lessThan">
      <formula>20</formula>
    </cfRule>
    <cfRule type="cellIs" dxfId="1" priority="1573" operator="greaterThan">
      <formula>120</formula>
    </cfRule>
    <cfRule type="containsText" dxfId="2" priority="558" operator="between" text="库存为">
      <formula>NOT(ISERROR(SEARCH("库存为",AU463)))</formula>
    </cfRule>
  </conditionalFormatting>
  <conditionalFormatting sqref="AU464">
    <cfRule type="cellIs" dxfId="0" priority="2587" operator="lessThan">
      <formula>20</formula>
    </cfRule>
    <cfRule type="cellIs" dxfId="1" priority="1572" operator="greaterThan">
      <formula>120</formula>
    </cfRule>
    <cfRule type="containsText" dxfId="2" priority="557" operator="between" text="库存为">
      <formula>NOT(ISERROR(SEARCH("库存为",AU464)))</formula>
    </cfRule>
  </conditionalFormatting>
  <conditionalFormatting sqref="AU465">
    <cfRule type="cellIs" dxfId="0" priority="2586" operator="lessThan">
      <formula>20</formula>
    </cfRule>
    <cfRule type="cellIs" dxfId="1" priority="1571" operator="greaterThan">
      <formula>120</formula>
    </cfRule>
    <cfRule type="containsText" dxfId="2" priority="556" operator="between" text="库存为">
      <formula>NOT(ISERROR(SEARCH("库存为",AU465)))</formula>
    </cfRule>
  </conditionalFormatting>
  <conditionalFormatting sqref="AU466">
    <cfRule type="cellIs" dxfId="0" priority="2585" operator="lessThan">
      <formula>20</formula>
    </cfRule>
    <cfRule type="cellIs" dxfId="1" priority="1570" operator="greaterThan">
      <formula>120</formula>
    </cfRule>
    <cfRule type="containsText" dxfId="2" priority="555" operator="between" text="库存为">
      <formula>NOT(ISERROR(SEARCH("库存为",AU466)))</formula>
    </cfRule>
  </conditionalFormatting>
  <conditionalFormatting sqref="AU467">
    <cfRule type="cellIs" dxfId="0" priority="2584" operator="lessThan">
      <formula>20</formula>
    </cfRule>
    <cfRule type="cellIs" dxfId="1" priority="1569" operator="greaterThan">
      <formula>120</formula>
    </cfRule>
    <cfRule type="containsText" dxfId="2" priority="554" operator="between" text="库存为">
      <formula>NOT(ISERROR(SEARCH("库存为",AU467)))</formula>
    </cfRule>
  </conditionalFormatting>
  <conditionalFormatting sqref="AU468">
    <cfRule type="cellIs" dxfId="0" priority="2583" operator="lessThan">
      <formula>20</formula>
    </cfRule>
    <cfRule type="cellIs" dxfId="1" priority="1568" operator="greaterThan">
      <formula>120</formula>
    </cfRule>
    <cfRule type="containsText" dxfId="2" priority="553" operator="between" text="库存为">
      <formula>NOT(ISERROR(SEARCH("库存为",AU468)))</formula>
    </cfRule>
  </conditionalFormatting>
  <conditionalFormatting sqref="AU469">
    <cfRule type="cellIs" dxfId="0" priority="2582" operator="lessThan">
      <formula>20</formula>
    </cfRule>
    <cfRule type="cellIs" dxfId="1" priority="1567" operator="greaterThan">
      <formula>120</formula>
    </cfRule>
    <cfRule type="containsText" dxfId="2" priority="552" operator="between" text="库存为">
      <formula>NOT(ISERROR(SEARCH("库存为",AU469)))</formula>
    </cfRule>
  </conditionalFormatting>
  <conditionalFormatting sqref="AU470">
    <cfRule type="cellIs" dxfId="0" priority="2581" operator="lessThan">
      <formula>20</formula>
    </cfRule>
    <cfRule type="cellIs" dxfId="1" priority="1566" operator="greaterThan">
      <formula>120</formula>
    </cfRule>
    <cfRule type="containsText" dxfId="2" priority="551" operator="between" text="库存为">
      <formula>NOT(ISERROR(SEARCH("库存为",AU470)))</formula>
    </cfRule>
  </conditionalFormatting>
  <conditionalFormatting sqref="AU471">
    <cfRule type="cellIs" dxfId="0" priority="2580" operator="lessThan">
      <formula>20</formula>
    </cfRule>
    <cfRule type="cellIs" dxfId="1" priority="1565" operator="greaterThan">
      <formula>120</formula>
    </cfRule>
    <cfRule type="containsText" dxfId="2" priority="550" operator="between" text="库存为">
      <formula>NOT(ISERROR(SEARCH("库存为",AU471)))</formula>
    </cfRule>
  </conditionalFormatting>
  <conditionalFormatting sqref="AU472">
    <cfRule type="cellIs" dxfId="0" priority="2579" operator="lessThan">
      <formula>20</formula>
    </cfRule>
    <cfRule type="cellIs" dxfId="1" priority="1564" operator="greaterThan">
      <formula>120</formula>
    </cfRule>
    <cfRule type="containsText" dxfId="2" priority="549" operator="between" text="库存为">
      <formula>NOT(ISERROR(SEARCH("库存为",AU472)))</formula>
    </cfRule>
  </conditionalFormatting>
  <conditionalFormatting sqref="AU473">
    <cfRule type="cellIs" dxfId="0" priority="2578" operator="lessThan">
      <formula>20</formula>
    </cfRule>
    <cfRule type="cellIs" dxfId="1" priority="1563" operator="greaterThan">
      <formula>120</formula>
    </cfRule>
    <cfRule type="containsText" dxfId="2" priority="548" operator="between" text="库存为">
      <formula>NOT(ISERROR(SEARCH("库存为",AU473)))</formula>
    </cfRule>
  </conditionalFormatting>
  <conditionalFormatting sqref="AU474">
    <cfRule type="cellIs" dxfId="0" priority="2577" operator="lessThan">
      <formula>20</formula>
    </cfRule>
    <cfRule type="cellIs" dxfId="1" priority="1562" operator="greaterThan">
      <formula>120</formula>
    </cfRule>
    <cfRule type="containsText" dxfId="2" priority="547" operator="between" text="库存为">
      <formula>NOT(ISERROR(SEARCH("库存为",AU474)))</formula>
    </cfRule>
  </conditionalFormatting>
  <conditionalFormatting sqref="AU475">
    <cfRule type="cellIs" dxfId="0" priority="2576" operator="lessThan">
      <formula>20</formula>
    </cfRule>
    <cfRule type="cellIs" dxfId="1" priority="1561" operator="greaterThan">
      <formula>120</formula>
    </cfRule>
    <cfRule type="containsText" dxfId="2" priority="546" operator="between" text="库存为">
      <formula>NOT(ISERROR(SEARCH("库存为",AU475)))</formula>
    </cfRule>
  </conditionalFormatting>
  <conditionalFormatting sqref="AU476">
    <cfRule type="cellIs" dxfId="0" priority="2575" operator="lessThan">
      <formula>20</formula>
    </cfRule>
    <cfRule type="cellIs" dxfId="1" priority="1560" operator="greaterThan">
      <formula>120</formula>
    </cfRule>
    <cfRule type="containsText" dxfId="2" priority="545" operator="between" text="库存为">
      <formula>NOT(ISERROR(SEARCH("库存为",AU476)))</formula>
    </cfRule>
  </conditionalFormatting>
  <conditionalFormatting sqref="AU477">
    <cfRule type="cellIs" dxfId="0" priority="2574" operator="lessThan">
      <formula>20</formula>
    </cfRule>
    <cfRule type="cellIs" dxfId="1" priority="1559" operator="greaterThan">
      <formula>120</formula>
    </cfRule>
    <cfRule type="containsText" dxfId="2" priority="544" operator="between" text="库存为">
      <formula>NOT(ISERROR(SEARCH("库存为",AU477)))</formula>
    </cfRule>
  </conditionalFormatting>
  <conditionalFormatting sqref="AU478">
    <cfRule type="cellIs" dxfId="0" priority="2573" operator="lessThan">
      <formula>20</formula>
    </cfRule>
    <cfRule type="cellIs" dxfId="1" priority="1558" operator="greaterThan">
      <formula>120</formula>
    </cfRule>
    <cfRule type="containsText" dxfId="2" priority="543" operator="between" text="库存为">
      <formula>NOT(ISERROR(SEARCH("库存为",AU478)))</formula>
    </cfRule>
  </conditionalFormatting>
  <conditionalFormatting sqref="AU479">
    <cfRule type="cellIs" dxfId="0" priority="2572" operator="lessThan">
      <formula>20</formula>
    </cfRule>
    <cfRule type="cellIs" dxfId="1" priority="1557" operator="greaterThan">
      <formula>120</formula>
    </cfRule>
    <cfRule type="containsText" dxfId="2" priority="542" operator="between" text="库存为">
      <formula>NOT(ISERROR(SEARCH("库存为",AU479)))</formula>
    </cfRule>
  </conditionalFormatting>
  <conditionalFormatting sqref="AU480">
    <cfRule type="cellIs" dxfId="0" priority="2571" operator="lessThan">
      <formula>20</formula>
    </cfRule>
    <cfRule type="cellIs" dxfId="1" priority="1556" operator="greaterThan">
      <formula>120</formula>
    </cfRule>
    <cfRule type="containsText" dxfId="2" priority="541" operator="between" text="库存为">
      <formula>NOT(ISERROR(SEARCH("库存为",AU480)))</formula>
    </cfRule>
  </conditionalFormatting>
  <conditionalFormatting sqref="AU481">
    <cfRule type="cellIs" dxfId="0" priority="2570" operator="lessThan">
      <formula>20</formula>
    </cfRule>
    <cfRule type="cellIs" dxfId="1" priority="1555" operator="greaterThan">
      <formula>120</formula>
    </cfRule>
    <cfRule type="containsText" dxfId="2" priority="540" operator="between" text="库存为">
      <formula>NOT(ISERROR(SEARCH("库存为",AU481)))</formula>
    </cfRule>
  </conditionalFormatting>
  <conditionalFormatting sqref="AU482">
    <cfRule type="cellIs" dxfId="0" priority="2569" operator="lessThan">
      <formula>20</formula>
    </cfRule>
    <cfRule type="cellIs" dxfId="1" priority="1554" operator="greaterThan">
      <formula>120</formula>
    </cfRule>
    <cfRule type="containsText" dxfId="2" priority="539" operator="between" text="库存为">
      <formula>NOT(ISERROR(SEARCH("库存为",AU482)))</formula>
    </cfRule>
  </conditionalFormatting>
  <conditionalFormatting sqref="AU483">
    <cfRule type="cellIs" dxfId="0" priority="2568" operator="lessThan">
      <formula>20</formula>
    </cfRule>
    <cfRule type="cellIs" dxfId="1" priority="1553" operator="greaterThan">
      <formula>120</formula>
    </cfRule>
    <cfRule type="containsText" dxfId="2" priority="538" operator="between" text="库存为">
      <formula>NOT(ISERROR(SEARCH("库存为",AU483)))</formula>
    </cfRule>
  </conditionalFormatting>
  <conditionalFormatting sqref="AU484">
    <cfRule type="cellIs" dxfId="0" priority="2567" operator="lessThan">
      <formula>20</formula>
    </cfRule>
    <cfRule type="cellIs" dxfId="1" priority="1552" operator="greaterThan">
      <formula>120</formula>
    </cfRule>
    <cfRule type="containsText" dxfId="2" priority="537" operator="between" text="库存为">
      <formula>NOT(ISERROR(SEARCH("库存为",AU484)))</formula>
    </cfRule>
  </conditionalFormatting>
  <conditionalFormatting sqref="AU485">
    <cfRule type="cellIs" dxfId="0" priority="2566" operator="lessThan">
      <formula>20</formula>
    </cfRule>
    <cfRule type="cellIs" dxfId="1" priority="1551" operator="greaterThan">
      <formula>120</formula>
    </cfRule>
    <cfRule type="containsText" dxfId="2" priority="536" operator="between" text="库存为">
      <formula>NOT(ISERROR(SEARCH("库存为",AU485)))</formula>
    </cfRule>
  </conditionalFormatting>
  <conditionalFormatting sqref="AU486">
    <cfRule type="cellIs" dxfId="0" priority="2565" operator="lessThan">
      <formula>20</formula>
    </cfRule>
    <cfRule type="cellIs" dxfId="1" priority="1550" operator="greaterThan">
      <formula>120</formula>
    </cfRule>
    <cfRule type="containsText" dxfId="2" priority="535" operator="between" text="库存为">
      <formula>NOT(ISERROR(SEARCH("库存为",AU486)))</formula>
    </cfRule>
  </conditionalFormatting>
  <conditionalFormatting sqref="AU487">
    <cfRule type="cellIs" dxfId="0" priority="2564" operator="lessThan">
      <formula>20</formula>
    </cfRule>
    <cfRule type="cellIs" dxfId="1" priority="1549" operator="greaterThan">
      <formula>120</formula>
    </cfRule>
    <cfRule type="containsText" dxfId="2" priority="534" operator="between" text="库存为">
      <formula>NOT(ISERROR(SEARCH("库存为",AU487)))</formula>
    </cfRule>
  </conditionalFormatting>
  <conditionalFormatting sqref="AU488">
    <cfRule type="cellIs" dxfId="0" priority="2563" operator="lessThan">
      <formula>20</formula>
    </cfRule>
    <cfRule type="cellIs" dxfId="1" priority="1548" operator="greaterThan">
      <formula>120</formula>
    </cfRule>
    <cfRule type="containsText" dxfId="2" priority="533" operator="between" text="库存为">
      <formula>NOT(ISERROR(SEARCH("库存为",AU488)))</formula>
    </cfRule>
  </conditionalFormatting>
  <conditionalFormatting sqref="AU489">
    <cfRule type="cellIs" dxfId="0" priority="2562" operator="lessThan">
      <formula>20</formula>
    </cfRule>
    <cfRule type="cellIs" dxfId="1" priority="1547" operator="greaterThan">
      <formula>120</formula>
    </cfRule>
    <cfRule type="containsText" dxfId="2" priority="532" operator="between" text="库存为">
      <formula>NOT(ISERROR(SEARCH("库存为",AU489)))</formula>
    </cfRule>
  </conditionalFormatting>
  <conditionalFormatting sqref="AU490">
    <cfRule type="cellIs" dxfId="0" priority="2561" operator="lessThan">
      <formula>20</formula>
    </cfRule>
    <cfRule type="cellIs" dxfId="1" priority="1546" operator="greaterThan">
      <formula>120</formula>
    </cfRule>
    <cfRule type="containsText" dxfId="2" priority="531" operator="between" text="库存为">
      <formula>NOT(ISERROR(SEARCH("库存为",AU490)))</formula>
    </cfRule>
  </conditionalFormatting>
  <conditionalFormatting sqref="AU491">
    <cfRule type="cellIs" dxfId="0" priority="2560" operator="lessThan">
      <formula>20</formula>
    </cfRule>
    <cfRule type="cellIs" dxfId="1" priority="1545" operator="greaterThan">
      <formula>120</formula>
    </cfRule>
    <cfRule type="containsText" dxfId="2" priority="530" operator="between" text="库存为">
      <formula>NOT(ISERROR(SEARCH("库存为",AU491)))</formula>
    </cfRule>
  </conditionalFormatting>
  <conditionalFormatting sqref="AU492">
    <cfRule type="cellIs" dxfId="0" priority="2559" operator="lessThan">
      <formula>20</formula>
    </cfRule>
    <cfRule type="cellIs" dxfId="1" priority="1544" operator="greaterThan">
      <formula>120</formula>
    </cfRule>
    <cfRule type="containsText" dxfId="2" priority="529" operator="between" text="库存为">
      <formula>NOT(ISERROR(SEARCH("库存为",AU492)))</formula>
    </cfRule>
  </conditionalFormatting>
  <conditionalFormatting sqref="AU493">
    <cfRule type="cellIs" dxfId="0" priority="2558" operator="lessThan">
      <formula>20</formula>
    </cfRule>
    <cfRule type="cellIs" dxfId="1" priority="1543" operator="greaterThan">
      <formula>120</formula>
    </cfRule>
    <cfRule type="containsText" dxfId="2" priority="528" operator="between" text="库存为">
      <formula>NOT(ISERROR(SEARCH("库存为",AU493)))</formula>
    </cfRule>
  </conditionalFormatting>
  <conditionalFormatting sqref="AU494">
    <cfRule type="cellIs" dxfId="0" priority="2557" operator="lessThan">
      <formula>20</formula>
    </cfRule>
    <cfRule type="cellIs" dxfId="1" priority="1542" operator="greaterThan">
      <formula>120</formula>
    </cfRule>
    <cfRule type="containsText" dxfId="2" priority="527" operator="between" text="库存为">
      <formula>NOT(ISERROR(SEARCH("库存为",AU494)))</formula>
    </cfRule>
  </conditionalFormatting>
  <conditionalFormatting sqref="AU495">
    <cfRule type="cellIs" dxfId="0" priority="2556" operator="lessThan">
      <formula>20</formula>
    </cfRule>
    <cfRule type="cellIs" dxfId="1" priority="1541" operator="greaterThan">
      <formula>120</formula>
    </cfRule>
    <cfRule type="containsText" dxfId="2" priority="526" operator="between" text="库存为">
      <formula>NOT(ISERROR(SEARCH("库存为",AU495)))</formula>
    </cfRule>
  </conditionalFormatting>
  <conditionalFormatting sqref="AU496">
    <cfRule type="cellIs" dxfId="0" priority="2555" operator="lessThan">
      <formula>20</formula>
    </cfRule>
    <cfRule type="cellIs" dxfId="1" priority="1540" operator="greaterThan">
      <formula>120</formula>
    </cfRule>
    <cfRule type="containsText" dxfId="2" priority="525" operator="between" text="库存为">
      <formula>NOT(ISERROR(SEARCH("库存为",AU496)))</formula>
    </cfRule>
  </conditionalFormatting>
  <conditionalFormatting sqref="AU497">
    <cfRule type="cellIs" dxfId="0" priority="2554" operator="lessThan">
      <formula>20</formula>
    </cfRule>
    <cfRule type="cellIs" dxfId="1" priority="1539" operator="greaterThan">
      <formula>120</formula>
    </cfRule>
    <cfRule type="containsText" dxfId="2" priority="524" operator="between" text="库存为">
      <formula>NOT(ISERROR(SEARCH("库存为",AU497)))</formula>
    </cfRule>
  </conditionalFormatting>
  <conditionalFormatting sqref="AU498">
    <cfRule type="cellIs" dxfId="0" priority="2553" operator="lessThan">
      <formula>20</formula>
    </cfRule>
    <cfRule type="cellIs" dxfId="1" priority="1538" operator="greaterThan">
      <formula>120</formula>
    </cfRule>
    <cfRule type="containsText" dxfId="2" priority="523" operator="between" text="库存为">
      <formula>NOT(ISERROR(SEARCH("库存为",AU498)))</formula>
    </cfRule>
  </conditionalFormatting>
  <conditionalFormatting sqref="AU499">
    <cfRule type="cellIs" dxfId="0" priority="2552" operator="lessThan">
      <formula>20</formula>
    </cfRule>
    <cfRule type="cellIs" dxfId="1" priority="1537" operator="greaterThan">
      <formula>120</formula>
    </cfRule>
    <cfRule type="containsText" dxfId="2" priority="522" operator="between" text="库存为">
      <formula>NOT(ISERROR(SEARCH("库存为",AU499)))</formula>
    </cfRule>
  </conditionalFormatting>
  <conditionalFormatting sqref="AU500">
    <cfRule type="cellIs" dxfId="0" priority="2551" operator="lessThan">
      <formula>20</formula>
    </cfRule>
    <cfRule type="cellIs" dxfId="1" priority="1536" operator="greaterThan">
      <formula>120</formula>
    </cfRule>
    <cfRule type="containsText" dxfId="2" priority="521" operator="between" text="库存为">
      <formula>NOT(ISERROR(SEARCH("库存为",AU500)))</formula>
    </cfRule>
  </conditionalFormatting>
  <conditionalFormatting sqref="AU501">
    <cfRule type="cellIs" dxfId="0" priority="2550" operator="lessThan">
      <formula>20</formula>
    </cfRule>
    <cfRule type="cellIs" dxfId="1" priority="1535" operator="greaterThan">
      <formula>120</formula>
    </cfRule>
    <cfRule type="containsText" dxfId="2" priority="520" operator="between" text="库存为">
      <formula>NOT(ISERROR(SEARCH("库存为",AU501)))</formula>
    </cfRule>
  </conditionalFormatting>
  <conditionalFormatting sqref="AU502">
    <cfRule type="cellIs" dxfId="0" priority="2549" operator="lessThan">
      <formula>20</formula>
    </cfRule>
    <cfRule type="cellIs" dxfId="1" priority="1534" operator="greaterThan">
      <formula>120</formula>
    </cfRule>
    <cfRule type="containsText" dxfId="2" priority="519" operator="between" text="库存为">
      <formula>NOT(ISERROR(SEARCH("库存为",AU502)))</formula>
    </cfRule>
  </conditionalFormatting>
  <conditionalFormatting sqref="AU503">
    <cfRule type="cellIs" dxfId="0" priority="2548" operator="lessThan">
      <formula>20</formula>
    </cfRule>
    <cfRule type="cellIs" dxfId="1" priority="1533" operator="greaterThan">
      <formula>120</formula>
    </cfRule>
    <cfRule type="containsText" dxfId="2" priority="518" operator="between" text="库存为">
      <formula>NOT(ISERROR(SEARCH("库存为",AU503)))</formula>
    </cfRule>
  </conditionalFormatting>
  <conditionalFormatting sqref="AU504">
    <cfRule type="cellIs" dxfId="0" priority="2547" operator="lessThan">
      <formula>20</formula>
    </cfRule>
    <cfRule type="cellIs" dxfId="1" priority="1532" operator="greaterThan">
      <formula>120</formula>
    </cfRule>
    <cfRule type="containsText" dxfId="2" priority="517" operator="between" text="库存为">
      <formula>NOT(ISERROR(SEARCH("库存为",AU504)))</formula>
    </cfRule>
  </conditionalFormatting>
  <conditionalFormatting sqref="AU505">
    <cfRule type="cellIs" dxfId="0" priority="2546" operator="lessThan">
      <formula>20</formula>
    </cfRule>
    <cfRule type="cellIs" dxfId="1" priority="1531" operator="greaterThan">
      <formula>120</formula>
    </cfRule>
    <cfRule type="containsText" dxfId="2" priority="516" operator="between" text="库存为">
      <formula>NOT(ISERROR(SEARCH("库存为",AU505)))</formula>
    </cfRule>
  </conditionalFormatting>
  <conditionalFormatting sqref="AU506">
    <cfRule type="cellIs" dxfId="0" priority="2545" operator="lessThan">
      <formula>20</formula>
    </cfRule>
    <cfRule type="cellIs" dxfId="1" priority="1530" operator="greaterThan">
      <formula>120</formula>
    </cfRule>
    <cfRule type="containsText" dxfId="2" priority="515" operator="between" text="库存为">
      <formula>NOT(ISERROR(SEARCH("库存为",AU506)))</formula>
    </cfRule>
  </conditionalFormatting>
  <conditionalFormatting sqref="AU507">
    <cfRule type="cellIs" dxfId="0" priority="2544" operator="lessThan">
      <formula>20</formula>
    </cfRule>
    <cfRule type="cellIs" dxfId="1" priority="1529" operator="greaterThan">
      <formula>120</formula>
    </cfRule>
    <cfRule type="containsText" dxfId="2" priority="514" operator="between" text="库存为">
      <formula>NOT(ISERROR(SEARCH("库存为",AU507)))</formula>
    </cfRule>
  </conditionalFormatting>
  <conditionalFormatting sqref="AU508">
    <cfRule type="cellIs" dxfId="0" priority="2543" operator="lessThan">
      <formula>20</formula>
    </cfRule>
    <cfRule type="cellIs" dxfId="1" priority="1528" operator="greaterThan">
      <formula>120</formula>
    </cfRule>
    <cfRule type="containsText" dxfId="2" priority="513" operator="between" text="库存为">
      <formula>NOT(ISERROR(SEARCH("库存为",AU508)))</formula>
    </cfRule>
  </conditionalFormatting>
  <conditionalFormatting sqref="AU509">
    <cfRule type="cellIs" dxfId="0" priority="2542" operator="lessThan">
      <formula>20</formula>
    </cfRule>
    <cfRule type="cellIs" dxfId="1" priority="1527" operator="greaterThan">
      <formula>120</formula>
    </cfRule>
    <cfRule type="containsText" dxfId="2" priority="512" operator="between" text="库存为">
      <formula>NOT(ISERROR(SEARCH("库存为",AU509)))</formula>
    </cfRule>
  </conditionalFormatting>
  <conditionalFormatting sqref="AU510">
    <cfRule type="cellIs" dxfId="0" priority="2541" operator="lessThan">
      <formula>20</formula>
    </cfRule>
    <cfRule type="cellIs" dxfId="1" priority="1526" operator="greaterThan">
      <formula>120</formula>
    </cfRule>
    <cfRule type="containsText" dxfId="2" priority="511" operator="between" text="库存为">
      <formula>NOT(ISERROR(SEARCH("库存为",AU510)))</formula>
    </cfRule>
  </conditionalFormatting>
  <conditionalFormatting sqref="AU511">
    <cfRule type="cellIs" dxfId="0" priority="2540" operator="lessThan">
      <formula>20</formula>
    </cfRule>
    <cfRule type="cellIs" dxfId="1" priority="1525" operator="greaterThan">
      <formula>120</formula>
    </cfRule>
    <cfRule type="containsText" dxfId="2" priority="510" operator="between" text="库存为">
      <formula>NOT(ISERROR(SEARCH("库存为",AU511)))</formula>
    </cfRule>
  </conditionalFormatting>
  <conditionalFormatting sqref="AU512">
    <cfRule type="cellIs" dxfId="0" priority="2539" operator="lessThan">
      <formula>20</formula>
    </cfRule>
    <cfRule type="cellIs" dxfId="1" priority="1524" operator="greaterThan">
      <formula>120</formula>
    </cfRule>
    <cfRule type="containsText" dxfId="2" priority="509" operator="between" text="库存为">
      <formula>NOT(ISERROR(SEARCH("库存为",AU512)))</formula>
    </cfRule>
  </conditionalFormatting>
  <conditionalFormatting sqref="AU513">
    <cfRule type="cellIs" dxfId="0" priority="2538" operator="lessThan">
      <formula>20</formula>
    </cfRule>
    <cfRule type="cellIs" dxfId="1" priority="1523" operator="greaterThan">
      <formula>120</formula>
    </cfRule>
    <cfRule type="containsText" dxfId="2" priority="508" operator="between" text="库存为">
      <formula>NOT(ISERROR(SEARCH("库存为",AU513)))</formula>
    </cfRule>
  </conditionalFormatting>
  <conditionalFormatting sqref="AU514">
    <cfRule type="cellIs" dxfId="0" priority="2537" operator="lessThan">
      <formula>20</formula>
    </cfRule>
    <cfRule type="cellIs" dxfId="1" priority="1522" operator="greaterThan">
      <formula>120</formula>
    </cfRule>
    <cfRule type="containsText" dxfId="2" priority="507" operator="between" text="库存为">
      <formula>NOT(ISERROR(SEARCH("库存为",AU514)))</formula>
    </cfRule>
  </conditionalFormatting>
  <conditionalFormatting sqref="AU515">
    <cfRule type="cellIs" dxfId="0" priority="2536" operator="lessThan">
      <formula>20</formula>
    </cfRule>
    <cfRule type="cellIs" dxfId="1" priority="1521" operator="greaterThan">
      <formula>120</formula>
    </cfRule>
    <cfRule type="containsText" dxfId="2" priority="506" operator="between" text="库存为">
      <formula>NOT(ISERROR(SEARCH("库存为",AU515)))</formula>
    </cfRule>
  </conditionalFormatting>
  <conditionalFormatting sqref="AU516">
    <cfRule type="cellIs" dxfId="0" priority="2535" operator="lessThan">
      <formula>20</formula>
    </cfRule>
    <cfRule type="cellIs" dxfId="1" priority="1520" operator="greaterThan">
      <formula>120</formula>
    </cfRule>
    <cfRule type="containsText" dxfId="2" priority="505" operator="between" text="库存为">
      <formula>NOT(ISERROR(SEARCH("库存为",AU516)))</formula>
    </cfRule>
  </conditionalFormatting>
  <conditionalFormatting sqref="AU517">
    <cfRule type="cellIs" dxfId="0" priority="2534" operator="lessThan">
      <formula>20</formula>
    </cfRule>
    <cfRule type="cellIs" dxfId="1" priority="1519" operator="greaterThan">
      <formula>120</formula>
    </cfRule>
    <cfRule type="containsText" dxfId="2" priority="504" operator="between" text="库存为">
      <formula>NOT(ISERROR(SEARCH("库存为",AU517)))</formula>
    </cfRule>
  </conditionalFormatting>
  <conditionalFormatting sqref="AU518">
    <cfRule type="cellIs" dxfId="0" priority="2533" operator="lessThan">
      <formula>20</formula>
    </cfRule>
    <cfRule type="cellIs" dxfId="1" priority="1518" operator="greaterThan">
      <formula>120</formula>
    </cfRule>
    <cfRule type="containsText" dxfId="2" priority="503" operator="between" text="库存为">
      <formula>NOT(ISERROR(SEARCH("库存为",AU518)))</formula>
    </cfRule>
  </conditionalFormatting>
  <conditionalFormatting sqref="AU519">
    <cfRule type="cellIs" dxfId="0" priority="2532" operator="lessThan">
      <formula>20</formula>
    </cfRule>
    <cfRule type="cellIs" dxfId="1" priority="1517" operator="greaterThan">
      <formula>120</formula>
    </cfRule>
    <cfRule type="containsText" dxfId="2" priority="502" operator="between" text="库存为">
      <formula>NOT(ISERROR(SEARCH("库存为",AU519)))</formula>
    </cfRule>
  </conditionalFormatting>
  <conditionalFormatting sqref="AU520">
    <cfRule type="cellIs" dxfId="0" priority="2531" operator="lessThan">
      <formula>20</formula>
    </cfRule>
    <cfRule type="cellIs" dxfId="1" priority="1516" operator="greaterThan">
      <formula>120</formula>
    </cfRule>
    <cfRule type="containsText" dxfId="2" priority="501" operator="between" text="库存为">
      <formula>NOT(ISERROR(SEARCH("库存为",AU520)))</formula>
    </cfRule>
  </conditionalFormatting>
  <conditionalFormatting sqref="AU521">
    <cfRule type="cellIs" dxfId="0" priority="2530" operator="lessThan">
      <formula>20</formula>
    </cfRule>
    <cfRule type="cellIs" dxfId="1" priority="1515" operator="greaterThan">
      <formula>120</formula>
    </cfRule>
    <cfRule type="containsText" dxfId="2" priority="500" operator="between" text="库存为">
      <formula>NOT(ISERROR(SEARCH("库存为",AU521)))</formula>
    </cfRule>
  </conditionalFormatting>
  <conditionalFormatting sqref="AU522">
    <cfRule type="cellIs" dxfId="0" priority="2529" operator="lessThan">
      <formula>20</formula>
    </cfRule>
    <cfRule type="cellIs" dxfId="1" priority="1514" operator="greaterThan">
      <formula>120</formula>
    </cfRule>
    <cfRule type="containsText" dxfId="2" priority="499" operator="between" text="库存为">
      <formula>NOT(ISERROR(SEARCH("库存为",AU522)))</formula>
    </cfRule>
  </conditionalFormatting>
  <conditionalFormatting sqref="AU523">
    <cfRule type="cellIs" dxfId="0" priority="2528" operator="lessThan">
      <formula>20</formula>
    </cfRule>
    <cfRule type="cellIs" dxfId="1" priority="1513" operator="greaterThan">
      <formula>120</formula>
    </cfRule>
    <cfRule type="containsText" dxfId="2" priority="498" operator="between" text="库存为">
      <formula>NOT(ISERROR(SEARCH("库存为",AU523)))</formula>
    </cfRule>
  </conditionalFormatting>
  <conditionalFormatting sqref="AU524">
    <cfRule type="cellIs" dxfId="0" priority="2527" operator="lessThan">
      <formula>20</formula>
    </cfRule>
    <cfRule type="cellIs" dxfId="1" priority="1512" operator="greaterThan">
      <formula>120</formula>
    </cfRule>
    <cfRule type="containsText" dxfId="2" priority="497" operator="between" text="库存为">
      <formula>NOT(ISERROR(SEARCH("库存为",AU524)))</formula>
    </cfRule>
  </conditionalFormatting>
  <conditionalFormatting sqref="AU525">
    <cfRule type="cellIs" dxfId="0" priority="2526" operator="lessThan">
      <formula>20</formula>
    </cfRule>
    <cfRule type="cellIs" dxfId="1" priority="1511" operator="greaterThan">
      <formula>120</formula>
    </cfRule>
    <cfRule type="containsText" dxfId="2" priority="496" operator="between" text="库存为">
      <formula>NOT(ISERROR(SEARCH("库存为",AU525)))</formula>
    </cfRule>
  </conditionalFormatting>
  <conditionalFormatting sqref="AU526">
    <cfRule type="cellIs" dxfId="0" priority="2525" operator="lessThan">
      <formula>20</formula>
    </cfRule>
    <cfRule type="cellIs" dxfId="1" priority="1510" operator="greaterThan">
      <formula>120</formula>
    </cfRule>
    <cfRule type="containsText" dxfId="2" priority="495" operator="between" text="库存为">
      <formula>NOT(ISERROR(SEARCH("库存为",AU526)))</formula>
    </cfRule>
  </conditionalFormatting>
  <conditionalFormatting sqref="AU527">
    <cfRule type="cellIs" dxfId="0" priority="2524" operator="lessThan">
      <formula>20</formula>
    </cfRule>
    <cfRule type="cellIs" dxfId="1" priority="1509" operator="greaterThan">
      <formula>120</formula>
    </cfRule>
    <cfRule type="containsText" dxfId="2" priority="494" operator="between" text="库存为">
      <formula>NOT(ISERROR(SEARCH("库存为",AU527)))</formula>
    </cfRule>
  </conditionalFormatting>
  <conditionalFormatting sqref="AU528">
    <cfRule type="cellIs" dxfId="0" priority="2523" operator="lessThan">
      <formula>20</formula>
    </cfRule>
    <cfRule type="cellIs" dxfId="1" priority="1508" operator="greaterThan">
      <formula>120</formula>
    </cfRule>
    <cfRule type="containsText" dxfId="2" priority="493" operator="between" text="库存为">
      <formula>NOT(ISERROR(SEARCH("库存为",AU528)))</formula>
    </cfRule>
  </conditionalFormatting>
  <conditionalFormatting sqref="AU529">
    <cfRule type="cellIs" dxfId="0" priority="2522" operator="lessThan">
      <formula>20</formula>
    </cfRule>
    <cfRule type="cellIs" dxfId="1" priority="1507" operator="greaterThan">
      <formula>120</formula>
    </cfRule>
    <cfRule type="containsText" dxfId="2" priority="492" operator="between" text="库存为">
      <formula>NOT(ISERROR(SEARCH("库存为",AU529)))</formula>
    </cfRule>
  </conditionalFormatting>
  <conditionalFormatting sqref="AU530">
    <cfRule type="cellIs" dxfId="0" priority="2521" operator="lessThan">
      <formula>20</formula>
    </cfRule>
    <cfRule type="cellIs" dxfId="1" priority="1506" operator="greaterThan">
      <formula>120</formula>
    </cfRule>
    <cfRule type="containsText" dxfId="2" priority="491" operator="between" text="库存为">
      <formula>NOT(ISERROR(SEARCH("库存为",AU530)))</formula>
    </cfRule>
  </conditionalFormatting>
  <conditionalFormatting sqref="AU531">
    <cfRule type="cellIs" dxfId="0" priority="2520" operator="lessThan">
      <formula>20</formula>
    </cfRule>
    <cfRule type="cellIs" dxfId="1" priority="1505" operator="greaterThan">
      <formula>120</formula>
    </cfRule>
    <cfRule type="containsText" dxfId="2" priority="490" operator="between" text="库存为">
      <formula>NOT(ISERROR(SEARCH("库存为",AU531)))</formula>
    </cfRule>
  </conditionalFormatting>
  <conditionalFormatting sqref="AU532">
    <cfRule type="cellIs" dxfId="0" priority="2519" operator="lessThan">
      <formula>20</formula>
    </cfRule>
    <cfRule type="cellIs" dxfId="1" priority="1504" operator="greaterThan">
      <formula>120</formula>
    </cfRule>
    <cfRule type="containsText" dxfId="2" priority="489" operator="between" text="库存为">
      <formula>NOT(ISERROR(SEARCH("库存为",AU532)))</formula>
    </cfRule>
  </conditionalFormatting>
  <conditionalFormatting sqref="AU533">
    <cfRule type="cellIs" dxfId="0" priority="2518" operator="lessThan">
      <formula>20</formula>
    </cfRule>
    <cfRule type="cellIs" dxfId="1" priority="1503" operator="greaterThan">
      <formula>120</formula>
    </cfRule>
    <cfRule type="containsText" dxfId="2" priority="488" operator="between" text="库存为">
      <formula>NOT(ISERROR(SEARCH("库存为",AU533)))</formula>
    </cfRule>
  </conditionalFormatting>
  <conditionalFormatting sqref="AU534">
    <cfRule type="cellIs" dxfId="0" priority="2517" operator="lessThan">
      <formula>20</formula>
    </cfRule>
    <cfRule type="cellIs" dxfId="1" priority="1502" operator="greaterThan">
      <formula>120</formula>
    </cfRule>
    <cfRule type="containsText" dxfId="2" priority="487" operator="between" text="库存为">
      <formula>NOT(ISERROR(SEARCH("库存为",AU534)))</formula>
    </cfRule>
  </conditionalFormatting>
  <conditionalFormatting sqref="AU535">
    <cfRule type="cellIs" dxfId="0" priority="2516" operator="lessThan">
      <formula>20</formula>
    </cfRule>
    <cfRule type="cellIs" dxfId="1" priority="1501" operator="greaterThan">
      <formula>120</formula>
    </cfRule>
    <cfRule type="containsText" dxfId="2" priority="486" operator="between" text="库存为">
      <formula>NOT(ISERROR(SEARCH("库存为",AU535)))</formula>
    </cfRule>
  </conditionalFormatting>
  <conditionalFormatting sqref="AU536">
    <cfRule type="cellIs" dxfId="0" priority="2515" operator="lessThan">
      <formula>20</formula>
    </cfRule>
    <cfRule type="cellIs" dxfId="1" priority="1500" operator="greaterThan">
      <formula>120</formula>
    </cfRule>
    <cfRule type="containsText" dxfId="2" priority="485" operator="between" text="库存为">
      <formula>NOT(ISERROR(SEARCH("库存为",AU536)))</formula>
    </cfRule>
  </conditionalFormatting>
  <conditionalFormatting sqref="AU537">
    <cfRule type="cellIs" dxfId="0" priority="2514" operator="lessThan">
      <formula>20</formula>
    </cfRule>
    <cfRule type="cellIs" dxfId="1" priority="1499" operator="greaterThan">
      <formula>120</formula>
    </cfRule>
    <cfRule type="containsText" dxfId="2" priority="484" operator="between" text="库存为">
      <formula>NOT(ISERROR(SEARCH("库存为",AU537)))</formula>
    </cfRule>
  </conditionalFormatting>
  <conditionalFormatting sqref="AU538">
    <cfRule type="cellIs" dxfId="0" priority="2513" operator="lessThan">
      <formula>20</formula>
    </cfRule>
    <cfRule type="cellIs" dxfId="1" priority="1498" operator="greaterThan">
      <formula>120</formula>
    </cfRule>
    <cfRule type="containsText" dxfId="2" priority="483" operator="between" text="库存为">
      <formula>NOT(ISERROR(SEARCH("库存为",AU538)))</formula>
    </cfRule>
  </conditionalFormatting>
  <conditionalFormatting sqref="AU539">
    <cfRule type="cellIs" dxfId="0" priority="2512" operator="lessThan">
      <formula>20</formula>
    </cfRule>
    <cfRule type="cellIs" dxfId="1" priority="1497" operator="greaterThan">
      <formula>120</formula>
    </cfRule>
    <cfRule type="containsText" dxfId="2" priority="482" operator="between" text="库存为">
      <formula>NOT(ISERROR(SEARCH("库存为",AU539)))</formula>
    </cfRule>
  </conditionalFormatting>
  <conditionalFormatting sqref="AU540">
    <cfRule type="cellIs" dxfId="0" priority="2511" operator="lessThan">
      <formula>20</formula>
    </cfRule>
    <cfRule type="cellIs" dxfId="1" priority="1496" operator="greaterThan">
      <formula>120</formula>
    </cfRule>
    <cfRule type="containsText" dxfId="2" priority="481" operator="between" text="库存为">
      <formula>NOT(ISERROR(SEARCH("库存为",AU540)))</formula>
    </cfRule>
  </conditionalFormatting>
  <conditionalFormatting sqref="AU541">
    <cfRule type="cellIs" dxfId="0" priority="2510" operator="lessThan">
      <formula>20</formula>
    </cfRule>
    <cfRule type="cellIs" dxfId="1" priority="1495" operator="greaterThan">
      <formula>120</formula>
    </cfRule>
    <cfRule type="containsText" dxfId="2" priority="480" operator="between" text="库存为">
      <formula>NOT(ISERROR(SEARCH("库存为",AU541)))</formula>
    </cfRule>
  </conditionalFormatting>
  <conditionalFormatting sqref="AU542">
    <cfRule type="cellIs" dxfId="0" priority="2509" operator="lessThan">
      <formula>20</formula>
    </cfRule>
    <cfRule type="cellIs" dxfId="1" priority="1494" operator="greaterThan">
      <formula>120</formula>
    </cfRule>
    <cfRule type="containsText" dxfId="2" priority="479" operator="between" text="库存为">
      <formula>NOT(ISERROR(SEARCH("库存为",AU542)))</formula>
    </cfRule>
  </conditionalFormatting>
  <conditionalFormatting sqref="AU543">
    <cfRule type="cellIs" dxfId="0" priority="2508" operator="lessThan">
      <formula>20</formula>
    </cfRule>
    <cfRule type="cellIs" dxfId="1" priority="1493" operator="greaterThan">
      <formula>120</formula>
    </cfRule>
    <cfRule type="containsText" dxfId="2" priority="478" operator="between" text="库存为">
      <formula>NOT(ISERROR(SEARCH("库存为",AU543)))</formula>
    </cfRule>
  </conditionalFormatting>
  <conditionalFormatting sqref="AU544">
    <cfRule type="cellIs" dxfId="0" priority="2507" operator="lessThan">
      <formula>20</formula>
    </cfRule>
    <cfRule type="cellIs" dxfId="1" priority="1492" operator="greaterThan">
      <formula>120</formula>
    </cfRule>
    <cfRule type="containsText" dxfId="2" priority="477" operator="between" text="库存为">
      <formula>NOT(ISERROR(SEARCH("库存为",AU544)))</formula>
    </cfRule>
  </conditionalFormatting>
  <conditionalFormatting sqref="AU545">
    <cfRule type="cellIs" dxfId="0" priority="2506" operator="lessThan">
      <formula>20</formula>
    </cfRule>
    <cfRule type="cellIs" dxfId="1" priority="1491" operator="greaterThan">
      <formula>120</formula>
    </cfRule>
    <cfRule type="containsText" dxfId="2" priority="476" operator="between" text="库存为">
      <formula>NOT(ISERROR(SEARCH("库存为",AU545)))</formula>
    </cfRule>
  </conditionalFormatting>
  <conditionalFormatting sqref="AU546">
    <cfRule type="cellIs" dxfId="0" priority="2505" operator="lessThan">
      <formula>20</formula>
    </cfRule>
    <cfRule type="cellIs" dxfId="1" priority="1490" operator="greaterThan">
      <formula>120</formula>
    </cfRule>
    <cfRule type="containsText" dxfId="2" priority="475" operator="between" text="库存为">
      <formula>NOT(ISERROR(SEARCH("库存为",AU546)))</formula>
    </cfRule>
  </conditionalFormatting>
  <conditionalFormatting sqref="AU547">
    <cfRule type="cellIs" dxfId="0" priority="2504" operator="lessThan">
      <formula>20</formula>
    </cfRule>
    <cfRule type="cellIs" dxfId="1" priority="1489" operator="greaterThan">
      <formula>120</formula>
    </cfRule>
    <cfRule type="containsText" dxfId="2" priority="474" operator="between" text="库存为">
      <formula>NOT(ISERROR(SEARCH("库存为",AU547)))</formula>
    </cfRule>
  </conditionalFormatting>
  <conditionalFormatting sqref="AU548">
    <cfRule type="cellIs" dxfId="0" priority="2503" operator="lessThan">
      <formula>20</formula>
    </cfRule>
    <cfRule type="cellIs" dxfId="1" priority="1488" operator="greaterThan">
      <formula>120</formula>
    </cfRule>
    <cfRule type="containsText" dxfId="2" priority="473" operator="between" text="库存为">
      <formula>NOT(ISERROR(SEARCH("库存为",AU548)))</formula>
    </cfRule>
  </conditionalFormatting>
  <conditionalFormatting sqref="AU549">
    <cfRule type="cellIs" dxfId="0" priority="2502" operator="lessThan">
      <formula>20</formula>
    </cfRule>
    <cfRule type="cellIs" dxfId="1" priority="1487" operator="greaterThan">
      <formula>120</formula>
    </cfRule>
    <cfRule type="containsText" dxfId="2" priority="472" operator="between" text="库存为">
      <formula>NOT(ISERROR(SEARCH("库存为",AU549)))</formula>
    </cfRule>
  </conditionalFormatting>
  <conditionalFormatting sqref="AU550">
    <cfRule type="cellIs" dxfId="0" priority="2501" operator="lessThan">
      <formula>20</formula>
    </cfRule>
    <cfRule type="cellIs" dxfId="1" priority="1486" operator="greaterThan">
      <formula>120</formula>
    </cfRule>
    <cfRule type="containsText" dxfId="2" priority="471" operator="between" text="库存为">
      <formula>NOT(ISERROR(SEARCH("库存为",AU550)))</formula>
    </cfRule>
  </conditionalFormatting>
  <conditionalFormatting sqref="AU551">
    <cfRule type="cellIs" dxfId="0" priority="2500" operator="lessThan">
      <formula>20</formula>
    </cfRule>
    <cfRule type="cellIs" dxfId="1" priority="1485" operator="greaterThan">
      <formula>120</formula>
    </cfRule>
    <cfRule type="containsText" dxfId="2" priority="470" operator="between" text="库存为">
      <formula>NOT(ISERROR(SEARCH("库存为",AU551)))</formula>
    </cfRule>
  </conditionalFormatting>
  <conditionalFormatting sqref="AU552">
    <cfRule type="cellIs" dxfId="0" priority="2499" operator="lessThan">
      <formula>20</formula>
    </cfRule>
    <cfRule type="cellIs" dxfId="1" priority="1484" operator="greaterThan">
      <formula>120</formula>
    </cfRule>
    <cfRule type="containsText" dxfId="2" priority="469" operator="between" text="库存为">
      <formula>NOT(ISERROR(SEARCH("库存为",AU552)))</formula>
    </cfRule>
  </conditionalFormatting>
  <conditionalFormatting sqref="AU553">
    <cfRule type="cellIs" dxfId="0" priority="2498" operator="lessThan">
      <formula>20</formula>
    </cfRule>
    <cfRule type="cellIs" dxfId="1" priority="1483" operator="greaterThan">
      <formula>120</formula>
    </cfRule>
    <cfRule type="containsText" dxfId="2" priority="468" operator="between" text="库存为">
      <formula>NOT(ISERROR(SEARCH("库存为",AU553)))</formula>
    </cfRule>
  </conditionalFormatting>
  <conditionalFormatting sqref="AU554">
    <cfRule type="cellIs" dxfId="0" priority="2497" operator="lessThan">
      <formula>20</formula>
    </cfRule>
    <cfRule type="cellIs" dxfId="1" priority="1482" operator="greaterThan">
      <formula>120</formula>
    </cfRule>
    <cfRule type="containsText" dxfId="2" priority="467" operator="between" text="库存为">
      <formula>NOT(ISERROR(SEARCH("库存为",AU554)))</formula>
    </cfRule>
  </conditionalFormatting>
  <conditionalFormatting sqref="AU555">
    <cfRule type="cellIs" dxfId="0" priority="2496" operator="lessThan">
      <formula>20</formula>
    </cfRule>
    <cfRule type="cellIs" dxfId="1" priority="1481" operator="greaterThan">
      <formula>120</formula>
    </cfRule>
    <cfRule type="containsText" dxfId="2" priority="466" operator="between" text="库存为">
      <formula>NOT(ISERROR(SEARCH("库存为",AU555)))</formula>
    </cfRule>
  </conditionalFormatting>
  <conditionalFormatting sqref="AU556">
    <cfRule type="cellIs" dxfId="0" priority="2495" operator="lessThan">
      <formula>20</formula>
    </cfRule>
    <cfRule type="cellIs" dxfId="1" priority="1480" operator="greaterThan">
      <formula>120</formula>
    </cfRule>
    <cfRule type="containsText" dxfId="2" priority="465" operator="between" text="库存为">
      <formula>NOT(ISERROR(SEARCH("库存为",AU556)))</formula>
    </cfRule>
  </conditionalFormatting>
  <conditionalFormatting sqref="AU557">
    <cfRule type="cellIs" dxfId="0" priority="2494" operator="lessThan">
      <formula>20</formula>
    </cfRule>
    <cfRule type="cellIs" dxfId="1" priority="1479" operator="greaterThan">
      <formula>120</formula>
    </cfRule>
    <cfRule type="containsText" dxfId="2" priority="464" operator="between" text="库存为">
      <formula>NOT(ISERROR(SEARCH("库存为",AU557)))</formula>
    </cfRule>
  </conditionalFormatting>
  <conditionalFormatting sqref="AU558">
    <cfRule type="cellIs" dxfId="0" priority="2493" operator="lessThan">
      <formula>20</formula>
    </cfRule>
    <cfRule type="cellIs" dxfId="1" priority="1478" operator="greaterThan">
      <formula>120</formula>
    </cfRule>
    <cfRule type="containsText" dxfId="2" priority="463" operator="between" text="库存为">
      <formula>NOT(ISERROR(SEARCH("库存为",AU558)))</formula>
    </cfRule>
  </conditionalFormatting>
  <conditionalFormatting sqref="AU559">
    <cfRule type="cellIs" dxfId="0" priority="2492" operator="lessThan">
      <formula>20</formula>
    </cfRule>
    <cfRule type="cellIs" dxfId="1" priority="1477" operator="greaterThan">
      <formula>120</formula>
    </cfRule>
    <cfRule type="containsText" dxfId="2" priority="462" operator="between" text="库存为">
      <formula>NOT(ISERROR(SEARCH("库存为",AU559)))</formula>
    </cfRule>
  </conditionalFormatting>
  <conditionalFormatting sqref="AU560">
    <cfRule type="cellIs" dxfId="0" priority="2491" operator="lessThan">
      <formula>20</formula>
    </cfRule>
    <cfRule type="cellIs" dxfId="1" priority="1476" operator="greaterThan">
      <formula>120</formula>
    </cfRule>
    <cfRule type="containsText" dxfId="2" priority="461" operator="between" text="库存为">
      <formula>NOT(ISERROR(SEARCH("库存为",AU560)))</formula>
    </cfRule>
  </conditionalFormatting>
  <conditionalFormatting sqref="AU561">
    <cfRule type="cellIs" dxfId="0" priority="2490" operator="lessThan">
      <formula>20</formula>
    </cfRule>
    <cfRule type="cellIs" dxfId="1" priority="1475" operator="greaterThan">
      <formula>120</formula>
    </cfRule>
    <cfRule type="containsText" dxfId="2" priority="460" operator="between" text="库存为">
      <formula>NOT(ISERROR(SEARCH("库存为",AU561)))</formula>
    </cfRule>
  </conditionalFormatting>
  <conditionalFormatting sqref="AU562">
    <cfRule type="cellIs" dxfId="0" priority="2489" operator="lessThan">
      <formula>20</formula>
    </cfRule>
    <cfRule type="cellIs" dxfId="1" priority="1474" operator="greaterThan">
      <formula>120</formula>
    </cfRule>
    <cfRule type="containsText" dxfId="2" priority="459" operator="between" text="库存为">
      <formula>NOT(ISERROR(SEARCH("库存为",AU562)))</formula>
    </cfRule>
  </conditionalFormatting>
  <conditionalFormatting sqref="AU563">
    <cfRule type="cellIs" dxfId="0" priority="2488" operator="lessThan">
      <formula>20</formula>
    </cfRule>
    <cfRule type="cellIs" dxfId="1" priority="1473" operator="greaterThan">
      <formula>120</formula>
    </cfRule>
    <cfRule type="containsText" dxfId="2" priority="458" operator="between" text="库存为">
      <formula>NOT(ISERROR(SEARCH("库存为",AU563)))</formula>
    </cfRule>
  </conditionalFormatting>
  <conditionalFormatting sqref="AU564">
    <cfRule type="cellIs" dxfId="0" priority="2487" operator="lessThan">
      <formula>20</formula>
    </cfRule>
    <cfRule type="cellIs" dxfId="1" priority="1472" operator="greaterThan">
      <formula>120</formula>
    </cfRule>
    <cfRule type="containsText" dxfId="2" priority="457" operator="between" text="库存为">
      <formula>NOT(ISERROR(SEARCH("库存为",AU564)))</formula>
    </cfRule>
  </conditionalFormatting>
  <conditionalFormatting sqref="AU565">
    <cfRule type="cellIs" dxfId="0" priority="2486" operator="lessThan">
      <formula>20</formula>
    </cfRule>
    <cfRule type="cellIs" dxfId="1" priority="1471" operator="greaterThan">
      <formula>120</formula>
    </cfRule>
    <cfRule type="containsText" dxfId="2" priority="456" operator="between" text="库存为">
      <formula>NOT(ISERROR(SEARCH("库存为",AU565)))</formula>
    </cfRule>
  </conditionalFormatting>
  <conditionalFormatting sqref="AU566">
    <cfRule type="cellIs" dxfId="0" priority="2485" operator="lessThan">
      <formula>20</formula>
    </cfRule>
    <cfRule type="cellIs" dxfId="1" priority="1470" operator="greaterThan">
      <formula>120</formula>
    </cfRule>
    <cfRule type="containsText" dxfId="2" priority="455" operator="between" text="库存为">
      <formula>NOT(ISERROR(SEARCH("库存为",AU566)))</formula>
    </cfRule>
  </conditionalFormatting>
  <conditionalFormatting sqref="AU567">
    <cfRule type="cellIs" dxfId="0" priority="2484" operator="lessThan">
      <formula>20</formula>
    </cfRule>
    <cfRule type="cellIs" dxfId="1" priority="1469" operator="greaterThan">
      <formula>120</formula>
    </cfRule>
    <cfRule type="containsText" dxfId="2" priority="454" operator="between" text="库存为">
      <formula>NOT(ISERROR(SEARCH("库存为",AU567)))</formula>
    </cfRule>
  </conditionalFormatting>
  <conditionalFormatting sqref="AU568">
    <cfRule type="cellIs" dxfId="0" priority="2483" operator="lessThan">
      <formula>20</formula>
    </cfRule>
    <cfRule type="cellIs" dxfId="1" priority="1468" operator="greaterThan">
      <formula>120</formula>
    </cfRule>
    <cfRule type="containsText" dxfId="2" priority="453" operator="between" text="库存为">
      <formula>NOT(ISERROR(SEARCH("库存为",AU568)))</formula>
    </cfRule>
  </conditionalFormatting>
  <conditionalFormatting sqref="AU569">
    <cfRule type="cellIs" dxfId="0" priority="2482" operator="lessThan">
      <formula>20</formula>
    </cfRule>
    <cfRule type="cellIs" dxfId="1" priority="1467" operator="greaterThan">
      <formula>120</formula>
    </cfRule>
    <cfRule type="containsText" dxfId="2" priority="452" operator="between" text="库存为">
      <formula>NOT(ISERROR(SEARCH("库存为",AU569)))</formula>
    </cfRule>
  </conditionalFormatting>
  <conditionalFormatting sqref="AU570">
    <cfRule type="cellIs" dxfId="0" priority="2481" operator="lessThan">
      <formula>20</formula>
    </cfRule>
    <cfRule type="cellIs" dxfId="1" priority="1466" operator="greaterThan">
      <formula>120</formula>
    </cfRule>
    <cfRule type="containsText" dxfId="2" priority="451" operator="between" text="库存为">
      <formula>NOT(ISERROR(SEARCH("库存为",AU570)))</formula>
    </cfRule>
  </conditionalFormatting>
  <conditionalFormatting sqref="AU571">
    <cfRule type="cellIs" dxfId="0" priority="2480" operator="lessThan">
      <formula>20</formula>
    </cfRule>
    <cfRule type="cellIs" dxfId="1" priority="1465" operator="greaterThan">
      <formula>120</formula>
    </cfRule>
    <cfRule type="containsText" dxfId="2" priority="450" operator="between" text="库存为">
      <formula>NOT(ISERROR(SEARCH("库存为",AU571)))</formula>
    </cfRule>
  </conditionalFormatting>
  <conditionalFormatting sqref="AU572">
    <cfRule type="cellIs" dxfId="0" priority="2479" operator="lessThan">
      <formula>20</formula>
    </cfRule>
    <cfRule type="cellIs" dxfId="1" priority="1464" operator="greaterThan">
      <formula>120</formula>
    </cfRule>
    <cfRule type="containsText" dxfId="2" priority="449" operator="between" text="库存为">
      <formula>NOT(ISERROR(SEARCH("库存为",AU572)))</formula>
    </cfRule>
  </conditionalFormatting>
  <conditionalFormatting sqref="AU573">
    <cfRule type="cellIs" dxfId="0" priority="2478" operator="lessThan">
      <formula>20</formula>
    </cfRule>
    <cfRule type="cellIs" dxfId="1" priority="1463" operator="greaterThan">
      <formula>120</formula>
    </cfRule>
    <cfRule type="containsText" dxfId="2" priority="448" operator="between" text="库存为">
      <formula>NOT(ISERROR(SEARCH("库存为",AU573)))</formula>
    </cfRule>
  </conditionalFormatting>
  <conditionalFormatting sqref="AU574">
    <cfRule type="cellIs" dxfId="0" priority="2477" operator="lessThan">
      <formula>20</formula>
    </cfRule>
    <cfRule type="cellIs" dxfId="1" priority="1462" operator="greaterThan">
      <formula>120</formula>
    </cfRule>
    <cfRule type="containsText" dxfId="2" priority="447" operator="between" text="库存为">
      <formula>NOT(ISERROR(SEARCH("库存为",AU574)))</formula>
    </cfRule>
  </conditionalFormatting>
  <conditionalFormatting sqref="AU575">
    <cfRule type="cellIs" dxfId="0" priority="2476" operator="lessThan">
      <formula>20</formula>
    </cfRule>
    <cfRule type="cellIs" dxfId="1" priority="1461" operator="greaterThan">
      <formula>120</formula>
    </cfRule>
    <cfRule type="containsText" dxfId="2" priority="446" operator="between" text="库存为">
      <formula>NOT(ISERROR(SEARCH("库存为",AU575)))</formula>
    </cfRule>
  </conditionalFormatting>
  <conditionalFormatting sqref="AU576">
    <cfRule type="cellIs" dxfId="0" priority="2475" operator="lessThan">
      <formula>20</formula>
    </cfRule>
    <cfRule type="cellIs" dxfId="1" priority="1460" operator="greaterThan">
      <formula>120</formula>
    </cfRule>
    <cfRule type="containsText" dxfId="2" priority="445" operator="between" text="库存为">
      <formula>NOT(ISERROR(SEARCH("库存为",AU576)))</formula>
    </cfRule>
  </conditionalFormatting>
  <conditionalFormatting sqref="AU577">
    <cfRule type="cellIs" dxfId="0" priority="2474" operator="lessThan">
      <formula>20</formula>
    </cfRule>
    <cfRule type="cellIs" dxfId="1" priority="1459" operator="greaterThan">
      <formula>120</formula>
    </cfRule>
    <cfRule type="containsText" dxfId="2" priority="444" operator="between" text="库存为">
      <formula>NOT(ISERROR(SEARCH("库存为",AU577)))</formula>
    </cfRule>
  </conditionalFormatting>
  <conditionalFormatting sqref="AU578">
    <cfRule type="cellIs" dxfId="0" priority="2473" operator="lessThan">
      <formula>20</formula>
    </cfRule>
    <cfRule type="cellIs" dxfId="1" priority="1458" operator="greaterThan">
      <formula>120</formula>
    </cfRule>
    <cfRule type="containsText" dxfId="2" priority="443" operator="between" text="库存为">
      <formula>NOT(ISERROR(SEARCH("库存为",AU578)))</formula>
    </cfRule>
  </conditionalFormatting>
  <conditionalFormatting sqref="AU579">
    <cfRule type="cellIs" dxfId="0" priority="2472" operator="lessThan">
      <formula>20</formula>
    </cfRule>
    <cfRule type="cellIs" dxfId="1" priority="1457" operator="greaterThan">
      <formula>120</formula>
    </cfRule>
    <cfRule type="containsText" dxfId="2" priority="442" operator="between" text="库存为">
      <formula>NOT(ISERROR(SEARCH("库存为",AU579)))</formula>
    </cfRule>
  </conditionalFormatting>
  <conditionalFormatting sqref="AU580">
    <cfRule type="cellIs" dxfId="0" priority="2471" operator="lessThan">
      <formula>20</formula>
    </cfRule>
    <cfRule type="cellIs" dxfId="1" priority="1456" operator="greaterThan">
      <formula>120</formula>
    </cfRule>
    <cfRule type="containsText" dxfId="2" priority="441" operator="between" text="库存为">
      <formula>NOT(ISERROR(SEARCH("库存为",AU580)))</formula>
    </cfRule>
  </conditionalFormatting>
  <conditionalFormatting sqref="AU581">
    <cfRule type="cellIs" dxfId="0" priority="2470" operator="lessThan">
      <formula>20</formula>
    </cfRule>
    <cfRule type="cellIs" dxfId="1" priority="1455" operator="greaterThan">
      <formula>120</formula>
    </cfRule>
    <cfRule type="containsText" dxfId="2" priority="440" operator="between" text="库存为">
      <formula>NOT(ISERROR(SEARCH("库存为",AU581)))</formula>
    </cfRule>
  </conditionalFormatting>
  <conditionalFormatting sqref="AU582">
    <cfRule type="cellIs" dxfId="0" priority="2469" operator="lessThan">
      <formula>20</formula>
    </cfRule>
    <cfRule type="cellIs" dxfId="1" priority="1454" operator="greaterThan">
      <formula>120</formula>
    </cfRule>
    <cfRule type="containsText" dxfId="2" priority="439" operator="between" text="库存为">
      <formula>NOT(ISERROR(SEARCH("库存为",AU582)))</formula>
    </cfRule>
  </conditionalFormatting>
  <conditionalFormatting sqref="AU583">
    <cfRule type="cellIs" dxfId="0" priority="2468" operator="lessThan">
      <formula>20</formula>
    </cfRule>
    <cfRule type="cellIs" dxfId="1" priority="1453" operator="greaterThan">
      <formula>120</formula>
    </cfRule>
    <cfRule type="containsText" dxfId="2" priority="438" operator="between" text="库存为">
      <formula>NOT(ISERROR(SEARCH("库存为",AU583)))</formula>
    </cfRule>
  </conditionalFormatting>
  <conditionalFormatting sqref="AU584">
    <cfRule type="cellIs" dxfId="0" priority="2467" operator="lessThan">
      <formula>20</formula>
    </cfRule>
    <cfRule type="cellIs" dxfId="1" priority="1452" operator="greaterThan">
      <formula>120</formula>
    </cfRule>
    <cfRule type="containsText" dxfId="2" priority="437" operator="between" text="库存为">
      <formula>NOT(ISERROR(SEARCH("库存为",AU584)))</formula>
    </cfRule>
  </conditionalFormatting>
  <conditionalFormatting sqref="AU585">
    <cfRule type="cellIs" dxfId="0" priority="2466" operator="lessThan">
      <formula>20</formula>
    </cfRule>
    <cfRule type="cellIs" dxfId="1" priority="1451" operator="greaterThan">
      <formula>120</formula>
    </cfRule>
    <cfRule type="containsText" dxfId="2" priority="436" operator="between" text="库存为">
      <formula>NOT(ISERROR(SEARCH("库存为",AU585)))</formula>
    </cfRule>
  </conditionalFormatting>
  <conditionalFormatting sqref="AU586">
    <cfRule type="cellIs" dxfId="0" priority="2465" operator="lessThan">
      <formula>20</formula>
    </cfRule>
    <cfRule type="cellIs" dxfId="1" priority="1450" operator="greaterThan">
      <formula>120</formula>
    </cfRule>
    <cfRule type="containsText" dxfId="2" priority="435" operator="between" text="库存为">
      <formula>NOT(ISERROR(SEARCH("库存为",AU586)))</formula>
    </cfRule>
  </conditionalFormatting>
  <conditionalFormatting sqref="AU587">
    <cfRule type="cellIs" dxfId="0" priority="2464" operator="lessThan">
      <formula>20</formula>
    </cfRule>
    <cfRule type="cellIs" dxfId="1" priority="1449" operator="greaterThan">
      <formula>120</formula>
    </cfRule>
    <cfRule type="containsText" dxfId="2" priority="434" operator="between" text="库存为">
      <formula>NOT(ISERROR(SEARCH("库存为",AU587)))</formula>
    </cfRule>
  </conditionalFormatting>
  <conditionalFormatting sqref="AU588">
    <cfRule type="cellIs" dxfId="0" priority="2463" operator="lessThan">
      <formula>20</formula>
    </cfRule>
    <cfRule type="cellIs" dxfId="1" priority="1448" operator="greaterThan">
      <formula>120</formula>
    </cfRule>
    <cfRule type="containsText" dxfId="2" priority="433" operator="between" text="库存为">
      <formula>NOT(ISERROR(SEARCH("库存为",AU588)))</formula>
    </cfRule>
  </conditionalFormatting>
  <conditionalFormatting sqref="AU589">
    <cfRule type="cellIs" dxfId="0" priority="2462" operator="lessThan">
      <formula>20</formula>
    </cfRule>
    <cfRule type="cellIs" dxfId="1" priority="1447" operator="greaterThan">
      <formula>120</formula>
    </cfRule>
    <cfRule type="containsText" dxfId="2" priority="432" operator="between" text="库存为">
      <formula>NOT(ISERROR(SEARCH("库存为",AU589)))</formula>
    </cfRule>
  </conditionalFormatting>
  <conditionalFormatting sqref="AU590">
    <cfRule type="cellIs" dxfId="0" priority="2461" operator="lessThan">
      <formula>20</formula>
    </cfRule>
    <cfRule type="cellIs" dxfId="1" priority="1446" operator="greaterThan">
      <formula>120</formula>
    </cfRule>
    <cfRule type="containsText" dxfId="2" priority="431" operator="between" text="库存为">
      <formula>NOT(ISERROR(SEARCH("库存为",AU590)))</formula>
    </cfRule>
  </conditionalFormatting>
  <conditionalFormatting sqref="AU591">
    <cfRule type="cellIs" dxfId="0" priority="2460" operator="lessThan">
      <formula>20</formula>
    </cfRule>
    <cfRule type="cellIs" dxfId="1" priority="1445" operator="greaterThan">
      <formula>120</formula>
    </cfRule>
    <cfRule type="containsText" dxfId="2" priority="430" operator="between" text="库存为">
      <formula>NOT(ISERROR(SEARCH("库存为",AU591)))</formula>
    </cfRule>
  </conditionalFormatting>
  <conditionalFormatting sqref="AU592">
    <cfRule type="cellIs" dxfId="0" priority="2459" operator="lessThan">
      <formula>20</formula>
    </cfRule>
    <cfRule type="cellIs" dxfId="1" priority="1444" operator="greaterThan">
      <formula>120</formula>
    </cfRule>
    <cfRule type="containsText" dxfId="2" priority="429" operator="between" text="库存为">
      <formula>NOT(ISERROR(SEARCH("库存为",AU592)))</formula>
    </cfRule>
  </conditionalFormatting>
  <conditionalFormatting sqref="AU593">
    <cfRule type="cellIs" dxfId="0" priority="2458" operator="lessThan">
      <formula>20</formula>
    </cfRule>
    <cfRule type="cellIs" dxfId="1" priority="1443" operator="greaterThan">
      <formula>120</formula>
    </cfRule>
    <cfRule type="containsText" dxfId="2" priority="428" operator="between" text="库存为">
      <formula>NOT(ISERROR(SEARCH("库存为",AU593)))</formula>
    </cfRule>
  </conditionalFormatting>
  <conditionalFormatting sqref="AU594">
    <cfRule type="cellIs" dxfId="0" priority="2457" operator="lessThan">
      <formula>20</formula>
    </cfRule>
    <cfRule type="cellIs" dxfId="1" priority="1442" operator="greaterThan">
      <formula>120</formula>
    </cfRule>
    <cfRule type="containsText" dxfId="2" priority="427" operator="between" text="库存为">
      <formula>NOT(ISERROR(SEARCH("库存为",AU594)))</formula>
    </cfRule>
  </conditionalFormatting>
  <conditionalFormatting sqref="AU595">
    <cfRule type="cellIs" dxfId="0" priority="2456" operator="lessThan">
      <formula>20</formula>
    </cfRule>
    <cfRule type="cellIs" dxfId="1" priority="1441" operator="greaterThan">
      <formula>120</formula>
    </cfRule>
    <cfRule type="containsText" dxfId="2" priority="426" operator="between" text="库存为">
      <formula>NOT(ISERROR(SEARCH("库存为",AU595)))</formula>
    </cfRule>
  </conditionalFormatting>
  <conditionalFormatting sqref="AU596">
    <cfRule type="cellIs" dxfId="0" priority="2455" operator="lessThan">
      <formula>20</formula>
    </cfRule>
    <cfRule type="cellIs" dxfId="1" priority="1440" operator="greaterThan">
      <formula>120</formula>
    </cfRule>
    <cfRule type="containsText" dxfId="2" priority="425" operator="between" text="库存为">
      <formula>NOT(ISERROR(SEARCH("库存为",AU596)))</formula>
    </cfRule>
  </conditionalFormatting>
  <conditionalFormatting sqref="AU597">
    <cfRule type="cellIs" dxfId="0" priority="2454" operator="lessThan">
      <formula>20</formula>
    </cfRule>
    <cfRule type="cellIs" dxfId="1" priority="1439" operator="greaterThan">
      <formula>120</formula>
    </cfRule>
    <cfRule type="containsText" dxfId="2" priority="424" operator="between" text="库存为">
      <formula>NOT(ISERROR(SEARCH("库存为",AU597)))</formula>
    </cfRule>
  </conditionalFormatting>
  <conditionalFormatting sqref="AU598">
    <cfRule type="cellIs" dxfId="0" priority="2453" operator="lessThan">
      <formula>20</formula>
    </cfRule>
    <cfRule type="cellIs" dxfId="1" priority="1438" operator="greaterThan">
      <formula>120</formula>
    </cfRule>
    <cfRule type="containsText" dxfId="2" priority="423" operator="between" text="库存为">
      <formula>NOT(ISERROR(SEARCH("库存为",AU598)))</formula>
    </cfRule>
  </conditionalFormatting>
  <conditionalFormatting sqref="AU599">
    <cfRule type="cellIs" dxfId="0" priority="2452" operator="lessThan">
      <formula>20</formula>
    </cfRule>
    <cfRule type="cellIs" dxfId="1" priority="1437" operator="greaterThan">
      <formula>120</formula>
    </cfRule>
    <cfRule type="containsText" dxfId="2" priority="422" operator="between" text="库存为">
      <formula>NOT(ISERROR(SEARCH("库存为",AU599)))</formula>
    </cfRule>
  </conditionalFormatting>
  <conditionalFormatting sqref="AU600">
    <cfRule type="cellIs" dxfId="0" priority="2451" operator="lessThan">
      <formula>20</formula>
    </cfRule>
    <cfRule type="cellIs" dxfId="1" priority="1436" operator="greaterThan">
      <formula>120</formula>
    </cfRule>
    <cfRule type="containsText" dxfId="2" priority="421" operator="between" text="库存为">
      <formula>NOT(ISERROR(SEARCH("库存为",AU600)))</formula>
    </cfRule>
  </conditionalFormatting>
  <conditionalFormatting sqref="AU601">
    <cfRule type="cellIs" dxfId="0" priority="2450" operator="lessThan">
      <formula>20</formula>
    </cfRule>
    <cfRule type="cellIs" dxfId="1" priority="1435" operator="greaterThan">
      <formula>120</formula>
    </cfRule>
    <cfRule type="containsText" dxfId="2" priority="420" operator="between" text="库存为">
      <formula>NOT(ISERROR(SEARCH("库存为",AU601)))</formula>
    </cfRule>
  </conditionalFormatting>
  <conditionalFormatting sqref="AU602">
    <cfRule type="cellIs" dxfId="0" priority="2449" operator="lessThan">
      <formula>20</formula>
    </cfRule>
    <cfRule type="cellIs" dxfId="1" priority="1434" operator="greaterThan">
      <formula>120</formula>
    </cfRule>
    <cfRule type="containsText" dxfId="2" priority="419" operator="between" text="库存为">
      <formula>NOT(ISERROR(SEARCH("库存为",AU602)))</formula>
    </cfRule>
  </conditionalFormatting>
  <conditionalFormatting sqref="AU603">
    <cfRule type="cellIs" dxfId="0" priority="2448" operator="lessThan">
      <formula>20</formula>
    </cfRule>
    <cfRule type="cellIs" dxfId="1" priority="1433" operator="greaterThan">
      <formula>120</formula>
    </cfRule>
    <cfRule type="containsText" dxfId="2" priority="418" operator="between" text="库存为">
      <formula>NOT(ISERROR(SEARCH("库存为",AU603)))</formula>
    </cfRule>
  </conditionalFormatting>
  <conditionalFormatting sqref="AU604">
    <cfRule type="cellIs" dxfId="0" priority="2447" operator="lessThan">
      <formula>20</formula>
    </cfRule>
    <cfRule type="cellIs" dxfId="1" priority="1432" operator="greaterThan">
      <formula>120</formula>
    </cfRule>
    <cfRule type="containsText" dxfId="2" priority="417" operator="between" text="库存为">
      <formula>NOT(ISERROR(SEARCH("库存为",AU604)))</formula>
    </cfRule>
  </conditionalFormatting>
  <conditionalFormatting sqref="AU605">
    <cfRule type="cellIs" dxfId="0" priority="2446" operator="lessThan">
      <formula>20</formula>
    </cfRule>
    <cfRule type="cellIs" dxfId="1" priority="1431" operator="greaterThan">
      <formula>120</formula>
    </cfRule>
    <cfRule type="containsText" dxfId="2" priority="416" operator="between" text="库存为">
      <formula>NOT(ISERROR(SEARCH("库存为",AU605)))</formula>
    </cfRule>
  </conditionalFormatting>
  <conditionalFormatting sqref="AU606">
    <cfRule type="cellIs" dxfId="0" priority="2445" operator="lessThan">
      <formula>20</formula>
    </cfRule>
    <cfRule type="cellIs" dxfId="1" priority="1430" operator="greaterThan">
      <formula>120</formula>
    </cfRule>
    <cfRule type="containsText" dxfId="2" priority="415" operator="between" text="库存为">
      <formula>NOT(ISERROR(SEARCH("库存为",AU606)))</formula>
    </cfRule>
  </conditionalFormatting>
  <conditionalFormatting sqref="AU607">
    <cfRule type="cellIs" dxfId="0" priority="2444" operator="lessThan">
      <formula>20</formula>
    </cfRule>
    <cfRule type="cellIs" dxfId="1" priority="1429" operator="greaterThan">
      <formula>120</formula>
    </cfRule>
    <cfRule type="containsText" dxfId="2" priority="414" operator="between" text="库存为">
      <formula>NOT(ISERROR(SEARCH("库存为",AU607)))</formula>
    </cfRule>
  </conditionalFormatting>
  <conditionalFormatting sqref="AU608">
    <cfRule type="cellIs" dxfId="0" priority="2443" operator="lessThan">
      <formula>20</formula>
    </cfRule>
    <cfRule type="cellIs" dxfId="1" priority="1428" operator="greaterThan">
      <formula>120</formula>
    </cfRule>
    <cfRule type="containsText" dxfId="2" priority="413" operator="between" text="库存为">
      <formula>NOT(ISERROR(SEARCH("库存为",AU608)))</formula>
    </cfRule>
  </conditionalFormatting>
  <conditionalFormatting sqref="AU609">
    <cfRule type="cellIs" dxfId="0" priority="2442" operator="lessThan">
      <formula>20</formula>
    </cfRule>
    <cfRule type="cellIs" dxfId="1" priority="1427" operator="greaterThan">
      <formula>120</formula>
    </cfRule>
    <cfRule type="containsText" dxfId="2" priority="412" operator="between" text="库存为">
      <formula>NOT(ISERROR(SEARCH("库存为",AU609)))</formula>
    </cfRule>
  </conditionalFormatting>
  <conditionalFormatting sqref="AU610">
    <cfRule type="cellIs" dxfId="0" priority="2441" operator="lessThan">
      <formula>20</formula>
    </cfRule>
    <cfRule type="cellIs" dxfId="1" priority="1426" operator="greaterThan">
      <formula>120</formula>
    </cfRule>
    <cfRule type="containsText" dxfId="2" priority="411" operator="between" text="库存为">
      <formula>NOT(ISERROR(SEARCH("库存为",AU610)))</formula>
    </cfRule>
  </conditionalFormatting>
  <conditionalFormatting sqref="AU611">
    <cfRule type="cellIs" dxfId="0" priority="2440" operator="lessThan">
      <formula>20</formula>
    </cfRule>
    <cfRule type="cellIs" dxfId="1" priority="1425" operator="greaterThan">
      <formula>120</formula>
    </cfRule>
    <cfRule type="containsText" dxfId="2" priority="410" operator="between" text="库存为">
      <formula>NOT(ISERROR(SEARCH("库存为",AU611)))</formula>
    </cfRule>
  </conditionalFormatting>
  <conditionalFormatting sqref="AU612">
    <cfRule type="cellIs" dxfId="0" priority="2439" operator="lessThan">
      <formula>20</formula>
    </cfRule>
    <cfRule type="cellIs" dxfId="1" priority="1424" operator="greaterThan">
      <formula>120</formula>
    </cfRule>
    <cfRule type="containsText" dxfId="2" priority="409" operator="between" text="库存为">
      <formula>NOT(ISERROR(SEARCH("库存为",AU612)))</formula>
    </cfRule>
  </conditionalFormatting>
  <conditionalFormatting sqref="AU613">
    <cfRule type="cellIs" dxfId="0" priority="2438" operator="lessThan">
      <formula>20</formula>
    </cfRule>
    <cfRule type="cellIs" dxfId="1" priority="1423" operator="greaterThan">
      <formula>120</formula>
    </cfRule>
    <cfRule type="containsText" dxfId="2" priority="408" operator="between" text="库存为">
      <formula>NOT(ISERROR(SEARCH("库存为",AU613)))</formula>
    </cfRule>
  </conditionalFormatting>
  <conditionalFormatting sqref="AU614">
    <cfRule type="cellIs" dxfId="0" priority="2437" operator="lessThan">
      <formula>20</formula>
    </cfRule>
    <cfRule type="cellIs" dxfId="1" priority="1422" operator="greaterThan">
      <formula>120</formula>
    </cfRule>
    <cfRule type="containsText" dxfId="2" priority="407" operator="between" text="库存为">
      <formula>NOT(ISERROR(SEARCH("库存为",AU614)))</formula>
    </cfRule>
  </conditionalFormatting>
  <conditionalFormatting sqref="AU615">
    <cfRule type="cellIs" dxfId="0" priority="2436" operator="lessThan">
      <formula>20</formula>
    </cfRule>
    <cfRule type="cellIs" dxfId="1" priority="1421" operator="greaterThan">
      <formula>120</formula>
    </cfRule>
    <cfRule type="containsText" dxfId="2" priority="406" operator="between" text="库存为">
      <formula>NOT(ISERROR(SEARCH("库存为",AU615)))</formula>
    </cfRule>
  </conditionalFormatting>
  <conditionalFormatting sqref="AU616">
    <cfRule type="cellIs" dxfId="0" priority="2435" operator="lessThan">
      <formula>20</formula>
    </cfRule>
    <cfRule type="cellIs" dxfId="1" priority="1420" operator="greaterThan">
      <formula>120</formula>
    </cfRule>
    <cfRule type="containsText" dxfId="2" priority="405" operator="between" text="库存为">
      <formula>NOT(ISERROR(SEARCH("库存为",AU616)))</formula>
    </cfRule>
  </conditionalFormatting>
  <conditionalFormatting sqref="AU617">
    <cfRule type="cellIs" dxfId="0" priority="2434" operator="lessThan">
      <formula>20</formula>
    </cfRule>
    <cfRule type="cellIs" dxfId="1" priority="1419" operator="greaterThan">
      <formula>120</formula>
    </cfRule>
    <cfRule type="containsText" dxfId="2" priority="404" operator="between" text="库存为">
      <formula>NOT(ISERROR(SEARCH("库存为",AU617)))</formula>
    </cfRule>
  </conditionalFormatting>
  <conditionalFormatting sqref="AU618">
    <cfRule type="cellIs" dxfId="0" priority="2433" operator="lessThan">
      <formula>20</formula>
    </cfRule>
    <cfRule type="cellIs" dxfId="1" priority="1418" operator="greaterThan">
      <formula>120</formula>
    </cfRule>
    <cfRule type="containsText" dxfId="2" priority="403" operator="between" text="库存为">
      <formula>NOT(ISERROR(SEARCH("库存为",AU618)))</formula>
    </cfRule>
  </conditionalFormatting>
  <conditionalFormatting sqref="AU619">
    <cfRule type="cellIs" dxfId="0" priority="2432" operator="lessThan">
      <formula>20</formula>
    </cfRule>
    <cfRule type="cellIs" dxfId="1" priority="1417" operator="greaterThan">
      <formula>120</formula>
    </cfRule>
    <cfRule type="containsText" dxfId="2" priority="402" operator="between" text="库存为">
      <formula>NOT(ISERROR(SEARCH("库存为",AU619)))</formula>
    </cfRule>
  </conditionalFormatting>
  <conditionalFormatting sqref="AU620">
    <cfRule type="cellIs" dxfId="0" priority="2431" operator="lessThan">
      <formula>20</formula>
    </cfRule>
    <cfRule type="cellIs" dxfId="1" priority="1416" operator="greaterThan">
      <formula>120</formula>
    </cfRule>
    <cfRule type="containsText" dxfId="2" priority="401" operator="between" text="库存为">
      <formula>NOT(ISERROR(SEARCH("库存为",AU620)))</formula>
    </cfRule>
  </conditionalFormatting>
  <conditionalFormatting sqref="AU621">
    <cfRule type="cellIs" dxfId="0" priority="2430" operator="lessThan">
      <formula>20</formula>
    </cfRule>
    <cfRule type="cellIs" dxfId="1" priority="1415" operator="greaterThan">
      <formula>120</formula>
    </cfRule>
    <cfRule type="containsText" dxfId="2" priority="400" operator="between" text="库存为">
      <formula>NOT(ISERROR(SEARCH("库存为",AU621)))</formula>
    </cfRule>
  </conditionalFormatting>
  <conditionalFormatting sqref="AU622">
    <cfRule type="cellIs" dxfId="0" priority="2429" operator="lessThan">
      <formula>20</formula>
    </cfRule>
    <cfRule type="cellIs" dxfId="1" priority="1414" operator="greaterThan">
      <formula>120</formula>
    </cfRule>
    <cfRule type="containsText" dxfId="2" priority="399" operator="between" text="库存为">
      <formula>NOT(ISERROR(SEARCH("库存为",AU622)))</formula>
    </cfRule>
  </conditionalFormatting>
  <conditionalFormatting sqref="AU623">
    <cfRule type="cellIs" dxfId="0" priority="2428" operator="lessThan">
      <formula>20</formula>
    </cfRule>
    <cfRule type="cellIs" dxfId="1" priority="1413" operator="greaterThan">
      <formula>120</formula>
    </cfRule>
    <cfRule type="containsText" dxfId="2" priority="398" operator="between" text="库存为">
      <formula>NOT(ISERROR(SEARCH("库存为",AU623)))</formula>
    </cfRule>
  </conditionalFormatting>
  <conditionalFormatting sqref="AU624">
    <cfRule type="cellIs" dxfId="0" priority="2427" operator="lessThan">
      <formula>20</formula>
    </cfRule>
    <cfRule type="cellIs" dxfId="1" priority="1412" operator="greaterThan">
      <formula>120</formula>
    </cfRule>
    <cfRule type="containsText" dxfId="2" priority="397" operator="between" text="库存为">
      <formula>NOT(ISERROR(SEARCH("库存为",AU624)))</formula>
    </cfRule>
  </conditionalFormatting>
  <conditionalFormatting sqref="AU625">
    <cfRule type="cellIs" dxfId="0" priority="2426" operator="lessThan">
      <formula>20</formula>
    </cfRule>
    <cfRule type="cellIs" dxfId="1" priority="1411" operator="greaterThan">
      <formula>120</formula>
    </cfRule>
    <cfRule type="containsText" dxfId="2" priority="396" operator="between" text="库存为">
      <formula>NOT(ISERROR(SEARCH("库存为",AU625)))</formula>
    </cfRule>
  </conditionalFormatting>
  <conditionalFormatting sqref="AU626">
    <cfRule type="cellIs" dxfId="0" priority="2425" operator="lessThan">
      <formula>20</formula>
    </cfRule>
    <cfRule type="cellIs" dxfId="1" priority="1410" operator="greaterThan">
      <formula>120</formula>
    </cfRule>
    <cfRule type="containsText" dxfId="2" priority="395" operator="between" text="库存为">
      <formula>NOT(ISERROR(SEARCH("库存为",AU626)))</formula>
    </cfRule>
  </conditionalFormatting>
  <conditionalFormatting sqref="AU627">
    <cfRule type="cellIs" dxfId="0" priority="2424" operator="lessThan">
      <formula>20</formula>
    </cfRule>
    <cfRule type="cellIs" dxfId="1" priority="1409" operator="greaterThan">
      <formula>120</formula>
    </cfRule>
    <cfRule type="containsText" dxfId="2" priority="394" operator="between" text="库存为">
      <formula>NOT(ISERROR(SEARCH("库存为",AU627)))</formula>
    </cfRule>
  </conditionalFormatting>
  <conditionalFormatting sqref="AU628">
    <cfRule type="cellIs" dxfId="0" priority="2423" operator="lessThan">
      <formula>20</formula>
    </cfRule>
    <cfRule type="cellIs" dxfId="1" priority="1408" operator="greaterThan">
      <formula>120</formula>
    </cfRule>
    <cfRule type="containsText" dxfId="2" priority="393" operator="between" text="库存为">
      <formula>NOT(ISERROR(SEARCH("库存为",AU628)))</formula>
    </cfRule>
  </conditionalFormatting>
  <conditionalFormatting sqref="AU629">
    <cfRule type="cellIs" dxfId="0" priority="2422" operator="lessThan">
      <formula>20</formula>
    </cfRule>
    <cfRule type="cellIs" dxfId="1" priority="1407" operator="greaterThan">
      <formula>120</formula>
    </cfRule>
    <cfRule type="containsText" dxfId="2" priority="392" operator="between" text="库存为">
      <formula>NOT(ISERROR(SEARCH("库存为",AU629)))</formula>
    </cfRule>
  </conditionalFormatting>
  <conditionalFormatting sqref="AU630">
    <cfRule type="cellIs" dxfId="0" priority="2421" operator="lessThan">
      <formula>20</formula>
    </cfRule>
    <cfRule type="cellIs" dxfId="1" priority="1406" operator="greaterThan">
      <formula>120</formula>
    </cfRule>
    <cfRule type="containsText" dxfId="2" priority="391" operator="between" text="库存为">
      <formula>NOT(ISERROR(SEARCH("库存为",AU630)))</formula>
    </cfRule>
  </conditionalFormatting>
  <conditionalFormatting sqref="AU631">
    <cfRule type="cellIs" dxfId="0" priority="2420" operator="lessThan">
      <formula>20</formula>
    </cfRule>
    <cfRule type="cellIs" dxfId="1" priority="1405" operator="greaterThan">
      <formula>120</formula>
    </cfRule>
    <cfRule type="containsText" dxfId="2" priority="390" operator="between" text="库存为">
      <formula>NOT(ISERROR(SEARCH("库存为",AU631)))</formula>
    </cfRule>
  </conditionalFormatting>
  <conditionalFormatting sqref="AU632">
    <cfRule type="cellIs" dxfId="0" priority="2419" operator="lessThan">
      <formula>20</formula>
    </cfRule>
    <cfRule type="cellIs" dxfId="1" priority="1404" operator="greaterThan">
      <formula>120</formula>
    </cfRule>
    <cfRule type="containsText" dxfId="2" priority="389" operator="between" text="库存为">
      <formula>NOT(ISERROR(SEARCH("库存为",AU632)))</formula>
    </cfRule>
  </conditionalFormatting>
  <conditionalFormatting sqref="AU633">
    <cfRule type="cellIs" dxfId="0" priority="2418" operator="lessThan">
      <formula>20</formula>
    </cfRule>
    <cfRule type="cellIs" dxfId="1" priority="1403" operator="greaterThan">
      <formula>120</formula>
    </cfRule>
    <cfRule type="containsText" dxfId="2" priority="388" operator="between" text="库存为">
      <formula>NOT(ISERROR(SEARCH("库存为",AU633)))</formula>
    </cfRule>
  </conditionalFormatting>
  <conditionalFormatting sqref="AU634">
    <cfRule type="cellIs" dxfId="0" priority="2417" operator="lessThan">
      <formula>20</formula>
    </cfRule>
    <cfRule type="cellIs" dxfId="1" priority="1402" operator="greaterThan">
      <formula>120</formula>
    </cfRule>
    <cfRule type="containsText" dxfId="2" priority="387" operator="between" text="库存为">
      <formula>NOT(ISERROR(SEARCH("库存为",AU634)))</formula>
    </cfRule>
  </conditionalFormatting>
  <conditionalFormatting sqref="AU635">
    <cfRule type="cellIs" dxfId="0" priority="2416" operator="lessThan">
      <formula>20</formula>
    </cfRule>
    <cfRule type="cellIs" dxfId="1" priority="1401" operator="greaterThan">
      <formula>120</formula>
    </cfRule>
    <cfRule type="containsText" dxfId="2" priority="386" operator="between" text="库存为">
      <formula>NOT(ISERROR(SEARCH("库存为",AU635)))</formula>
    </cfRule>
  </conditionalFormatting>
  <conditionalFormatting sqref="AU636">
    <cfRule type="cellIs" dxfId="0" priority="2415" operator="lessThan">
      <formula>20</formula>
    </cfRule>
    <cfRule type="cellIs" dxfId="1" priority="1400" operator="greaterThan">
      <formula>120</formula>
    </cfRule>
    <cfRule type="containsText" dxfId="2" priority="385" operator="between" text="库存为">
      <formula>NOT(ISERROR(SEARCH("库存为",AU636)))</formula>
    </cfRule>
  </conditionalFormatting>
  <conditionalFormatting sqref="AU637">
    <cfRule type="cellIs" dxfId="0" priority="2414" operator="lessThan">
      <formula>20</formula>
    </cfRule>
    <cfRule type="cellIs" dxfId="1" priority="1399" operator="greaterThan">
      <formula>120</formula>
    </cfRule>
    <cfRule type="containsText" dxfId="2" priority="384" operator="between" text="库存为">
      <formula>NOT(ISERROR(SEARCH("库存为",AU637)))</formula>
    </cfRule>
  </conditionalFormatting>
  <conditionalFormatting sqref="AU638">
    <cfRule type="cellIs" dxfId="0" priority="2413" operator="lessThan">
      <formula>20</formula>
    </cfRule>
    <cfRule type="cellIs" dxfId="1" priority="1398" operator="greaterThan">
      <formula>120</formula>
    </cfRule>
    <cfRule type="containsText" dxfId="2" priority="383" operator="between" text="库存为">
      <formula>NOT(ISERROR(SEARCH("库存为",AU638)))</formula>
    </cfRule>
  </conditionalFormatting>
  <conditionalFormatting sqref="AU639">
    <cfRule type="cellIs" dxfId="0" priority="2412" operator="lessThan">
      <formula>20</formula>
    </cfRule>
    <cfRule type="cellIs" dxfId="1" priority="1397" operator="greaterThan">
      <formula>120</formula>
    </cfRule>
    <cfRule type="containsText" dxfId="2" priority="382" operator="between" text="库存为">
      <formula>NOT(ISERROR(SEARCH("库存为",AU639)))</formula>
    </cfRule>
  </conditionalFormatting>
  <conditionalFormatting sqref="AU640">
    <cfRule type="cellIs" dxfId="0" priority="2411" operator="lessThan">
      <formula>20</formula>
    </cfRule>
    <cfRule type="cellIs" dxfId="1" priority="1396" operator="greaterThan">
      <formula>120</formula>
    </cfRule>
    <cfRule type="containsText" dxfId="2" priority="381" operator="between" text="库存为">
      <formula>NOT(ISERROR(SEARCH("库存为",AU640)))</formula>
    </cfRule>
  </conditionalFormatting>
  <conditionalFormatting sqref="AU641">
    <cfRule type="cellIs" dxfId="0" priority="2410" operator="lessThan">
      <formula>20</formula>
    </cfRule>
    <cfRule type="cellIs" dxfId="1" priority="1395" operator="greaterThan">
      <formula>120</formula>
    </cfRule>
    <cfRule type="containsText" dxfId="2" priority="380" operator="between" text="库存为">
      <formula>NOT(ISERROR(SEARCH("库存为",AU641)))</formula>
    </cfRule>
  </conditionalFormatting>
  <conditionalFormatting sqref="AU642">
    <cfRule type="cellIs" dxfId="0" priority="2409" operator="lessThan">
      <formula>20</formula>
    </cfRule>
    <cfRule type="cellIs" dxfId="1" priority="1394" operator="greaterThan">
      <formula>120</formula>
    </cfRule>
    <cfRule type="containsText" dxfId="2" priority="379" operator="between" text="库存为">
      <formula>NOT(ISERROR(SEARCH("库存为",AU642)))</formula>
    </cfRule>
  </conditionalFormatting>
  <conditionalFormatting sqref="AU643">
    <cfRule type="cellIs" dxfId="0" priority="2408" operator="lessThan">
      <formula>20</formula>
    </cfRule>
    <cfRule type="cellIs" dxfId="1" priority="1393" operator="greaterThan">
      <formula>120</formula>
    </cfRule>
    <cfRule type="containsText" dxfId="2" priority="378" operator="between" text="库存为">
      <formula>NOT(ISERROR(SEARCH("库存为",AU643)))</formula>
    </cfRule>
  </conditionalFormatting>
  <conditionalFormatting sqref="AU644">
    <cfRule type="cellIs" dxfId="0" priority="2407" operator="lessThan">
      <formula>20</formula>
    </cfRule>
    <cfRule type="cellIs" dxfId="1" priority="1392" operator="greaterThan">
      <formula>120</formula>
    </cfRule>
    <cfRule type="containsText" dxfId="2" priority="377" operator="between" text="库存为">
      <formula>NOT(ISERROR(SEARCH("库存为",AU644)))</formula>
    </cfRule>
  </conditionalFormatting>
  <conditionalFormatting sqref="AU645">
    <cfRule type="cellIs" dxfId="0" priority="2406" operator="lessThan">
      <formula>20</formula>
    </cfRule>
    <cfRule type="cellIs" dxfId="1" priority="1391" operator="greaterThan">
      <formula>120</formula>
    </cfRule>
    <cfRule type="containsText" dxfId="2" priority="376" operator="between" text="库存为">
      <formula>NOT(ISERROR(SEARCH("库存为",AU645)))</formula>
    </cfRule>
  </conditionalFormatting>
  <conditionalFormatting sqref="AU646">
    <cfRule type="cellIs" dxfId="0" priority="2405" operator="lessThan">
      <formula>20</formula>
    </cfRule>
    <cfRule type="cellIs" dxfId="1" priority="1390" operator="greaterThan">
      <formula>120</formula>
    </cfRule>
    <cfRule type="containsText" dxfId="2" priority="375" operator="between" text="库存为">
      <formula>NOT(ISERROR(SEARCH("库存为",AU646)))</formula>
    </cfRule>
  </conditionalFormatting>
  <conditionalFormatting sqref="AU647">
    <cfRule type="cellIs" dxfId="0" priority="2404" operator="lessThan">
      <formula>20</formula>
    </cfRule>
    <cfRule type="cellIs" dxfId="1" priority="1389" operator="greaterThan">
      <formula>120</formula>
    </cfRule>
    <cfRule type="containsText" dxfId="2" priority="374" operator="between" text="库存为">
      <formula>NOT(ISERROR(SEARCH("库存为",AU647)))</formula>
    </cfRule>
  </conditionalFormatting>
  <conditionalFormatting sqref="AU648">
    <cfRule type="cellIs" dxfId="0" priority="2403" operator="lessThan">
      <formula>20</formula>
    </cfRule>
    <cfRule type="cellIs" dxfId="1" priority="1388" operator="greaterThan">
      <formula>120</formula>
    </cfRule>
    <cfRule type="containsText" dxfId="2" priority="373" operator="between" text="库存为">
      <formula>NOT(ISERROR(SEARCH("库存为",AU648)))</formula>
    </cfRule>
  </conditionalFormatting>
  <conditionalFormatting sqref="AU649">
    <cfRule type="cellIs" dxfId="0" priority="2402" operator="lessThan">
      <formula>20</formula>
    </cfRule>
    <cfRule type="cellIs" dxfId="1" priority="1387" operator="greaterThan">
      <formula>120</formula>
    </cfRule>
    <cfRule type="containsText" dxfId="2" priority="372" operator="between" text="库存为">
      <formula>NOT(ISERROR(SEARCH("库存为",AU649)))</formula>
    </cfRule>
  </conditionalFormatting>
  <conditionalFormatting sqref="AU650">
    <cfRule type="cellIs" dxfId="0" priority="2401" operator="lessThan">
      <formula>20</formula>
    </cfRule>
    <cfRule type="cellIs" dxfId="1" priority="1386" operator="greaterThan">
      <formula>120</formula>
    </cfRule>
    <cfRule type="containsText" dxfId="2" priority="371" operator="between" text="库存为">
      <formula>NOT(ISERROR(SEARCH("库存为",AU650)))</formula>
    </cfRule>
  </conditionalFormatting>
  <conditionalFormatting sqref="AU651">
    <cfRule type="cellIs" dxfId="0" priority="2400" operator="lessThan">
      <formula>20</formula>
    </cfRule>
    <cfRule type="cellIs" dxfId="1" priority="1385" operator="greaterThan">
      <formula>120</formula>
    </cfRule>
    <cfRule type="containsText" dxfId="2" priority="370" operator="between" text="库存为">
      <formula>NOT(ISERROR(SEARCH("库存为",AU651)))</formula>
    </cfRule>
  </conditionalFormatting>
  <conditionalFormatting sqref="AU652">
    <cfRule type="cellIs" dxfId="0" priority="2399" operator="lessThan">
      <formula>20</formula>
    </cfRule>
    <cfRule type="cellIs" dxfId="1" priority="1384" operator="greaterThan">
      <formula>120</formula>
    </cfRule>
    <cfRule type="containsText" dxfId="2" priority="369" operator="between" text="库存为">
      <formula>NOT(ISERROR(SEARCH("库存为",AU652)))</formula>
    </cfRule>
  </conditionalFormatting>
  <conditionalFormatting sqref="AU653">
    <cfRule type="cellIs" dxfId="0" priority="2398" operator="lessThan">
      <formula>20</formula>
    </cfRule>
    <cfRule type="cellIs" dxfId="1" priority="1383" operator="greaterThan">
      <formula>120</formula>
    </cfRule>
    <cfRule type="containsText" dxfId="2" priority="368" operator="between" text="库存为">
      <formula>NOT(ISERROR(SEARCH("库存为",AU653)))</formula>
    </cfRule>
  </conditionalFormatting>
  <conditionalFormatting sqref="AU654">
    <cfRule type="cellIs" dxfId="0" priority="2397" operator="lessThan">
      <formula>20</formula>
    </cfRule>
    <cfRule type="cellIs" dxfId="1" priority="1382" operator="greaterThan">
      <formula>120</formula>
    </cfRule>
    <cfRule type="containsText" dxfId="2" priority="367" operator="between" text="库存为">
      <formula>NOT(ISERROR(SEARCH("库存为",AU654)))</formula>
    </cfRule>
  </conditionalFormatting>
  <conditionalFormatting sqref="AU655">
    <cfRule type="cellIs" dxfId="0" priority="2396" operator="lessThan">
      <formula>20</formula>
    </cfRule>
    <cfRule type="cellIs" dxfId="1" priority="1381" operator="greaterThan">
      <formula>120</formula>
    </cfRule>
    <cfRule type="containsText" dxfId="2" priority="366" operator="between" text="库存为">
      <formula>NOT(ISERROR(SEARCH("库存为",AU655)))</formula>
    </cfRule>
  </conditionalFormatting>
  <conditionalFormatting sqref="AU656">
    <cfRule type="cellIs" dxfId="0" priority="2395" operator="lessThan">
      <formula>20</formula>
    </cfRule>
    <cfRule type="cellIs" dxfId="1" priority="1380" operator="greaterThan">
      <formula>120</formula>
    </cfRule>
    <cfRule type="containsText" dxfId="2" priority="365" operator="between" text="库存为">
      <formula>NOT(ISERROR(SEARCH("库存为",AU656)))</formula>
    </cfRule>
  </conditionalFormatting>
  <conditionalFormatting sqref="AU657">
    <cfRule type="cellIs" dxfId="0" priority="2394" operator="lessThan">
      <formula>20</formula>
    </cfRule>
    <cfRule type="cellIs" dxfId="1" priority="1379" operator="greaterThan">
      <formula>120</formula>
    </cfRule>
    <cfRule type="containsText" dxfId="2" priority="364" operator="between" text="库存为">
      <formula>NOT(ISERROR(SEARCH("库存为",AU657)))</formula>
    </cfRule>
  </conditionalFormatting>
  <conditionalFormatting sqref="AU658">
    <cfRule type="cellIs" dxfId="0" priority="2393" operator="lessThan">
      <formula>20</formula>
    </cfRule>
    <cfRule type="cellIs" dxfId="1" priority="1378" operator="greaterThan">
      <formula>120</formula>
    </cfRule>
    <cfRule type="containsText" dxfId="2" priority="363" operator="between" text="库存为">
      <formula>NOT(ISERROR(SEARCH("库存为",AU658)))</formula>
    </cfRule>
  </conditionalFormatting>
  <conditionalFormatting sqref="AU659">
    <cfRule type="cellIs" dxfId="0" priority="2392" operator="lessThan">
      <formula>20</formula>
    </cfRule>
    <cfRule type="cellIs" dxfId="1" priority="1377" operator="greaterThan">
      <formula>120</formula>
    </cfRule>
    <cfRule type="containsText" dxfId="2" priority="362" operator="between" text="库存为">
      <formula>NOT(ISERROR(SEARCH("库存为",AU659)))</formula>
    </cfRule>
  </conditionalFormatting>
  <conditionalFormatting sqref="AU660">
    <cfRule type="cellIs" dxfId="0" priority="2391" operator="lessThan">
      <formula>20</formula>
    </cfRule>
    <cfRule type="cellIs" dxfId="1" priority="1376" operator="greaterThan">
      <formula>120</formula>
    </cfRule>
    <cfRule type="containsText" dxfId="2" priority="361" operator="between" text="库存为">
      <formula>NOT(ISERROR(SEARCH("库存为",AU660)))</formula>
    </cfRule>
  </conditionalFormatting>
  <conditionalFormatting sqref="AU661">
    <cfRule type="cellIs" dxfId="0" priority="2390" operator="lessThan">
      <formula>20</formula>
    </cfRule>
    <cfRule type="cellIs" dxfId="1" priority="1375" operator="greaterThan">
      <formula>120</formula>
    </cfRule>
    <cfRule type="containsText" dxfId="2" priority="360" operator="between" text="库存为">
      <formula>NOT(ISERROR(SEARCH("库存为",AU661)))</formula>
    </cfRule>
  </conditionalFormatting>
  <conditionalFormatting sqref="AU662">
    <cfRule type="cellIs" dxfId="0" priority="2389" operator="lessThan">
      <formula>20</formula>
    </cfRule>
    <cfRule type="cellIs" dxfId="1" priority="1374" operator="greaterThan">
      <formula>120</formula>
    </cfRule>
    <cfRule type="containsText" dxfId="2" priority="359" operator="between" text="库存为">
      <formula>NOT(ISERROR(SEARCH("库存为",AU662)))</formula>
    </cfRule>
  </conditionalFormatting>
  <conditionalFormatting sqref="AU663">
    <cfRule type="cellIs" dxfId="0" priority="2388" operator="lessThan">
      <formula>20</formula>
    </cfRule>
    <cfRule type="cellIs" dxfId="1" priority="1373" operator="greaterThan">
      <formula>120</formula>
    </cfRule>
    <cfRule type="containsText" dxfId="2" priority="358" operator="between" text="库存为">
      <formula>NOT(ISERROR(SEARCH("库存为",AU663)))</formula>
    </cfRule>
  </conditionalFormatting>
  <conditionalFormatting sqref="AU664">
    <cfRule type="cellIs" dxfId="0" priority="2387" operator="lessThan">
      <formula>20</formula>
    </cfRule>
    <cfRule type="cellIs" dxfId="1" priority="1372" operator="greaterThan">
      <formula>120</formula>
    </cfRule>
    <cfRule type="containsText" dxfId="2" priority="357" operator="between" text="库存为">
      <formula>NOT(ISERROR(SEARCH("库存为",AU664)))</formula>
    </cfRule>
  </conditionalFormatting>
  <conditionalFormatting sqref="AU665">
    <cfRule type="cellIs" dxfId="0" priority="2386" operator="lessThan">
      <formula>20</formula>
    </cfRule>
    <cfRule type="cellIs" dxfId="1" priority="1371" operator="greaterThan">
      <formula>120</formula>
    </cfRule>
    <cfRule type="containsText" dxfId="2" priority="356" operator="between" text="库存为">
      <formula>NOT(ISERROR(SEARCH("库存为",AU665)))</formula>
    </cfRule>
  </conditionalFormatting>
  <conditionalFormatting sqref="AU666">
    <cfRule type="cellIs" dxfId="0" priority="2385" operator="lessThan">
      <formula>20</formula>
    </cfRule>
    <cfRule type="cellIs" dxfId="1" priority="1370" operator="greaterThan">
      <formula>120</formula>
    </cfRule>
    <cfRule type="containsText" dxfId="2" priority="355" operator="between" text="库存为">
      <formula>NOT(ISERROR(SEARCH("库存为",AU666)))</formula>
    </cfRule>
  </conditionalFormatting>
  <conditionalFormatting sqref="AU667">
    <cfRule type="cellIs" dxfId="0" priority="2384" operator="lessThan">
      <formula>20</formula>
    </cfRule>
    <cfRule type="cellIs" dxfId="1" priority="1369" operator="greaterThan">
      <formula>120</formula>
    </cfRule>
    <cfRule type="containsText" dxfId="2" priority="354" operator="between" text="库存为">
      <formula>NOT(ISERROR(SEARCH("库存为",AU667)))</formula>
    </cfRule>
  </conditionalFormatting>
  <conditionalFormatting sqref="AU668">
    <cfRule type="cellIs" dxfId="0" priority="2383" operator="lessThan">
      <formula>20</formula>
    </cfRule>
    <cfRule type="cellIs" dxfId="1" priority="1368" operator="greaterThan">
      <formula>120</formula>
    </cfRule>
    <cfRule type="containsText" dxfId="2" priority="353" operator="between" text="库存为">
      <formula>NOT(ISERROR(SEARCH("库存为",AU668)))</formula>
    </cfRule>
  </conditionalFormatting>
  <conditionalFormatting sqref="AU669">
    <cfRule type="cellIs" dxfId="0" priority="2382" operator="lessThan">
      <formula>20</formula>
    </cfRule>
    <cfRule type="cellIs" dxfId="1" priority="1367" operator="greaterThan">
      <formula>120</formula>
    </cfRule>
    <cfRule type="containsText" dxfId="2" priority="352" operator="between" text="库存为">
      <formula>NOT(ISERROR(SEARCH("库存为",AU669)))</formula>
    </cfRule>
  </conditionalFormatting>
  <conditionalFormatting sqref="AU670">
    <cfRule type="cellIs" dxfId="0" priority="2381" operator="lessThan">
      <formula>20</formula>
    </cfRule>
    <cfRule type="cellIs" dxfId="1" priority="1366" operator="greaterThan">
      <formula>120</formula>
    </cfRule>
    <cfRule type="containsText" dxfId="2" priority="351" operator="between" text="库存为">
      <formula>NOT(ISERROR(SEARCH("库存为",AU670)))</formula>
    </cfRule>
  </conditionalFormatting>
  <conditionalFormatting sqref="AU671">
    <cfRule type="cellIs" dxfId="0" priority="2380" operator="lessThan">
      <formula>20</formula>
    </cfRule>
    <cfRule type="cellIs" dxfId="1" priority="1365" operator="greaterThan">
      <formula>120</formula>
    </cfRule>
    <cfRule type="containsText" dxfId="2" priority="350" operator="between" text="库存为">
      <formula>NOT(ISERROR(SEARCH("库存为",AU671)))</formula>
    </cfRule>
  </conditionalFormatting>
  <conditionalFormatting sqref="AU672">
    <cfRule type="cellIs" dxfId="0" priority="2379" operator="lessThan">
      <formula>20</formula>
    </cfRule>
    <cfRule type="cellIs" dxfId="1" priority="1364" operator="greaterThan">
      <formula>120</formula>
    </cfRule>
    <cfRule type="containsText" dxfId="2" priority="349" operator="between" text="库存为">
      <formula>NOT(ISERROR(SEARCH("库存为",AU672)))</formula>
    </cfRule>
  </conditionalFormatting>
  <conditionalFormatting sqref="AU673">
    <cfRule type="cellIs" dxfId="0" priority="2378" operator="lessThan">
      <formula>20</formula>
    </cfRule>
    <cfRule type="cellIs" dxfId="1" priority="1363" operator="greaterThan">
      <formula>120</formula>
    </cfRule>
    <cfRule type="containsText" dxfId="2" priority="348" operator="between" text="库存为">
      <formula>NOT(ISERROR(SEARCH("库存为",AU673)))</formula>
    </cfRule>
  </conditionalFormatting>
  <conditionalFormatting sqref="AU674">
    <cfRule type="cellIs" dxfId="0" priority="2377" operator="lessThan">
      <formula>20</formula>
    </cfRule>
    <cfRule type="cellIs" dxfId="1" priority="1362" operator="greaterThan">
      <formula>120</formula>
    </cfRule>
    <cfRule type="containsText" dxfId="2" priority="347" operator="between" text="库存为">
      <formula>NOT(ISERROR(SEARCH("库存为",AU674)))</formula>
    </cfRule>
  </conditionalFormatting>
  <conditionalFormatting sqref="AU675">
    <cfRule type="cellIs" dxfId="0" priority="2376" operator="lessThan">
      <formula>20</formula>
    </cfRule>
    <cfRule type="cellIs" dxfId="1" priority="1361" operator="greaterThan">
      <formula>120</formula>
    </cfRule>
    <cfRule type="containsText" dxfId="2" priority="346" operator="between" text="库存为">
      <formula>NOT(ISERROR(SEARCH("库存为",AU675)))</formula>
    </cfRule>
  </conditionalFormatting>
  <conditionalFormatting sqref="AU676">
    <cfRule type="cellIs" dxfId="0" priority="2375" operator="lessThan">
      <formula>20</formula>
    </cfRule>
    <cfRule type="cellIs" dxfId="1" priority="1360" operator="greaterThan">
      <formula>120</formula>
    </cfRule>
    <cfRule type="containsText" dxfId="2" priority="345" operator="between" text="库存为">
      <formula>NOT(ISERROR(SEARCH("库存为",AU676)))</formula>
    </cfRule>
  </conditionalFormatting>
  <conditionalFormatting sqref="AU677">
    <cfRule type="cellIs" dxfId="0" priority="2374" operator="lessThan">
      <formula>20</formula>
    </cfRule>
    <cfRule type="cellIs" dxfId="1" priority="1359" operator="greaterThan">
      <formula>120</formula>
    </cfRule>
    <cfRule type="containsText" dxfId="2" priority="344" operator="between" text="库存为">
      <formula>NOT(ISERROR(SEARCH("库存为",AU677)))</formula>
    </cfRule>
  </conditionalFormatting>
  <conditionalFormatting sqref="AU678">
    <cfRule type="cellIs" dxfId="0" priority="2373" operator="lessThan">
      <formula>20</formula>
    </cfRule>
    <cfRule type="cellIs" dxfId="1" priority="1358" operator="greaterThan">
      <formula>120</formula>
    </cfRule>
    <cfRule type="containsText" dxfId="2" priority="343" operator="between" text="库存为">
      <formula>NOT(ISERROR(SEARCH("库存为",AU678)))</formula>
    </cfRule>
  </conditionalFormatting>
  <conditionalFormatting sqref="AU679">
    <cfRule type="cellIs" dxfId="0" priority="2372" operator="lessThan">
      <formula>20</formula>
    </cfRule>
    <cfRule type="cellIs" dxfId="1" priority="1357" operator="greaterThan">
      <formula>120</formula>
    </cfRule>
    <cfRule type="containsText" dxfId="2" priority="342" operator="between" text="库存为">
      <formula>NOT(ISERROR(SEARCH("库存为",AU679)))</formula>
    </cfRule>
  </conditionalFormatting>
  <conditionalFormatting sqref="AU680">
    <cfRule type="cellIs" dxfId="0" priority="2371" operator="lessThan">
      <formula>20</formula>
    </cfRule>
    <cfRule type="cellIs" dxfId="1" priority="1356" operator="greaterThan">
      <formula>120</formula>
    </cfRule>
    <cfRule type="containsText" dxfId="2" priority="341" operator="between" text="库存为">
      <formula>NOT(ISERROR(SEARCH("库存为",AU680)))</formula>
    </cfRule>
  </conditionalFormatting>
  <conditionalFormatting sqref="AU681">
    <cfRule type="cellIs" dxfId="0" priority="2370" operator="lessThan">
      <formula>20</formula>
    </cfRule>
    <cfRule type="cellIs" dxfId="1" priority="1355" operator="greaterThan">
      <formula>120</formula>
    </cfRule>
    <cfRule type="containsText" dxfId="2" priority="340" operator="between" text="库存为">
      <formula>NOT(ISERROR(SEARCH("库存为",AU681)))</formula>
    </cfRule>
  </conditionalFormatting>
  <conditionalFormatting sqref="AU682">
    <cfRule type="cellIs" dxfId="0" priority="2369" operator="lessThan">
      <formula>20</formula>
    </cfRule>
    <cfRule type="cellIs" dxfId="1" priority="1354" operator="greaterThan">
      <formula>120</formula>
    </cfRule>
    <cfRule type="containsText" dxfId="2" priority="339" operator="between" text="库存为">
      <formula>NOT(ISERROR(SEARCH("库存为",AU682)))</formula>
    </cfRule>
  </conditionalFormatting>
  <conditionalFormatting sqref="AU683">
    <cfRule type="cellIs" dxfId="0" priority="2368" operator="lessThan">
      <formula>20</formula>
    </cfRule>
    <cfRule type="cellIs" dxfId="1" priority="1353" operator="greaterThan">
      <formula>120</formula>
    </cfRule>
    <cfRule type="containsText" dxfId="2" priority="338" operator="between" text="库存为">
      <formula>NOT(ISERROR(SEARCH("库存为",AU683)))</formula>
    </cfRule>
  </conditionalFormatting>
  <conditionalFormatting sqref="AU684">
    <cfRule type="cellIs" dxfId="0" priority="2367" operator="lessThan">
      <formula>20</formula>
    </cfRule>
    <cfRule type="cellIs" dxfId="1" priority="1352" operator="greaterThan">
      <formula>120</formula>
    </cfRule>
    <cfRule type="containsText" dxfId="2" priority="337" operator="between" text="库存为">
      <formula>NOT(ISERROR(SEARCH("库存为",AU684)))</formula>
    </cfRule>
  </conditionalFormatting>
  <conditionalFormatting sqref="AU685">
    <cfRule type="cellIs" dxfId="0" priority="2366" operator="lessThan">
      <formula>20</formula>
    </cfRule>
    <cfRule type="cellIs" dxfId="1" priority="1351" operator="greaterThan">
      <formula>120</formula>
    </cfRule>
    <cfRule type="containsText" dxfId="2" priority="336" operator="between" text="库存为">
      <formula>NOT(ISERROR(SEARCH("库存为",AU685)))</formula>
    </cfRule>
  </conditionalFormatting>
  <conditionalFormatting sqref="AU686">
    <cfRule type="cellIs" dxfId="0" priority="2365" operator="lessThan">
      <formula>20</formula>
    </cfRule>
    <cfRule type="cellIs" dxfId="1" priority="1350" operator="greaterThan">
      <formula>120</formula>
    </cfRule>
    <cfRule type="containsText" dxfId="2" priority="335" operator="between" text="库存为">
      <formula>NOT(ISERROR(SEARCH("库存为",AU686)))</formula>
    </cfRule>
  </conditionalFormatting>
  <conditionalFormatting sqref="AU687">
    <cfRule type="cellIs" dxfId="0" priority="2364" operator="lessThan">
      <formula>20</formula>
    </cfRule>
    <cfRule type="cellIs" dxfId="1" priority="1349" operator="greaterThan">
      <formula>120</formula>
    </cfRule>
    <cfRule type="containsText" dxfId="2" priority="334" operator="between" text="库存为">
      <formula>NOT(ISERROR(SEARCH("库存为",AU687)))</formula>
    </cfRule>
  </conditionalFormatting>
  <conditionalFormatting sqref="AU688">
    <cfRule type="cellIs" dxfId="0" priority="2363" operator="lessThan">
      <formula>20</formula>
    </cfRule>
    <cfRule type="cellIs" dxfId="1" priority="1348" operator="greaterThan">
      <formula>120</formula>
    </cfRule>
    <cfRule type="containsText" dxfId="2" priority="333" operator="between" text="库存为">
      <formula>NOT(ISERROR(SEARCH("库存为",AU688)))</formula>
    </cfRule>
  </conditionalFormatting>
  <conditionalFormatting sqref="AU689">
    <cfRule type="cellIs" dxfId="0" priority="2362" operator="lessThan">
      <formula>20</formula>
    </cfRule>
    <cfRule type="cellIs" dxfId="1" priority="1347" operator="greaterThan">
      <formula>120</formula>
    </cfRule>
    <cfRule type="containsText" dxfId="2" priority="332" operator="between" text="库存为">
      <formula>NOT(ISERROR(SEARCH("库存为",AU689)))</formula>
    </cfRule>
  </conditionalFormatting>
  <conditionalFormatting sqref="AU690">
    <cfRule type="cellIs" dxfId="0" priority="2361" operator="lessThan">
      <formula>20</formula>
    </cfRule>
    <cfRule type="cellIs" dxfId="1" priority="1346" operator="greaterThan">
      <formula>120</formula>
    </cfRule>
    <cfRule type="containsText" dxfId="2" priority="331" operator="between" text="库存为">
      <formula>NOT(ISERROR(SEARCH("库存为",AU690)))</formula>
    </cfRule>
  </conditionalFormatting>
  <conditionalFormatting sqref="AU691">
    <cfRule type="cellIs" dxfId="0" priority="2360" operator="lessThan">
      <formula>20</formula>
    </cfRule>
    <cfRule type="cellIs" dxfId="1" priority="1345" operator="greaterThan">
      <formula>120</formula>
    </cfRule>
    <cfRule type="containsText" dxfId="2" priority="330" operator="between" text="库存为">
      <formula>NOT(ISERROR(SEARCH("库存为",AU691)))</formula>
    </cfRule>
  </conditionalFormatting>
  <conditionalFormatting sqref="AU692">
    <cfRule type="cellIs" dxfId="0" priority="2359" operator="lessThan">
      <formula>20</formula>
    </cfRule>
    <cfRule type="cellIs" dxfId="1" priority="1344" operator="greaterThan">
      <formula>120</formula>
    </cfRule>
    <cfRule type="containsText" dxfId="2" priority="329" operator="between" text="库存为">
      <formula>NOT(ISERROR(SEARCH("库存为",AU692)))</formula>
    </cfRule>
  </conditionalFormatting>
  <conditionalFormatting sqref="AU693">
    <cfRule type="cellIs" dxfId="0" priority="2358" operator="lessThan">
      <formula>20</formula>
    </cfRule>
    <cfRule type="cellIs" dxfId="1" priority="1343" operator="greaterThan">
      <formula>120</formula>
    </cfRule>
    <cfRule type="containsText" dxfId="2" priority="328" operator="between" text="库存为">
      <formula>NOT(ISERROR(SEARCH("库存为",AU693)))</formula>
    </cfRule>
  </conditionalFormatting>
  <conditionalFormatting sqref="AU694">
    <cfRule type="cellIs" dxfId="0" priority="2357" operator="lessThan">
      <formula>20</formula>
    </cfRule>
    <cfRule type="cellIs" dxfId="1" priority="1342" operator="greaterThan">
      <formula>120</formula>
    </cfRule>
    <cfRule type="containsText" dxfId="2" priority="327" operator="between" text="库存为">
      <formula>NOT(ISERROR(SEARCH("库存为",AU694)))</formula>
    </cfRule>
  </conditionalFormatting>
  <conditionalFormatting sqref="AU695">
    <cfRule type="cellIs" dxfId="0" priority="2356" operator="lessThan">
      <formula>20</formula>
    </cfRule>
    <cfRule type="cellIs" dxfId="1" priority="1341" operator="greaterThan">
      <formula>120</formula>
    </cfRule>
    <cfRule type="containsText" dxfId="2" priority="326" operator="between" text="库存为">
      <formula>NOT(ISERROR(SEARCH("库存为",AU695)))</formula>
    </cfRule>
  </conditionalFormatting>
  <conditionalFormatting sqref="AU696">
    <cfRule type="cellIs" dxfId="0" priority="2355" operator="lessThan">
      <formula>20</formula>
    </cfRule>
    <cfRule type="cellIs" dxfId="1" priority="1340" operator="greaterThan">
      <formula>120</formula>
    </cfRule>
    <cfRule type="containsText" dxfId="2" priority="325" operator="between" text="库存为">
      <formula>NOT(ISERROR(SEARCH("库存为",AU696)))</formula>
    </cfRule>
  </conditionalFormatting>
  <conditionalFormatting sqref="AU697">
    <cfRule type="cellIs" dxfId="0" priority="2354" operator="lessThan">
      <formula>20</formula>
    </cfRule>
    <cfRule type="cellIs" dxfId="1" priority="1339" operator="greaterThan">
      <formula>120</formula>
    </cfRule>
    <cfRule type="containsText" dxfId="2" priority="324" operator="between" text="库存为">
      <formula>NOT(ISERROR(SEARCH("库存为",AU697)))</formula>
    </cfRule>
  </conditionalFormatting>
  <conditionalFormatting sqref="AU698">
    <cfRule type="cellIs" dxfId="0" priority="2353" operator="lessThan">
      <formula>20</formula>
    </cfRule>
    <cfRule type="cellIs" dxfId="1" priority="1338" operator="greaterThan">
      <formula>120</formula>
    </cfRule>
    <cfRule type="containsText" dxfId="2" priority="323" operator="between" text="库存为">
      <formula>NOT(ISERROR(SEARCH("库存为",AU698)))</formula>
    </cfRule>
  </conditionalFormatting>
  <conditionalFormatting sqref="AU699">
    <cfRule type="cellIs" dxfId="0" priority="2352" operator="lessThan">
      <formula>20</formula>
    </cfRule>
    <cfRule type="cellIs" dxfId="1" priority="1337" operator="greaterThan">
      <formula>120</formula>
    </cfRule>
    <cfRule type="containsText" dxfId="2" priority="322" operator="between" text="库存为">
      <formula>NOT(ISERROR(SEARCH("库存为",AU699)))</formula>
    </cfRule>
  </conditionalFormatting>
  <conditionalFormatting sqref="AU700">
    <cfRule type="cellIs" dxfId="0" priority="2351" operator="lessThan">
      <formula>20</formula>
    </cfRule>
    <cfRule type="cellIs" dxfId="1" priority="1336" operator="greaterThan">
      <formula>120</formula>
    </cfRule>
    <cfRule type="containsText" dxfId="2" priority="321" operator="between" text="库存为">
      <formula>NOT(ISERROR(SEARCH("库存为",AU700)))</formula>
    </cfRule>
  </conditionalFormatting>
  <conditionalFormatting sqref="AU701">
    <cfRule type="cellIs" dxfId="0" priority="2350" operator="lessThan">
      <formula>20</formula>
    </cfRule>
    <cfRule type="cellIs" dxfId="1" priority="1335" operator="greaterThan">
      <formula>120</formula>
    </cfRule>
    <cfRule type="containsText" dxfId="2" priority="320" operator="between" text="库存为">
      <formula>NOT(ISERROR(SEARCH("库存为",AU701)))</formula>
    </cfRule>
  </conditionalFormatting>
  <conditionalFormatting sqref="AU702">
    <cfRule type="cellIs" dxfId="0" priority="2349" operator="lessThan">
      <formula>20</formula>
    </cfRule>
    <cfRule type="cellIs" dxfId="1" priority="1334" operator="greaterThan">
      <formula>120</formula>
    </cfRule>
    <cfRule type="containsText" dxfId="2" priority="319" operator="between" text="库存为">
      <formula>NOT(ISERROR(SEARCH("库存为",AU702)))</formula>
    </cfRule>
  </conditionalFormatting>
  <conditionalFormatting sqref="AU703">
    <cfRule type="cellIs" dxfId="0" priority="2348" operator="lessThan">
      <formula>20</formula>
    </cfRule>
    <cfRule type="cellIs" dxfId="1" priority="1333" operator="greaterThan">
      <formula>120</formula>
    </cfRule>
    <cfRule type="containsText" dxfId="2" priority="318" operator="between" text="库存为">
      <formula>NOT(ISERROR(SEARCH("库存为",AU703)))</formula>
    </cfRule>
  </conditionalFormatting>
  <conditionalFormatting sqref="AU704">
    <cfRule type="cellIs" dxfId="0" priority="2347" operator="lessThan">
      <formula>20</formula>
    </cfRule>
    <cfRule type="cellIs" dxfId="1" priority="1332" operator="greaterThan">
      <formula>120</formula>
    </cfRule>
    <cfRule type="containsText" dxfId="2" priority="317" operator="between" text="库存为">
      <formula>NOT(ISERROR(SEARCH("库存为",AU704)))</formula>
    </cfRule>
  </conditionalFormatting>
  <conditionalFormatting sqref="AU705">
    <cfRule type="cellIs" dxfId="0" priority="2346" operator="lessThan">
      <formula>20</formula>
    </cfRule>
    <cfRule type="cellIs" dxfId="1" priority="1331" operator="greaterThan">
      <formula>120</formula>
    </cfRule>
    <cfRule type="containsText" dxfId="2" priority="316" operator="between" text="库存为">
      <formula>NOT(ISERROR(SEARCH("库存为",AU705)))</formula>
    </cfRule>
  </conditionalFormatting>
  <conditionalFormatting sqref="AU706">
    <cfRule type="cellIs" dxfId="0" priority="2345" operator="lessThan">
      <formula>20</formula>
    </cfRule>
    <cfRule type="cellIs" dxfId="1" priority="1330" operator="greaterThan">
      <formula>120</formula>
    </cfRule>
    <cfRule type="containsText" dxfId="2" priority="315" operator="between" text="库存为">
      <formula>NOT(ISERROR(SEARCH("库存为",AU706)))</formula>
    </cfRule>
  </conditionalFormatting>
  <conditionalFormatting sqref="AU707">
    <cfRule type="cellIs" dxfId="0" priority="2344" operator="lessThan">
      <formula>20</formula>
    </cfRule>
    <cfRule type="cellIs" dxfId="1" priority="1329" operator="greaterThan">
      <formula>120</formula>
    </cfRule>
    <cfRule type="containsText" dxfId="2" priority="314" operator="between" text="库存为">
      <formula>NOT(ISERROR(SEARCH("库存为",AU707)))</formula>
    </cfRule>
  </conditionalFormatting>
  <conditionalFormatting sqref="AU708">
    <cfRule type="cellIs" dxfId="0" priority="2343" operator="lessThan">
      <formula>20</formula>
    </cfRule>
    <cfRule type="cellIs" dxfId="1" priority="1328" operator="greaterThan">
      <formula>120</formula>
    </cfRule>
    <cfRule type="containsText" dxfId="2" priority="313" operator="between" text="库存为">
      <formula>NOT(ISERROR(SEARCH("库存为",AU708)))</formula>
    </cfRule>
  </conditionalFormatting>
  <conditionalFormatting sqref="AU709">
    <cfRule type="cellIs" dxfId="0" priority="2342" operator="lessThan">
      <formula>20</formula>
    </cfRule>
    <cfRule type="cellIs" dxfId="1" priority="1327" operator="greaterThan">
      <formula>120</formula>
    </cfRule>
    <cfRule type="containsText" dxfId="2" priority="312" operator="between" text="库存为">
      <formula>NOT(ISERROR(SEARCH("库存为",AU709)))</formula>
    </cfRule>
  </conditionalFormatting>
  <conditionalFormatting sqref="AU710">
    <cfRule type="cellIs" dxfId="0" priority="2341" operator="lessThan">
      <formula>20</formula>
    </cfRule>
    <cfRule type="cellIs" dxfId="1" priority="1326" operator="greaterThan">
      <formula>120</formula>
    </cfRule>
    <cfRule type="containsText" dxfId="2" priority="311" operator="between" text="库存为">
      <formula>NOT(ISERROR(SEARCH("库存为",AU710)))</formula>
    </cfRule>
  </conditionalFormatting>
  <conditionalFormatting sqref="AU711">
    <cfRule type="cellIs" dxfId="0" priority="2340" operator="lessThan">
      <formula>20</formula>
    </cfRule>
    <cfRule type="cellIs" dxfId="1" priority="1325" operator="greaterThan">
      <formula>120</formula>
    </cfRule>
    <cfRule type="containsText" dxfId="2" priority="310" operator="between" text="库存为">
      <formula>NOT(ISERROR(SEARCH("库存为",AU711)))</formula>
    </cfRule>
  </conditionalFormatting>
  <conditionalFormatting sqref="AU712">
    <cfRule type="cellIs" dxfId="0" priority="2339" operator="lessThan">
      <formula>20</formula>
    </cfRule>
    <cfRule type="cellIs" dxfId="1" priority="1324" operator="greaterThan">
      <formula>120</formula>
    </cfRule>
    <cfRule type="containsText" dxfId="2" priority="309" operator="between" text="库存为">
      <formula>NOT(ISERROR(SEARCH("库存为",AU712)))</formula>
    </cfRule>
  </conditionalFormatting>
  <conditionalFormatting sqref="AU713">
    <cfRule type="cellIs" dxfId="0" priority="2338" operator="lessThan">
      <formula>20</formula>
    </cfRule>
    <cfRule type="cellIs" dxfId="1" priority="1323" operator="greaterThan">
      <formula>120</formula>
    </cfRule>
    <cfRule type="containsText" dxfId="2" priority="308" operator="between" text="库存为">
      <formula>NOT(ISERROR(SEARCH("库存为",AU713)))</formula>
    </cfRule>
  </conditionalFormatting>
  <conditionalFormatting sqref="AU714">
    <cfRule type="cellIs" dxfId="0" priority="2337" operator="lessThan">
      <formula>20</formula>
    </cfRule>
    <cfRule type="cellIs" dxfId="1" priority="1322" operator="greaterThan">
      <formula>120</formula>
    </cfRule>
    <cfRule type="containsText" dxfId="2" priority="307" operator="between" text="库存为">
      <formula>NOT(ISERROR(SEARCH("库存为",AU714)))</formula>
    </cfRule>
  </conditionalFormatting>
  <conditionalFormatting sqref="AU715">
    <cfRule type="cellIs" dxfId="0" priority="2336" operator="lessThan">
      <formula>20</formula>
    </cfRule>
    <cfRule type="cellIs" dxfId="1" priority="1321" operator="greaterThan">
      <formula>120</formula>
    </cfRule>
    <cfRule type="containsText" dxfId="2" priority="306" operator="between" text="库存为">
      <formula>NOT(ISERROR(SEARCH("库存为",AU715)))</formula>
    </cfRule>
  </conditionalFormatting>
  <conditionalFormatting sqref="AU716">
    <cfRule type="cellIs" dxfId="0" priority="2335" operator="lessThan">
      <formula>20</formula>
    </cfRule>
    <cfRule type="cellIs" dxfId="1" priority="1320" operator="greaterThan">
      <formula>120</formula>
    </cfRule>
    <cfRule type="containsText" dxfId="2" priority="305" operator="between" text="库存为">
      <formula>NOT(ISERROR(SEARCH("库存为",AU716)))</formula>
    </cfRule>
  </conditionalFormatting>
  <conditionalFormatting sqref="AU717">
    <cfRule type="cellIs" dxfId="0" priority="2334" operator="lessThan">
      <formula>20</formula>
    </cfRule>
    <cfRule type="cellIs" dxfId="1" priority="1319" operator="greaterThan">
      <formula>120</formula>
    </cfRule>
    <cfRule type="containsText" dxfId="2" priority="304" operator="between" text="库存为">
      <formula>NOT(ISERROR(SEARCH("库存为",AU717)))</formula>
    </cfRule>
  </conditionalFormatting>
  <conditionalFormatting sqref="AU718">
    <cfRule type="cellIs" dxfId="0" priority="2333" operator="lessThan">
      <formula>20</formula>
    </cfRule>
    <cfRule type="cellIs" dxfId="1" priority="1318" operator="greaterThan">
      <formula>120</formula>
    </cfRule>
    <cfRule type="containsText" dxfId="2" priority="303" operator="between" text="库存为">
      <formula>NOT(ISERROR(SEARCH("库存为",AU718)))</formula>
    </cfRule>
  </conditionalFormatting>
  <conditionalFormatting sqref="AU719">
    <cfRule type="cellIs" dxfId="0" priority="2332" operator="lessThan">
      <formula>20</formula>
    </cfRule>
    <cfRule type="cellIs" dxfId="1" priority="1317" operator="greaterThan">
      <formula>120</formula>
    </cfRule>
    <cfRule type="containsText" dxfId="2" priority="302" operator="between" text="库存为">
      <formula>NOT(ISERROR(SEARCH("库存为",AU719)))</formula>
    </cfRule>
  </conditionalFormatting>
  <conditionalFormatting sqref="AU720">
    <cfRule type="cellIs" dxfId="0" priority="2331" operator="lessThan">
      <formula>20</formula>
    </cfRule>
    <cfRule type="cellIs" dxfId="1" priority="1316" operator="greaterThan">
      <formula>120</formula>
    </cfRule>
    <cfRule type="containsText" dxfId="2" priority="301" operator="between" text="库存为">
      <formula>NOT(ISERROR(SEARCH("库存为",AU720)))</formula>
    </cfRule>
  </conditionalFormatting>
  <conditionalFormatting sqref="AU721">
    <cfRule type="cellIs" dxfId="0" priority="2330" operator="lessThan">
      <formula>20</formula>
    </cfRule>
    <cfRule type="cellIs" dxfId="1" priority="1315" operator="greaterThan">
      <formula>120</formula>
    </cfRule>
    <cfRule type="containsText" dxfId="2" priority="300" operator="between" text="库存为">
      <formula>NOT(ISERROR(SEARCH("库存为",AU721)))</formula>
    </cfRule>
  </conditionalFormatting>
  <conditionalFormatting sqref="AU722">
    <cfRule type="cellIs" dxfId="0" priority="2329" operator="lessThan">
      <formula>20</formula>
    </cfRule>
    <cfRule type="cellIs" dxfId="1" priority="1314" operator="greaterThan">
      <formula>120</formula>
    </cfRule>
    <cfRule type="containsText" dxfId="2" priority="299" operator="between" text="库存为">
      <formula>NOT(ISERROR(SEARCH("库存为",AU722)))</formula>
    </cfRule>
  </conditionalFormatting>
  <conditionalFormatting sqref="AU723">
    <cfRule type="cellIs" dxfId="0" priority="2328" operator="lessThan">
      <formula>20</formula>
    </cfRule>
    <cfRule type="cellIs" dxfId="1" priority="1313" operator="greaterThan">
      <formula>120</formula>
    </cfRule>
    <cfRule type="containsText" dxfId="2" priority="298" operator="between" text="库存为">
      <formula>NOT(ISERROR(SEARCH("库存为",AU723)))</formula>
    </cfRule>
  </conditionalFormatting>
  <conditionalFormatting sqref="AU724">
    <cfRule type="cellIs" dxfId="0" priority="2327" operator="lessThan">
      <formula>20</formula>
    </cfRule>
    <cfRule type="cellIs" dxfId="1" priority="1312" operator="greaterThan">
      <formula>120</formula>
    </cfRule>
    <cfRule type="containsText" dxfId="2" priority="297" operator="between" text="库存为">
      <formula>NOT(ISERROR(SEARCH("库存为",AU724)))</formula>
    </cfRule>
  </conditionalFormatting>
  <conditionalFormatting sqref="AU725">
    <cfRule type="cellIs" dxfId="0" priority="2326" operator="lessThan">
      <formula>20</formula>
    </cfRule>
    <cfRule type="cellIs" dxfId="1" priority="1311" operator="greaterThan">
      <formula>120</formula>
    </cfRule>
    <cfRule type="containsText" dxfId="2" priority="296" operator="between" text="库存为">
      <formula>NOT(ISERROR(SEARCH("库存为",AU725)))</formula>
    </cfRule>
  </conditionalFormatting>
  <conditionalFormatting sqref="AU726">
    <cfRule type="cellIs" dxfId="0" priority="2325" operator="lessThan">
      <formula>20</formula>
    </cfRule>
    <cfRule type="cellIs" dxfId="1" priority="1310" operator="greaterThan">
      <formula>120</formula>
    </cfRule>
    <cfRule type="containsText" dxfId="2" priority="295" operator="between" text="库存为">
      <formula>NOT(ISERROR(SEARCH("库存为",AU726)))</formula>
    </cfRule>
  </conditionalFormatting>
  <conditionalFormatting sqref="AU727">
    <cfRule type="cellIs" dxfId="0" priority="2324" operator="lessThan">
      <formula>20</formula>
    </cfRule>
    <cfRule type="cellIs" dxfId="1" priority="1309" operator="greaterThan">
      <formula>120</formula>
    </cfRule>
    <cfRule type="containsText" dxfId="2" priority="294" operator="between" text="库存为">
      <formula>NOT(ISERROR(SEARCH("库存为",AU727)))</formula>
    </cfRule>
  </conditionalFormatting>
  <conditionalFormatting sqref="AU728">
    <cfRule type="cellIs" dxfId="0" priority="2323" operator="lessThan">
      <formula>20</formula>
    </cfRule>
    <cfRule type="cellIs" dxfId="1" priority="1308" operator="greaterThan">
      <formula>120</formula>
    </cfRule>
    <cfRule type="containsText" dxfId="2" priority="293" operator="between" text="库存为">
      <formula>NOT(ISERROR(SEARCH("库存为",AU728)))</formula>
    </cfRule>
  </conditionalFormatting>
  <conditionalFormatting sqref="AU729">
    <cfRule type="cellIs" dxfId="0" priority="2322" operator="lessThan">
      <formula>20</formula>
    </cfRule>
    <cfRule type="cellIs" dxfId="1" priority="1307" operator="greaterThan">
      <formula>120</formula>
    </cfRule>
    <cfRule type="containsText" dxfId="2" priority="292" operator="between" text="库存为">
      <formula>NOT(ISERROR(SEARCH("库存为",AU729)))</formula>
    </cfRule>
  </conditionalFormatting>
  <conditionalFormatting sqref="AU730">
    <cfRule type="cellIs" dxfId="0" priority="2321" operator="lessThan">
      <formula>20</formula>
    </cfRule>
    <cfRule type="cellIs" dxfId="1" priority="1306" operator="greaterThan">
      <formula>120</formula>
    </cfRule>
    <cfRule type="containsText" dxfId="2" priority="291" operator="between" text="库存为">
      <formula>NOT(ISERROR(SEARCH("库存为",AU730)))</formula>
    </cfRule>
  </conditionalFormatting>
  <conditionalFormatting sqref="AU731">
    <cfRule type="cellIs" dxfId="0" priority="2320" operator="lessThan">
      <formula>20</formula>
    </cfRule>
    <cfRule type="cellIs" dxfId="1" priority="1305" operator="greaterThan">
      <formula>120</formula>
    </cfRule>
    <cfRule type="containsText" dxfId="2" priority="290" operator="between" text="库存为">
      <formula>NOT(ISERROR(SEARCH("库存为",AU731)))</formula>
    </cfRule>
  </conditionalFormatting>
  <conditionalFormatting sqref="AU732">
    <cfRule type="cellIs" dxfId="0" priority="2319" operator="lessThan">
      <formula>20</formula>
    </cfRule>
    <cfRule type="cellIs" dxfId="1" priority="1304" operator="greaterThan">
      <formula>120</formula>
    </cfRule>
    <cfRule type="containsText" dxfId="2" priority="289" operator="between" text="库存为">
      <formula>NOT(ISERROR(SEARCH("库存为",AU732)))</formula>
    </cfRule>
  </conditionalFormatting>
  <conditionalFormatting sqref="AU733">
    <cfRule type="cellIs" dxfId="0" priority="2318" operator="lessThan">
      <formula>20</formula>
    </cfRule>
    <cfRule type="cellIs" dxfId="1" priority="1303" operator="greaterThan">
      <formula>120</formula>
    </cfRule>
    <cfRule type="containsText" dxfId="2" priority="288" operator="between" text="库存为">
      <formula>NOT(ISERROR(SEARCH("库存为",AU733)))</formula>
    </cfRule>
  </conditionalFormatting>
  <conditionalFormatting sqref="AU734">
    <cfRule type="cellIs" dxfId="0" priority="2317" operator="lessThan">
      <formula>20</formula>
    </cfRule>
    <cfRule type="cellIs" dxfId="1" priority="1302" operator="greaterThan">
      <formula>120</formula>
    </cfRule>
    <cfRule type="containsText" dxfId="2" priority="287" operator="between" text="库存为">
      <formula>NOT(ISERROR(SEARCH("库存为",AU734)))</formula>
    </cfRule>
  </conditionalFormatting>
  <conditionalFormatting sqref="AU735">
    <cfRule type="cellIs" dxfId="0" priority="2316" operator="lessThan">
      <formula>20</formula>
    </cfRule>
    <cfRule type="cellIs" dxfId="1" priority="1301" operator="greaterThan">
      <formula>120</formula>
    </cfRule>
    <cfRule type="containsText" dxfId="2" priority="286" operator="between" text="库存为">
      <formula>NOT(ISERROR(SEARCH("库存为",AU735)))</formula>
    </cfRule>
  </conditionalFormatting>
  <conditionalFormatting sqref="AU736">
    <cfRule type="cellIs" dxfId="0" priority="2315" operator="lessThan">
      <formula>20</formula>
    </cfRule>
    <cfRule type="cellIs" dxfId="1" priority="1300" operator="greaterThan">
      <formula>120</formula>
    </cfRule>
    <cfRule type="containsText" dxfId="2" priority="285" operator="between" text="库存为">
      <formula>NOT(ISERROR(SEARCH("库存为",AU736)))</formula>
    </cfRule>
  </conditionalFormatting>
  <conditionalFormatting sqref="AU737">
    <cfRule type="cellIs" dxfId="0" priority="2314" operator="lessThan">
      <formula>20</formula>
    </cfRule>
    <cfRule type="cellIs" dxfId="1" priority="1299" operator="greaterThan">
      <formula>120</formula>
    </cfRule>
    <cfRule type="containsText" dxfId="2" priority="284" operator="between" text="库存为">
      <formula>NOT(ISERROR(SEARCH("库存为",AU737)))</formula>
    </cfRule>
  </conditionalFormatting>
  <conditionalFormatting sqref="AU738">
    <cfRule type="cellIs" dxfId="0" priority="2313" operator="lessThan">
      <formula>20</formula>
    </cfRule>
    <cfRule type="cellIs" dxfId="1" priority="1298" operator="greaterThan">
      <formula>120</formula>
    </cfRule>
    <cfRule type="containsText" dxfId="2" priority="283" operator="between" text="库存为">
      <formula>NOT(ISERROR(SEARCH("库存为",AU738)))</formula>
    </cfRule>
  </conditionalFormatting>
  <conditionalFormatting sqref="AU739">
    <cfRule type="cellIs" dxfId="0" priority="2312" operator="lessThan">
      <formula>20</formula>
    </cfRule>
    <cfRule type="cellIs" dxfId="1" priority="1297" operator="greaterThan">
      <formula>120</formula>
    </cfRule>
    <cfRule type="containsText" dxfId="2" priority="282" operator="between" text="库存为">
      <formula>NOT(ISERROR(SEARCH("库存为",AU739)))</formula>
    </cfRule>
  </conditionalFormatting>
  <conditionalFormatting sqref="AU740">
    <cfRule type="cellIs" dxfId="0" priority="2311" operator="lessThan">
      <formula>20</formula>
    </cfRule>
    <cfRule type="cellIs" dxfId="1" priority="1296" operator="greaterThan">
      <formula>120</formula>
    </cfRule>
    <cfRule type="containsText" dxfId="2" priority="281" operator="between" text="库存为">
      <formula>NOT(ISERROR(SEARCH("库存为",AU740)))</formula>
    </cfRule>
  </conditionalFormatting>
  <conditionalFormatting sqref="AU741">
    <cfRule type="cellIs" dxfId="0" priority="2310" operator="lessThan">
      <formula>20</formula>
    </cfRule>
    <cfRule type="cellIs" dxfId="1" priority="1295" operator="greaterThan">
      <formula>120</formula>
    </cfRule>
    <cfRule type="containsText" dxfId="2" priority="280" operator="between" text="库存为">
      <formula>NOT(ISERROR(SEARCH("库存为",AU741)))</formula>
    </cfRule>
  </conditionalFormatting>
  <conditionalFormatting sqref="AU742">
    <cfRule type="cellIs" dxfId="0" priority="2309" operator="lessThan">
      <formula>20</formula>
    </cfRule>
    <cfRule type="cellIs" dxfId="1" priority="1294" operator="greaterThan">
      <formula>120</formula>
    </cfRule>
    <cfRule type="containsText" dxfId="2" priority="279" operator="between" text="库存为">
      <formula>NOT(ISERROR(SEARCH("库存为",AU742)))</formula>
    </cfRule>
  </conditionalFormatting>
  <conditionalFormatting sqref="AU743">
    <cfRule type="cellIs" dxfId="0" priority="2308" operator="lessThan">
      <formula>20</formula>
    </cfRule>
    <cfRule type="cellIs" dxfId="1" priority="1293" operator="greaterThan">
      <formula>120</formula>
    </cfRule>
    <cfRule type="containsText" dxfId="2" priority="278" operator="between" text="库存为">
      <formula>NOT(ISERROR(SEARCH("库存为",AU743)))</formula>
    </cfRule>
  </conditionalFormatting>
  <conditionalFormatting sqref="AU744">
    <cfRule type="cellIs" dxfId="0" priority="2307" operator="lessThan">
      <formula>20</formula>
    </cfRule>
    <cfRule type="cellIs" dxfId="1" priority="1292" operator="greaterThan">
      <formula>120</formula>
    </cfRule>
    <cfRule type="containsText" dxfId="2" priority="277" operator="between" text="库存为">
      <formula>NOT(ISERROR(SEARCH("库存为",AU744)))</formula>
    </cfRule>
  </conditionalFormatting>
  <conditionalFormatting sqref="AU745">
    <cfRule type="cellIs" dxfId="0" priority="2306" operator="lessThan">
      <formula>20</formula>
    </cfRule>
    <cfRule type="cellIs" dxfId="1" priority="1291" operator="greaterThan">
      <formula>120</formula>
    </cfRule>
    <cfRule type="containsText" dxfId="2" priority="276" operator="between" text="库存为">
      <formula>NOT(ISERROR(SEARCH("库存为",AU745)))</formula>
    </cfRule>
  </conditionalFormatting>
  <conditionalFormatting sqref="AU746">
    <cfRule type="cellIs" dxfId="0" priority="2305" operator="lessThan">
      <formula>20</formula>
    </cfRule>
    <cfRule type="cellIs" dxfId="1" priority="1290" operator="greaterThan">
      <formula>120</formula>
    </cfRule>
    <cfRule type="containsText" dxfId="2" priority="275" operator="between" text="库存为">
      <formula>NOT(ISERROR(SEARCH("库存为",AU746)))</formula>
    </cfRule>
  </conditionalFormatting>
  <conditionalFormatting sqref="AU747">
    <cfRule type="cellIs" dxfId="0" priority="2304" operator="lessThan">
      <formula>20</formula>
    </cfRule>
    <cfRule type="cellIs" dxfId="1" priority="1289" operator="greaterThan">
      <formula>120</formula>
    </cfRule>
    <cfRule type="containsText" dxfId="2" priority="274" operator="between" text="库存为">
      <formula>NOT(ISERROR(SEARCH("库存为",AU747)))</formula>
    </cfRule>
  </conditionalFormatting>
  <conditionalFormatting sqref="AU748">
    <cfRule type="cellIs" dxfId="0" priority="2303" operator="lessThan">
      <formula>20</formula>
    </cfRule>
    <cfRule type="cellIs" dxfId="1" priority="1288" operator="greaterThan">
      <formula>120</formula>
    </cfRule>
    <cfRule type="containsText" dxfId="2" priority="273" operator="between" text="库存为">
      <formula>NOT(ISERROR(SEARCH("库存为",AU748)))</formula>
    </cfRule>
  </conditionalFormatting>
  <conditionalFormatting sqref="AU749">
    <cfRule type="cellIs" dxfId="0" priority="2302" operator="lessThan">
      <formula>20</formula>
    </cfRule>
    <cfRule type="cellIs" dxfId="1" priority="1287" operator="greaterThan">
      <formula>120</formula>
    </cfRule>
    <cfRule type="containsText" dxfId="2" priority="272" operator="between" text="库存为">
      <formula>NOT(ISERROR(SEARCH("库存为",AU749)))</formula>
    </cfRule>
  </conditionalFormatting>
  <conditionalFormatting sqref="AU750">
    <cfRule type="cellIs" dxfId="0" priority="2301" operator="lessThan">
      <formula>20</formula>
    </cfRule>
    <cfRule type="cellIs" dxfId="1" priority="1286" operator="greaterThan">
      <formula>120</formula>
    </cfRule>
    <cfRule type="containsText" dxfId="2" priority="271" operator="between" text="库存为">
      <formula>NOT(ISERROR(SEARCH("库存为",AU750)))</formula>
    </cfRule>
  </conditionalFormatting>
  <conditionalFormatting sqref="AU751">
    <cfRule type="cellIs" dxfId="0" priority="2300" operator="lessThan">
      <formula>20</formula>
    </cfRule>
    <cfRule type="cellIs" dxfId="1" priority="1285" operator="greaterThan">
      <formula>120</formula>
    </cfRule>
    <cfRule type="containsText" dxfId="2" priority="270" operator="between" text="库存为">
      <formula>NOT(ISERROR(SEARCH("库存为",AU751)))</formula>
    </cfRule>
  </conditionalFormatting>
  <conditionalFormatting sqref="AU752">
    <cfRule type="cellIs" dxfId="0" priority="2299" operator="lessThan">
      <formula>20</formula>
    </cfRule>
    <cfRule type="cellIs" dxfId="1" priority="1284" operator="greaterThan">
      <formula>120</formula>
    </cfRule>
    <cfRule type="containsText" dxfId="2" priority="269" operator="between" text="库存为">
      <formula>NOT(ISERROR(SEARCH("库存为",AU752)))</formula>
    </cfRule>
  </conditionalFormatting>
  <conditionalFormatting sqref="AU753">
    <cfRule type="cellIs" dxfId="0" priority="2298" operator="lessThan">
      <formula>20</formula>
    </cfRule>
    <cfRule type="cellIs" dxfId="1" priority="1283" operator="greaterThan">
      <formula>120</formula>
    </cfRule>
    <cfRule type="containsText" dxfId="2" priority="268" operator="between" text="库存为">
      <formula>NOT(ISERROR(SEARCH("库存为",AU753)))</formula>
    </cfRule>
  </conditionalFormatting>
  <conditionalFormatting sqref="AU754">
    <cfRule type="cellIs" dxfId="0" priority="2297" operator="lessThan">
      <formula>20</formula>
    </cfRule>
    <cfRule type="cellIs" dxfId="1" priority="1282" operator="greaterThan">
      <formula>120</formula>
    </cfRule>
    <cfRule type="containsText" dxfId="2" priority="267" operator="between" text="库存为">
      <formula>NOT(ISERROR(SEARCH("库存为",AU754)))</formula>
    </cfRule>
  </conditionalFormatting>
  <conditionalFormatting sqref="AU755">
    <cfRule type="cellIs" dxfId="0" priority="2296" operator="lessThan">
      <formula>20</formula>
    </cfRule>
    <cfRule type="cellIs" dxfId="1" priority="1281" operator="greaterThan">
      <formula>120</formula>
    </cfRule>
    <cfRule type="containsText" dxfId="2" priority="266" operator="between" text="库存为">
      <formula>NOT(ISERROR(SEARCH("库存为",AU755)))</formula>
    </cfRule>
  </conditionalFormatting>
  <conditionalFormatting sqref="AU756">
    <cfRule type="cellIs" dxfId="0" priority="2295" operator="lessThan">
      <formula>20</formula>
    </cfRule>
    <cfRule type="cellIs" dxfId="1" priority="1280" operator="greaterThan">
      <formula>120</formula>
    </cfRule>
    <cfRule type="containsText" dxfId="2" priority="265" operator="between" text="库存为">
      <formula>NOT(ISERROR(SEARCH("库存为",AU756)))</formula>
    </cfRule>
  </conditionalFormatting>
  <conditionalFormatting sqref="AU757">
    <cfRule type="cellIs" dxfId="0" priority="2294" operator="lessThan">
      <formula>20</formula>
    </cfRule>
    <cfRule type="cellIs" dxfId="1" priority="1279" operator="greaterThan">
      <formula>120</formula>
    </cfRule>
    <cfRule type="containsText" dxfId="2" priority="264" operator="between" text="库存为">
      <formula>NOT(ISERROR(SEARCH("库存为",AU757)))</formula>
    </cfRule>
  </conditionalFormatting>
  <conditionalFormatting sqref="AU758">
    <cfRule type="cellIs" dxfId="0" priority="2293" operator="lessThan">
      <formula>20</formula>
    </cfRule>
    <cfRule type="cellIs" dxfId="1" priority="1278" operator="greaterThan">
      <formula>120</formula>
    </cfRule>
    <cfRule type="containsText" dxfId="2" priority="263" operator="between" text="库存为">
      <formula>NOT(ISERROR(SEARCH("库存为",AU758)))</formula>
    </cfRule>
  </conditionalFormatting>
  <conditionalFormatting sqref="AU759">
    <cfRule type="cellIs" dxfId="0" priority="2292" operator="lessThan">
      <formula>20</formula>
    </cfRule>
    <cfRule type="cellIs" dxfId="1" priority="1277" operator="greaterThan">
      <formula>120</formula>
    </cfRule>
    <cfRule type="containsText" dxfId="2" priority="262" operator="between" text="库存为">
      <formula>NOT(ISERROR(SEARCH("库存为",AU759)))</formula>
    </cfRule>
  </conditionalFormatting>
  <conditionalFormatting sqref="AU760">
    <cfRule type="cellIs" dxfId="0" priority="2291" operator="lessThan">
      <formula>20</formula>
    </cfRule>
    <cfRule type="cellIs" dxfId="1" priority="1276" operator="greaterThan">
      <formula>120</formula>
    </cfRule>
    <cfRule type="containsText" dxfId="2" priority="261" operator="between" text="库存为">
      <formula>NOT(ISERROR(SEARCH("库存为",AU760)))</formula>
    </cfRule>
  </conditionalFormatting>
  <conditionalFormatting sqref="AU761">
    <cfRule type="cellIs" dxfId="0" priority="2290" operator="lessThan">
      <formula>20</formula>
    </cfRule>
    <cfRule type="cellIs" dxfId="1" priority="1275" operator="greaterThan">
      <formula>120</formula>
    </cfRule>
    <cfRule type="containsText" dxfId="2" priority="260" operator="between" text="库存为">
      <formula>NOT(ISERROR(SEARCH("库存为",AU761)))</formula>
    </cfRule>
  </conditionalFormatting>
  <conditionalFormatting sqref="AU762">
    <cfRule type="cellIs" dxfId="0" priority="2289" operator="lessThan">
      <formula>20</formula>
    </cfRule>
    <cfRule type="cellIs" dxfId="1" priority="1274" operator="greaterThan">
      <formula>120</formula>
    </cfRule>
    <cfRule type="containsText" dxfId="2" priority="259" operator="between" text="库存为">
      <formula>NOT(ISERROR(SEARCH("库存为",AU762)))</formula>
    </cfRule>
  </conditionalFormatting>
  <conditionalFormatting sqref="AU763">
    <cfRule type="cellIs" dxfId="0" priority="2288" operator="lessThan">
      <formula>20</formula>
    </cfRule>
    <cfRule type="cellIs" dxfId="1" priority="1273" operator="greaterThan">
      <formula>120</formula>
    </cfRule>
    <cfRule type="containsText" dxfId="2" priority="258" operator="between" text="库存为">
      <formula>NOT(ISERROR(SEARCH("库存为",AU763)))</formula>
    </cfRule>
  </conditionalFormatting>
  <conditionalFormatting sqref="AU764">
    <cfRule type="cellIs" dxfId="0" priority="2287" operator="lessThan">
      <formula>20</formula>
    </cfRule>
    <cfRule type="cellIs" dxfId="1" priority="1272" operator="greaterThan">
      <formula>120</formula>
    </cfRule>
    <cfRule type="containsText" dxfId="2" priority="257" operator="between" text="库存为">
      <formula>NOT(ISERROR(SEARCH("库存为",AU764)))</formula>
    </cfRule>
  </conditionalFormatting>
  <conditionalFormatting sqref="AU765">
    <cfRule type="cellIs" dxfId="0" priority="2286" operator="lessThan">
      <formula>20</formula>
    </cfRule>
    <cfRule type="cellIs" dxfId="1" priority="1271" operator="greaterThan">
      <formula>120</formula>
    </cfRule>
    <cfRule type="containsText" dxfId="2" priority="256" operator="between" text="库存为">
      <formula>NOT(ISERROR(SEARCH("库存为",AU765)))</formula>
    </cfRule>
  </conditionalFormatting>
  <conditionalFormatting sqref="AU766">
    <cfRule type="cellIs" dxfId="0" priority="2285" operator="lessThan">
      <formula>20</formula>
    </cfRule>
    <cfRule type="cellIs" dxfId="1" priority="1270" operator="greaterThan">
      <formula>120</formula>
    </cfRule>
    <cfRule type="containsText" dxfId="2" priority="255" operator="between" text="库存为">
      <formula>NOT(ISERROR(SEARCH("库存为",AU766)))</formula>
    </cfRule>
  </conditionalFormatting>
  <conditionalFormatting sqref="AU767">
    <cfRule type="cellIs" dxfId="0" priority="2284" operator="lessThan">
      <formula>20</formula>
    </cfRule>
    <cfRule type="cellIs" dxfId="1" priority="1269" operator="greaterThan">
      <formula>120</formula>
    </cfRule>
    <cfRule type="containsText" dxfId="2" priority="254" operator="between" text="库存为">
      <formula>NOT(ISERROR(SEARCH("库存为",AU767)))</formula>
    </cfRule>
  </conditionalFormatting>
  <conditionalFormatting sqref="AU768">
    <cfRule type="cellIs" dxfId="0" priority="2283" operator="lessThan">
      <formula>20</formula>
    </cfRule>
    <cfRule type="cellIs" dxfId="1" priority="1268" operator="greaterThan">
      <formula>120</formula>
    </cfRule>
    <cfRule type="containsText" dxfId="2" priority="253" operator="between" text="库存为">
      <formula>NOT(ISERROR(SEARCH("库存为",AU768)))</formula>
    </cfRule>
  </conditionalFormatting>
  <conditionalFormatting sqref="AU769">
    <cfRule type="cellIs" dxfId="0" priority="2282" operator="lessThan">
      <formula>20</formula>
    </cfRule>
    <cfRule type="cellIs" dxfId="1" priority="1267" operator="greaterThan">
      <formula>120</formula>
    </cfRule>
    <cfRule type="containsText" dxfId="2" priority="252" operator="between" text="库存为">
      <formula>NOT(ISERROR(SEARCH("库存为",AU769)))</formula>
    </cfRule>
  </conditionalFormatting>
  <conditionalFormatting sqref="AU770">
    <cfRule type="cellIs" dxfId="0" priority="2281" operator="lessThan">
      <formula>20</formula>
    </cfRule>
    <cfRule type="cellIs" dxfId="1" priority="1266" operator="greaterThan">
      <formula>120</formula>
    </cfRule>
    <cfRule type="containsText" dxfId="2" priority="251" operator="between" text="库存为">
      <formula>NOT(ISERROR(SEARCH("库存为",AU770)))</formula>
    </cfRule>
  </conditionalFormatting>
  <conditionalFormatting sqref="AU771">
    <cfRule type="cellIs" dxfId="0" priority="2280" operator="lessThan">
      <formula>20</formula>
    </cfRule>
    <cfRule type="cellIs" dxfId="1" priority="1265" operator="greaterThan">
      <formula>120</formula>
    </cfRule>
    <cfRule type="containsText" dxfId="2" priority="250" operator="between" text="库存为">
      <formula>NOT(ISERROR(SEARCH("库存为",AU771)))</formula>
    </cfRule>
  </conditionalFormatting>
  <conditionalFormatting sqref="AU772">
    <cfRule type="cellIs" dxfId="0" priority="2279" operator="lessThan">
      <formula>20</formula>
    </cfRule>
    <cfRule type="cellIs" dxfId="1" priority="1264" operator="greaterThan">
      <formula>120</formula>
    </cfRule>
    <cfRule type="containsText" dxfId="2" priority="249" operator="between" text="库存为">
      <formula>NOT(ISERROR(SEARCH("库存为",AU772)))</formula>
    </cfRule>
  </conditionalFormatting>
  <conditionalFormatting sqref="AU773">
    <cfRule type="cellIs" dxfId="0" priority="2278" operator="lessThan">
      <formula>20</formula>
    </cfRule>
    <cfRule type="cellIs" dxfId="1" priority="1263" operator="greaterThan">
      <formula>120</formula>
    </cfRule>
    <cfRule type="containsText" dxfId="2" priority="248" operator="between" text="库存为">
      <formula>NOT(ISERROR(SEARCH("库存为",AU773)))</formula>
    </cfRule>
  </conditionalFormatting>
  <conditionalFormatting sqref="AU774">
    <cfRule type="cellIs" dxfId="0" priority="2277" operator="lessThan">
      <formula>20</formula>
    </cfRule>
    <cfRule type="cellIs" dxfId="1" priority="1262" operator="greaterThan">
      <formula>120</formula>
    </cfRule>
    <cfRule type="containsText" dxfId="2" priority="247" operator="between" text="库存为">
      <formula>NOT(ISERROR(SEARCH("库存为",AU774)))</formula>
    </cfRule>
  </conditionalFormatting>
  <conditionalFormatting sqref="AU775">
    <cfRule type="cellIs" dxfId="0" priority="2276" operator="lessThan">
      <formula>20</formula>
    </cfRule>
    <cfRule type="cellIs" dxfId="1" priority="1261" operator="greaterThan">
      <formula>120</formula>
    </cfRule>
    <cfRule type="containsText" dxfId="2" priority="246" operator="between" text="库存为">
      <formula>NOT(ISERROR(SEARCH("库存为",AU775)))</formula>
    </cfRule>
  </conditionalFormatting>
  <conditionalFormatting sqref="AU776">
    <cfRule type="cellIs" dxfId="0" priority="2275" operator="lessThan">
      <formula>20</formula>
    </cfRule>
    <cfRule type="cellIs" dxfId="1" priority="1260" operator="greaterThan">
      <formula>120</formula>
    </cfRule>
    <cfRule type="containsText" dxfId="2" priority="245" operator="between" text="库存为">
      <formula>NOT(ISERROR(SEARCH("库存为",AU776)))</formula>
    </cfRule>
  </conditionalFormatting>
  <conditionalFormatting sqref="AU777">
    <cfRule type="cellIs" dxfId="0" priority="2274" operator="lessThan">
      <formula>20</formula>
    </cfRule>
    <cfRule type="cellIs" dxfId="1" priority="1259" operator="greaterThan">
      <formula>120</formula>
    </cfRule>
    <cfRule type="containsText" dxfId="2" priority="244" operator="between" text="库存为">
      <formula>NOT(ISERROR(SEARCH("库存为",AU777)))</formula>
    </cfRule>
  </conditionalFormatting>
  <conditionalFormatting sqref="AU778">
    <cfRule type="cellIs" dxfId="0" priority="2273" operator="lessThan">
      <formula>20</formula>
    </cfRule>
    <cfRule type="cellIs" dxfId="1" priority="1258" operator="greaterThan">
      <formula>120</formula>
    </cfRule>
    <cfRule type="containsText" dxfId="2" priority="243" operator="between" text="库存为">
      <formula>NOT(ISERROR(SEARCH("库存为",AU778)))</formula>
    </cfRule>
  </conditionalFormatting>
  <conditionalFormatting sqref="AU779">
    <cfRule type="cellIs" dxfId="0" priority="2272" operator="lessThan">
      <formula>20</formula>
    </cfRule>
    <cfRule type="cellIs" dxfId="1" priority="1257" operator="greaterThan">
      <formula>120</formula>
    </cfRule>
    <cfRule type="containsText" dxfId="2" priority="242" operator="between" text="库存为">
      <formula>NOT(ISERROR(SEARCH("库存为",AU779)))</formula>
    </cfRule>
  </conditionalFormatting>
  <conditionalFormatting sqref="AU780">
    <cfRule type="cellIs" dxfId="0" priority="2271" operator="lessThan">
      <formula>20</formula>
    </cfRule>
    <cfRule type="cellIs" dxfId="1" priority="1256" operator="greaterThan">
      <formula>120</formula>
    </cfRule>
    <cfRule type="containsText" dxfId="2" priority="241" operator="between" text="库存为">
      <formula>NOT(ISERROR(SEARCH("库存为",AU780)))</formula>
    </cfRule>
  </conditionalFormatting>
  <conditionalFormatting sqref="AU781">
    <cfRule type="cellIs" dxfId="0" priority="2270" operator="lessThan">
      <formula>20</formula>
    </cfRule>
    <cfRule type="cellIs" dxfId="1" priority="1255" operator="greaterThan">
      <formula>120</formula>
    </cfRule>
    <cfRule type="containsText" dxfId="2" priority="240" operator="between" text="库存为">
      <formula>NOT(ISERROR(SEARCH("库存为",AU781)))</formula>
    </cfRule>
  </conditionalFormatting>
  <conditionalFormatting sqref="AU782">
    <cfRule type="cellIs" dxfId="0" priority="2269" operator="lessThan">
      <formula>20</formula>
    </cfRule>
    <cfRule type="cellIs" dxfId="1" priority="1254" operator="greaterThan">
      <formula>120</formula>
    </cfRule>
    <cfRule type="containsText" dxfId="2" priority="239" operator="between" text="库存为">
      <formula>NOT(ISERROR(SEARCH("库存为",AU782)))</formula>
    </cfRule>
  </conditionalFormatting>
  <conditionalFormatting sqref="AU783">
    <cfRule type="cellIs" dxfId="0" priority="2268" operator="lessThan">
      <formula>20</formula>
    </cfRule>
    <cfRule type="cellIs" dxfId="1" priority="1253" operator="greaterThan">
      <formula>120</formula>
    </cfRule>
    <cfRule type="containsText" dxfId="2" priority="238" operator="between" text="库存为">
      <formula>NOT(ISERROR(SEARCH("库存为",AU783)))</formula>
    </cfRule>
  </conditionalFormatting>
  <conditionalFormatting sqref="AU784">
    <cfRule type="cellIs" dxfId="0" priority="2267" operator="lessThan">
      <formula>20</formula>
    </cfRule>
    <cfRule type="cellIs" dxfId="1" priority="1252" operator="greaterThan">
      <formula>120</formula>
    </cfRule>
    <cfRule type="containsText" dxfId="2" priority="237" operator="between" text="库存为">
      <formula>NOT(ISERROR(SEARCH("库存为",AU784)))</formula>
    </cfRule>
  </conditionalFormatting>
  <conditionalFormatting sqref="AU785">
    <cfRule type="cellIs" dxfId="0" priority="2266" operator="lessThan">
      <formula>20</formula>
    </cfRule>
    <cfRule type="cellIs" dxfId="1" priority="1251" operator="greaterThan">
      <formula>120</formula>
    </cfRule>
    <cfRule type="containsText" dxfId="2" priority="236" operator="between" text="库存为">
      <formula>NOT(ISERROR(SEARCH("库存为",AU785)))</formula>
    </cfRule>
  </conditionalFormatting>
  <conditionalFormatting sqref="AU786">
    <cfRule type="cellIs" dxfId="0" priority="2265" operator="lessThan">
      <formula>20</formula>
    </cfRule>
    <cfRule type="cellIs" dxfId="1" priority="1250" operator="greaterThan">
      <formula>120</formula>
    </cfRule>
    <cfRule type="containsText" dxfId="2" priority="235" operator="between" text="库存为">
      <formula>NOT(ISERROR(SEARCH("库存为",AU786)))</formula>
    </cfRule>
  </conditionalFormatting>
  <conditionalFormatting sqref="AU787">
    <cfRule type="cellIs" dxfId="0" priority="2264" operator="lessThan">
      <formula>20</formula>
    </cfRule>
    <cfRule type="cellIs" dxfId="1" priority="1249" operator="greaterThan">
      <formula>120</formula>
    </cfRule>
    <cfRule type="containsText" dxfId="2" priority="234" operator="between" text="库存为">
      <formula>NOT(ISERROR(SEARCH("库存为",AU787)))</formula>
    </cfRule>
  </conditionalFormatting>
  <conditionalFormatting sqref="AU788">
    <cfRule type="cellIs" dxfId="0" priority="2263" operator="lessThan">
      <formula>20</formula>
    </cfRule>
    <cfRule type="cellIs" dxfId="1" priority="1248" operator="greaterThan">
      <formula>120</formula>
    </cfRule>
    <cfRule type="containsText" dxfId="2" priority="233" operator="between" text="库存为">
      <formula>NOT(ISERROR(SEARCH("库存为",AU788)))</formula>
    </cfRule>
  </conditionalFormatting>
  <conditionalFormatting sqref="AU789">
    <cfRule type="cellIs" dxfId="0" priority="2262" operator="lessThan">
      <formula>20</formula>
    </cfRule>
    <cfRule type="cellIs" dxfId="1" priority="1247" operator="greaterThan">
      <formula>120</formula>
    </cfRule>
    <cfRule type="containsText" dxfId="2" priority="232" operator="between" text="库存为">
      <formula>NOT(ISERROR(SEARCH("库存为",AU789)))</formula>
    </cfRule>
  </conditionalFormatting>
  <conditionalFormatting sqref="AU790">
    <cfRule type="cellIs" dxfId="0" priority="2261" operator="lessThan">
      <formula>20</formula>
    </cfRule>
    <cfRule type="cellIs" dxfId="1" priority="1246" operator="greaterThan">
      <formula>120</formula>
    </cfRule>
    <cfRule type="containsText" dxfId="2" priority="231" operator="between" text="库存为">
      <formula>NOT(ISERROR(SEARCH("库存为",AU790)))</formula>
    </cfRule>
  </conditionalFormatting>
  <conditionalFormatting sqref="AU791">
    <cfRule type="cellIs" dxfId="0" priority="2260" operator="lessThan">
      <formula>20</formula>
    </cfRule>
    <cfRule type="cellIs" dxfId="1" priority="1245" operator="greaterThan">
      <formula>120</formula>
    </cfRule>
    <cfRule type="containsText" dxfId="2" priority="230" operator="between" text="库存为">
      <formula>NOT(ISERROR(SEARCH("库存为",AU791)))</formula>
    </cfRule>
  </conditionalFormatting>
  <conditionalFormatting sqref="AU792">
    <cfRule type="cellIs" dxfId="0" priority="2259" operator="lessThan">
      <formula>20</formula>
    </cfRule>
    <cfRule type="cellIs" dxfId="1" priority="1244" operator="greaterThan">
      <formula>120</formula>
    </cfRule>
    <cfRule type="containsText" dxfId="2" priority="229" operator="between" text="库存为">
      <formula>NOT(ISERROR(SEARCH("库存为",AU792)))</formula>
    </cfRule>
  </conditionalFormatting>
  <conditionalFormatting sqref="AU793">
    <cfRule type="cellIs" dxfId="0" priority="2258" operator="lessThan">
      <formula>20</formula>
    </cfRule>
    <cfRule type="cellIs" dxfId="1" priority="1243" operator="greaterThan">
      <formula>120</formula>
    </cfRule>
    <cfRule type="containsText" dxfId="2" priority="228" operator="between" text="库存为">
      <formula>NOT(ISERROR(SEARCH("库存为",AU793)))</formula>
    </cfRule>
  </conditionalFormatting>
  <conditionalFormatting sqref="AU794">
    <cfRule type="cellIs" dxfId="0" priority="2257" operator="lessThan">
      <formula>20</formula>
    </cfRule>
    <cfRule type="cellIs" dxfId="1" priority="1242" operator="greaterThan">
      <formula>120</formula>
    </cfRule>
    <cfRule type="containsText" dxfId="2" priority="227" operator="between" text="库存为">
      <formula>NOT(ISERROR(SEARCH("库存为",AU794)))</formula>
    </cfRule>
  </conditionalFormatting>
  <conditionalFormatting sqref="AU795">
    <cfRule type="cellIs" dxfId="0" priority="2256" operator="lessThan">
      <formula>20</formula>
    </cfRule>
    <cfRule type="cellIs" dxfId="1" priority="1241" operator="greaterThan">
      <formula>120</formula>
    </cfRule>
    <cfRule type="containsText" dxfId="2" priority="226" operator="between" text="库存为">
      <formula>NOT(ISERROR(SEARCH("库存为",AU795)))</formula>
    </cfRule>
  </conditionalFormatting>
  <conditionalFormatting sqref="AU796">
    <cfRule type="cellIs" dxfId="0" priority="2255" operator="lessThan">
      <formula>20</formula>
    </cfRule>
    <cfRule type="cellIs" dxfId="1" priority="1240" operator="greaterThan">
      <formula>120</formula>
    </cfRule>
    <cfRule type="containsText" dxfId="2" priority="225" operator="between" text="库存为">
      <formula>NOT(ISERROR(SEARCH("库存为",AU796)))</formula>
    </cfRule>
  </conditionalFormatting>
  <conditionalFormatting sqref="AU797">
    <cfRule type="cellIs" dxfId="0" priority="2254" operator="lessThan">
      <formula>20</formula>
    </cfRule>
    <cfRule type="cellIs" dxfId="1" priority="1239" operator="greaterThan">
      <formula>120</formula>
    </cfRule>
    <cfRule type="containsText" dxfId="2" priority="224" operator="between" text="库存为">
      <formula>NOT(ISERROR(SEARCH("库存为",AU797)))</formula>
    </cfRule>
  </conditionalFormatting>
  <conditionalFormatting sqref="AU798">
    <cfRule type="cellIs" dxfId="0" priority="2253" operator="lessThan">
      <formula>20</formula>
    </cfRule>
    <cfRule type="cellIs" dxfId="1" priority="1238" operator="greaterThan">
      <formula>120</formula>
    </cfRule>
    <cfRule type="containsText" dxfId="2" priority="223" operator="between" text="库存为">
      <formula>NOT(ISERROR(SEARCH("库存为",AU798)))</formula>
    </cfRule>
  </conditionalFormatting>
  <conditionalFormatting sqref="AU799">
    <cfRule type="cellIs" dxfId="0" priority="2252" operator="lessThan">
      <formula>20</formula>
    </cfRule>
    <cfRule type="cellIs" dxfId="1" priority="1237" operator="greaterThan">
      <formula>120</formula>
    </cfRule>
    <cfRule type="containsText" dxfId="2" priority="222" operator="between" text="库存为">
      <formula>NOT(ISERROR(SEARCH("库存为",AU799)))</formula>
    </cfRule>
  </conditionalFormatting>
  <conditionalFormatting sqref="AU800">
    <cfRule type="cellIs" dxfId="0" priority="2251" operator="lessThan">
      <formula>20</formula>
    </cfRule>
    <cfRule type="cellIs" dxfId="1" priority="1236" operator="greaterThan">
      <formula>120</formula>
    </cfRule>
    <cfRule type="containsText" dxfId="2" priority="221" operator="between" text="库存为">
      <formula>NOT(ISERROR(SEARCH("库存为",AU800)))</formula>
    </cfRule>
  </conditionalFormatting>
  <conditionalFormatting sqref="AU801">
    <cfRule type="cellIs" dxfId="0" priority="2250" operator="lessThan">
      <formula>20</formula>
    </cfRule>
    <cfRule type="cellIs" dxfId="1" priority="1235" operator="greaterThan">
      <formula>120</formula>
    </cfRule>
    <cfRule type="containsText" dxfId="2" priority="220" operator="between" text="库存为">
      <formula>NOT(ISERROR(SEARCH("库存为",AU801)))</formula>
    </cfRule>
  </conditionalFormatting>
  <conditionalFormatting sqref="AU802">
    <cfRule type="cellIs" dxfId="0" priority="2249" operator="lessThan">
      <formula>20</formula>
    </cfRule>
    <cfRule type="cellIs" dxfId="1" priority="1234" operator="greaterThan">
      <formula>120</formula>
    </cfRule>
    <cfRule type="containsText" dxfId="2" priority="219" operator="between" text="库存为">
      <formula>NOT(ISERROR(SEARCH("库存为",AU802)))</formula>
    </cfRule>
  </conditionalFormatting>
  <conditionalFormatting sqref="AU803">
    <cfRule type="cellIs" dxfId="0" priority="2248" operator="lessThan">
      <formula>20</formula>
    </cfRule>
    <cfRule type="cellIs" dxfId="1" priority="1233" operator="greaterThan">
      <formula>120</formula>
    </cfRule>
    <cfRule type="containsText" dxfId="2" priority="218" operator="between" text="库存为">
      <formula>NOT(ISERROR(SEARCH("库存为",AU803)))</formula>
    </cfRule>
  </conditionalFormatting>
  <conditionalFormatting sqref="AU804">
    <cfRule type="cellIs" dxfId="0" priority="2247" operator="lessThan">
      <formula>20</formula>
    </cfRule>
    <cfRule type="cellIs" dxfId="1" priority="1232" operator="greaterThan">
      <formula>120</formula>
    </cfRule>
    <cfRule type="containsText" dxfId="2" priority="217" operator="between" text="库存为">
      <formula>NOT(ISERROR(SEARCH("库存为",AU804)))</formula>
    </cfRule>
  </conditionalFormatting>
  <conditionalFormatting sqref="AU805">
    <cfRule type="cellIs" dxfId="0" priority="2246" operator="lessThan">
      <formula>20</formula>
    </cfRule>
    <cfRule type="cellIs" dxfId="1" priority="1231" operator="greaterThan">
      <formula>120</formula>
    </cfRule>
    <cfRule type="containsText" dxfId="2" priority="216" operator="between" text="库存为">
      <formula>NOT(ISERROR(SEARCH("库存为",AU805)))</formula>
    </cfRule>
  </conditionalFormatting>
  <conditionalFormatting sqref="AU806">
    <cfRule type="cellIs" dxfId="0" priority="2245" operator="lessThan">
      <formula>20</formula>
    </cfRule>
    <cfRule type="cellIs" dxfId="1" priority="1230" operator="greaterThan">
      <formula>120</formula>
    </cfRule>
    <cfRule type="containsText" dxfId="2" priority="215" operator="between" text="库存为">
      <formula>NOT(ISERROR(SEARCH("库存为",AU806)))</formula>
    </cfRule>
  </conditionalFormatting>
  <conditionalFormatting sqref="AU807">
    <cfRule type="cellIs" dxfId="0" priority="2244" operator="lessThan">
      <formula>20</formula>
    </cfRule>
    <cfRule type="cellIs" dxfId="1" priority="1229" operator="greaterThan">
      <formula>120</formula>
    </cfRule>
    <cfRule type="containsText" dxfId="2" priority="214" operator="between" text="库存为">
      <formula>NOT(ISERROR(SEARCH("库存为",AU807)))</formula>
    </cfRule>
  </conditionalFormatting>
  <conditionalFormatting sqref="AU808">
    <cfRule type="cellIs" dxfId="0" priority="2243" operator="lessThan">
      <formula>20</formula>
    </cfRule>
    <cfRule type="cellIs" dxfId="1" priority="1228" operator="greaterThan">
      <formula>120</formula>
    </cfRule>
    <cfRule type="containsText" dxfId="2" priority="213" operator="between" text="库存为">
      <formula>NOT(ISERROR(SEARCH("库存为",AU808)))</formula>
    </cfRule>
  </conditionalFormatting>
  <conditionalFormatting sqref="AU809">
    <cfRule type="cellIs" dxfId="0" priority="2242" operator="lessThan">
      <formula>20</formula>
    </cfRule>
    <cfRule type="cellIs" dxfId="1" priority="1227" operator="greaterThan">
      <formula>120</formula>
    </cfRule>
    <cfRule type="containsText" dxfId="2" priority="212" operator="between" text="库存为">
      <formula>NOT(ISERROR(SEARCH("库存为",AU809)))</formula>
    </cfRule>
  </conditionalFormatting>
  <conditionalFormatting sqref="AU810">
    <cfRule type="cellIs" dxfId="0" priority="2241" operator="lessThan">
      <formula>20</formula>
    </cfRule>
    <cfRule type="cellIs" dxfId="1" priority="1226" operator="greaterThan">
      <formula>120</formula>
    </cfRule>
    <cfRule type="containsText" dxfId="2" priority="211" operator="between" text="库存为">
      <formula>NOT(ISERROR(SEARCH("库存为",AU810)))</formula>
    </cfRule>
  </conditionalFormatting>
  <conditionalFormatting sqref="AU811">
    <cfRule type="cellIs" dxfId="0" priority="2240" operator="lessThan">
      <formula>20</formula>
    </cfRule>
    <cfRule type="cellIs" dxfId="1" priority="1225" operator="greaterThan">
      <formula>120</formula>
    </cfRule>
    <cfRule type="containsText" dxfId="2" priority="210" operator="between" text="库存为">
      <formula>NOT(ISERROR(SEARCH("库存为",AU811)))</formula>
    </cfRule>
  </conditionalFormatting>
  <conditionalFormatting sqref="AU812">
    <cfRule type="cellIs" dxfId="0" priority="2239" operator="lessThan">
      <formula>20</formula>
    </cfRule>
    <cfRule type="cellIs" dxfId="1" priority="1224" operator="greaterThan">
      <formula>120</formula>
    </cfRule>
    <cfRule type="containsText" dxfId="2" priority="209" operator="between" text="库存为">
      <formula>NOT(ISERROR(SEARCH("库存为",AU812)))</formula>
    </cfRule>
  </conditionalFormatting>
  <conditionalFormatting sqref="AU813">
    <cfRule type="cellIs" dxfId="0" priority="2238" operator="lessThan">
      <formula>20</formula>
    </cfRule>
    <cfRule type="cellIs" dxfId="1" priority="1223" operator="greaterThan">
      <formula>120</formula>
    </cfRule>
    <cfRule type="containsText" dxfId="2" priority="208" operator="between" text="库存为">
      <formula>NOT(ISERROR(SEARCH("库存为",AU813)))</formula>
    </cfRule>
  </conditionalFormatting>
  <conditionalFormatting sqref="AU814">
    <cfRule type="cellIs" dxfId="0" priority="2237" operator="lessThan">
      <formula>20</formula>
    </cfRule>
    <cfRule type="cellIs" dxfId="1" priority="1222" operator="greaterThan">
      <formula>120</formula>
    </cfRule>
    <cfRule type="containsText" dxfId="2" priority="207" operator="between" text="库存为">
      <formula>NOT(ISERROR(SEARCH("库存为",AU814)))</formula>
    </cfRule>
  </conditionalFormatting>
  <conditionalFormatting sqref="AU815">
    <cfRule type="cellIs" dxfId="0" priority="2236" operator="lessThan">
      <formula>20</formula>
    </cfRule>
    <cfRule type="cellIs" dxfId="1" priority="1221" operator="greaterThan">
      <formula>120</formula>
    </cfRule>
    <cfRule type="containsText" dxfId="2" priority="206" operator="between" text="库存为">
      <formula>NOT(ISERROR(SEARCH("库存为",AU815)))</formula>
    </cfRule>
  </conditionalFormatting>
  <conditionalFormatting sqref="AU816">
    <cfRule type="cellIs" dxfId="0" priority="2235" operator="lessThan">
      <formula>20</formula>
    </cfRule>
    <cfRule type="cellIs" dxfId="1" priority="1220" operator="greaterThan">
      <formula>120</formula>
    </cfRule>
    <cfRule type="containsText" dxfId="2" priority="205" operator="between" text="库存为">
      <formula>NOT(ISERROR(SEARCH("库存为",AU816)))</formula>
    </cfRule>
  </conditionalFormatting>
  <conditionalFormatting sqref="AU817">
    <cfRule type="cellIs" dxfId="0" priority="2234" operator="lessThan">
      <formula>20</formula>
    </cfRule>
    <cfRule type="cellIs" dxfId="1" priority="1219" operator="greaterThan">
      <formula>120</formula>
    </cfRule>
    <cfRule type="containsText" dxfId="2" priority="204" operator="between" text="库存为">
      <formula>NOT(ISERROR(SEARCH("库存为",AU817)))</formula>
    </cfRule>
  </conditionalFormatting>
  <conditionalFormatting sqref="AU818">
    <cfRule type="cellIs" dxfId="0" priority="2233" operator="lessThan">
      <formula>20</formula>
    </cfRule>
    <cfRule type="cellIs" dxfId="1" priority="1218" operator="greaterThan">
      <formula>120</formula>
    </cfRule>
    <cfRule type="containsText" dxfId="2" priority="203" operator="between" text="库存为">
      <formula>NOT(ISERROR(SEARCH("库存为",AU818)))</formula>
    </cfRule>
  </conditionalFormatting>
  <conditionalFormatting sqref="AU819">
    <cfRule type="cellIs" dxfId="0" priority="2232" operator="lessThan">
      <formula>20</formula>
    </cfRule>
    <cfRule type="cellIs" dxfId="1" priority="1217" operator="greaterThan">
      <formula>120</formula>
    </cfRule>
    <cfRule type="containsText" dxfId="2" priority="202" operator="between" text="库存为">
      <formula>NOT(ISERROR(SEARCH("库存为",AU819)))</formula>
    </cfRule>
  </conditionalFormatting>
  <conditionalFormatting sqref="AU820">
    <cfRule type="cellIs" dxfId="0" priority="2231" operator="lessThan">
      <formula>20</formula>
    </cfRule>
    <cfRule type="cellIs" dxfId="1" priority="1216" operator="greaterThan">
      <formula>120</formula>
    </cfRule>
    <cfRule type="containsText" dxfId="2" priority="201" operator="between" text="库存为">
      <formula>NOT(ISERROR(SEARCH("库存为",AU820)))</formula>
    </cfRule>
  </conditionalFormatting>
  <conditionalFormatting sqref="AU821">
    <cfRule type="cellIs" dxfId="0" priority="2230" operator="lessThan">
      <formula>20</formula>
    </cfRule>
    <cfRule type="cellIs" dxfId="1" priority="1215" operator="greaterThan">
      <formula>120</formula>
    </cfRule>
    <cfRule type="containsText" dxfId="2" priority="200" operator="between" text="库存为">
      <formula>NOT(ISERROR(SEARCH("库存为",AU821)))</formula>
    </cfRule>
  </conditionalFormatting>
  <conditionalFormatting sqref="AU822">
    <cfRule type="cellIs" dxfId="0" priority="2229" operator="lessThan">
      <formula>20</formula>
    </cfRule>
    <cfRule type="cellIs" dxfId="1" priority="1214" operator="greaterThan">
      <formula>120</formula>
    </cfRule>
    <cfRule type="containsText" dxfId="2" priority="199" operator="between" text="库存为">
      <formula>NOT(ISERROR(SEARCH("库存为",AU822)))</formula>
    </cfRule>
  </conditionalFormatting>
  <conditionalFormatting sqref="AU823">
    <cfRule type="cellIs" dxfId="0" priority="2228" operator="lessThan">
      <formula>20</formula>
    </cfRule>
    <cfRule type="cellIs" dxfId="1" priority="1213" operator="greaterThan">
      <formula>120</formula>
    </cfRule>
    <cfRule type="containsText" dxfId="2" priority="198" operator="between" text="库存为">
      <formula>NOT(ISERROR(SEARCH("库存为",AU823)))</formula>
    </cfRule>
  </conditionalFormatting>
  <conditionalFormatting sqref="AU824">
    <cfRule type="cellIs" dxfId="0" priority="2227" operator="lessThan">
      <formula>20</formula>
    </cfRule>
    <cfRule type="cellIs" dxfId="1" priority="1212" operator="greaterThan">
      <formula>120</formula>
    </cfRule>
    <cfRule type="containsText" dxfId="2" priority="197" operator="between" text="库存为">
      <formula>NOT(ISERROR(SEARCH("库存为",AU824)))</formula>
    </cfRule>
  </conditionalFormatting>
  <conditionalFormatting sqref="AU825">
    <cfRule type="cellIs" dxfId="0" priority="2226" operator="lessThan">
      <formula>20</formula>
    </cfRule>
    <cfRule type="cellIs" dxfId="1" priority="1211" operator="greaterThan">
      <formula>120</formula>
    </cfRule>
    <cfRule type="containsText" dxfId="2" priority="196" operator="between" text="库存为">
      <formula>NOT(ISERROR(SEARCH("库存为",AU825)))</formula>
    </cfRule>
  </conditionalFormatting>
  <conditionalFormatting sqref="AU826">
    <cfRule type="cellIs" dxfId="0" priority="2225" operator="lessThan">
      <formula>20</formula>
    </cfRule>
    <cfRule type="cellIs" dxfId="1" priority="1210" operator="greaterThan">
      <formula>120</formula>
    </cfRule>
    <cfRule type="containsText" dxfId="2" priority="195" operator="between" text="库存为">
      <formula>NOT(ISERROR(SEARCH("库存为",AU826)))</formula>
    </cfRule>
  </conditionalFormatting>
  <conditionalFormatting sqref="AU827">
    <cfRule type="cellIs" dxfId="0" priority="2224" operator="lessThan">
      <formula>20</formula>
    </cfRule>
    <cfRule type="cellIs" dxfId="1" priority="1209" operator="greaterThan">
      <formula>120</formula>
    </cfRule>
    <cfRule type="containsText" dxfId="2" priority="194" operator="between" text="库存为">
      <formula>NOT(ISERROR(SEARCH("库存为",AU827)))</formula>
    </cfRule>
  </conditionalFormatting>
  <conditionalFormatting sqref="AU828">
    <cfRule type="cellIs" dxfId="0" priority="2223" operator="lessThan">
      <formula>20</formula>
    </cfRule>
    <cfRule type="cellIs" dxfId="1" priority="1208" operator="greaterThan">
      <formula>120</formula>
    </cfRule>
    <cfRule type="containsText" dxfId="2" priority="193" operator="between" text="库存为">
      <formula>NOT(ISERROR(SEARCH("库存为",AU828)))</formula>
    </cfRule>
  </conditionalFormatting>
  <conditionalFormatting sqref="AU829">
    <cfRule type="cellIs" dxfId="0" priority="2222" operator="lessThan">
      <formula>20</formula>
    </cfRule>
    <cfRule type="cellIs" dxfId="1" priority="1207" operator="greaterThan">
      <formula>120</formula>
    </cfRule>
    <cfRule type="containsText" dxfId="2" priority="192" operator="between" text="库存为">
      <formula>NOT(ISERROR(SEARCH("库存为",AU829)))</formula>
    </cfRule>
  </conditionalFormatting>
  <conditionalFormatting sqref="AU830">
    <cfRule type="cellIs" dxfId="0" priority="2221" operator="lessThan">
      <formula>20</formula>
    </cfRule>
    <cfRule type="cellIs" dxfId="1" priority="1206" operator="greaterThan">
      <formula>120</formula>
    </cfRule>
    <cfRule type="containsText" dxfId="2" priority="191" operator="between" text="库存为">
      <formula>NOT(ISERROR(SEARCH("库存为",AU830)))</formula>
    </cfRule>
  </conditionalFormatting>
  <conditionalFormatting sqref="AU831">
    <cfRule type="cellIs" dxfId="0" priority="2220" operator="lessThan">
      <formula>20</formula>
    </cfRule>
    <cfRule type="cellIs" dxfId="1" priority="1205" operator="greaterThan">
      <formula>120</formula>
    </cfRule>
    <cfRule type="containsText" dxfId="2" priority="190" operator="between" text="库存为">
      <formula>NOT(ISERROR(SEARCH("库存为",AU831)))</formula>
    </cfRule>
  </conditionalFormatting>
  <conditionalFormatting sqref="AU832">
    <cfRule type="cellIs" dxfId="0" priority="2219" operator="lessThan">
      <formula>20</formula>
    </cfRule>
    <cfRule type="cellIs" dxfId="1" priority="1204" operator="greaterThan">
      <formula>120</formula>
    </cfRule>
    <cfRule type="containsText" dxfId="2" priority="189" operator="between" text="库存为">
      <formula>NOT(ISERROR(SEARCH("库存为",AU832)))</formula>
    </cfRule>
  </conditionalFormatting>
  <conditionalFormatting sqref="AU833">
    <cfRule type="cellIs" dxfId="0" priority="2218" operator="lessThan">
      <formula>20</formula>
    </cfRule>
    <cfRule type="cellIs" dxfId="1" priority="1203" operator="greaterThan">
      <formula>120</formula>
    </cfRule>
    <cfRule type="containsText" dxfId="2" priority="188" operator="between" text="库存为">
      <formula>NOT(ISERROR(SEARCH("库存为",AU833)))</formula>
    </cfRule>
  </conditionalFormatting>
  <conditionalFormatting sqref="AU834">
    <cfRule type="cellIs" dxfId="0" priority="2217" operator="lessThan">
      <formula>20</formula>
    </cfRule>
    <cfRule type="cellIs" dxfId="1" priority="1202" operator="greaterThan">
      <formula>120</formula>
    </cfRule>
    <cfRule type="containsText" dxfId="2" priority="187" operator="between" text="库存为">
      <formula>NOT(ISERROR(SEARCH("库存为",AU834)))</formula>
    </cfRule>
  </conditionalFormatting>
  <conditionalFormatting sqref="AU835">
    <cfRule type="cellIs" dxfId="0" priority="2216" operator="lessThan">
      <formula>20</formula>
    </cfRule>
    <cfRule type="cellIs" dxfId="1" priority="1201" operator="greaterThan">
      <formula>120</formula>
    </cfRule>
    <cfRule type="containsText" dxfId="2" priority="186" operator="between" text="库存为">
      <formula>NOT(ISERROR(SEARCH("库存为",AU835)))</formula>
    </cfRule>
  </conditionalFormatting>
  <conditionalFormatting sqref="AU836">
    <cfRule type="cellIs" dxfId="0" priority="2215" operator="lessThan">
      <formula>20</formula>
    </cfRule>
    <cfRule type="cellIs" dxfId="1" priority="1200" operator="greaterThan">
      <formula>120</formula>
    </cfRule>
    <cfRule type="containsText" dxfId="2" priority="185" operator="between" text="库存为">
      <formula>NOT(ISERROR(SEARCH("库存为",AU836)))</formula>
    </cfRule>
  </conditionalFormatting>
  <conditionalFormatting sqref="AU837">
    <cfRule type="cellIs" dxfId="0" priority="2214" operator="lessThan">
      <formula>20</formula>
    </cfRule>
    <cfRule type="cellIs" dxfId="1" priority="1199" operator="greaterThan">
      <formula>120</formula>
    </cfRule>
    <cfRule type="containsText" dxfId="2" priority="184" operator="between" text="库存为">
      <formula>NOT(ISERROR(SEARCH("库存为",AU837)))</formula>
    </cfRule>
  </conditionalFormatting>
  <conditionalFormatting sqref="AU838">
    <cfRule type="cellIs" dxfId="0" priority="2213" operator="lessThan">
      <formula>20</formula>
    </cfRule>
    <cfRule type="cellIs" dxfId="1" priority="1198" operator="greaterThan">
      <formula>120</formula>
    </cfRule>
    <cfRule type="containsText" dxfId="2" priority="183" operator="between" text="库存为">
      <formula>NOT(ISERROR(SEARCH("库存为",AU838)))</formula>
    </cfRule>
  </conditionalFormatting>
  <conditionalFormatting sqref="AU839">
    <cfRule type="cellIs" dxfId="0" priority="2212" operator="lessThan">
      <formula>20</formula>
    </cfRule>
    <cfRule type="cellIs" dxfId="1" priority="1197" operator="greaterThan">
      <formula>120</formula>
    </cfRule>
    <cfRule type="containsText" dxfId="2" priority="182" operator="between" text="库存为">
      <formula>NOT(ISERROR(SEARCH("库存为",AU839)))</formula>
    </cfRule>
  </conditionalFormatting>
  <conditionalFormatting sqref="AU840">
    <cfRule type="cellIs" dxfId="0" priority="2211" operator="lessThan">
      <formula>20</formula>
    </cfRule>
    <cfRule type="cellIs" dxfId="1" priority="1196" operator="greaterThan">
      <formula>120</formula>
    </cfRule>
    <cfRule type="containsText" dxfId="2" priority="181" operator="between" text="库存为">
      <formula>NOT(ISERROR(SEARCH("库存为",AU840)))</formula>
    </cfRule>
  </conditionalFormatting>
  <conditionalFormatting sqref="AU841">
    <cfRule type="cellIs" dxfId="0" priority="2210" operator="lessThan">
      <formula>20</formula>
    </cfRule>
    <cfRule type="cellIs" dxfId="1" priority="1195" operator="greaterThan">
      <formula>120</formula>
    </cfRule>
    <cfRule type="containsText" dxfId="2" priority="180" operator="between" text="库存为">
      <formula>NOT(ISERROR(SEARCH("库存为",AU841)))</formula>
    </cfRule>
  </conditionalFormatting>
  <conditionalFormatting sqref="AU842">
    <cfRule type="cellIs" dxfId="0" priority="2209" operator="lessThan">
      <formula>20</formula>
    </cfRule>
    <cfRule type="cellIs" dxfId="1" priority="1194" operator="greaterThan">
      <formula>120</formula>
    </cfRule>
    <cfRule type="containsText" dxfId="2" priority="179" operator="between" text="库存为">
      <formula>NOT(ISERROR(SEARCH("库存为",AU842)))</formula>
    </cfRule>
  </conditionalFormatting>
  <conditionalFormatting sqref="AU843">
    <cfRule type="cellIs" dxfId="0" priority="2208" operator="lessThan">
      <formula>20</formula>
    </cfRule>
    <cfRule type="cellIs" dxfId="1" priority="1193" operator="greaterThan">
      <formula>120</formula>
    </cfRule>
    <cfRule type="containsText" dxfId="2" priority="178" operator="between" text="库存为">
      <formula>NOT(ISERROR(SEARCH("库存为",AU843)))</formula>
    </cfRule>
  </conditionalFormatting>
  <conditionalFormatting sqref="AU844">
    <cfRule type="cellIs" dxfId="0" priority="2207" operator="lessThan">
      <formula>20</formula>
    </cfRule>
    <cfRule type="cellIs" dxfId="1" priority="1192" operator="greaterThan">
      <formula>120</formula>
    </cfRule>
    <cfRule type="containsText" dxfId="2" priority="177" operator="between" text="库存为">
      <formula>NOT(ISERROR(SEARCH("库存为",AU844)))</formula>
    </cfRule>
  </conditionalFormatting>
  <conditionalFormatting sqref="AU845">
    <cfRule type="cellIs" dxfId="0" priority="2206" operator="lessThan">
      <formula>20</formula>
    </cfRule>
    <cfRule type="cellIs" dxfId="1" priority="1191" operator="greaterThan">
      <formula>120</formula>
    </cfRule>
    <cfRule type="containsText" dxfId="2" priority="176" operator="between" text="库存为">
      <formula>NOT(ISERROR(SEARCH("库存为",AU845)))</formula>
    </cfRule>
  </conditionalFormatting>
  <conditionalFormatting sqref="AU846">
    <cfRule type="cellIs" dxfId="0" priority="2205" operator="lessThan">
      <formula>20</formula>
    </cfRule>
    <cfRule type="cellIs" dxfId="1" priority="1190" operator="greaterThan">
      <formula>120</formula>
    </cfRule>
    <cfRule type="containsText" dxfId="2" priority="175" operator="between" text="库存为">
      <formula>NOT(ISERROR(SEARCH("库存为",AU846)))</formula>
    </cfRule>
  </conditionalFormatting>
  <conditionalFormatting sqref="AU847">
    <cfRule type="cellIs" dxfId="0" priority="2204" operator="lessThan">
      <formula>20</formula>
    </cfRule>
    <cfRule type="cellIs" dxfId="1" priority="1189" operator="greaterThan">
      <formula>120</formula>
    </cfRule>
    <cfRule type="containsText" dxfId="2" priority="174" operator="between" text="库存为">
      <formula>NOT(ISERROR(SEARCH("库存为",AU847)))</formula>
    </cfRule>
  </conditionalFormatting>
  <conditionalFormatting sqref="AU848">
    <cfRule type="cellIs" dxfId="0" priority="2203" operator="lessThan">
      <formula>20</formula>
    </cfRule>
    <cfRule type="cellIs" dxfId="1" priority="1188" operator="greaterThan">
      <formula>120</formula>
    </cfRule>
    <cfRule type="containsText" dxfId="2" priority="173" operator="between" text="库存为">
      <formula>NOT(ISERROR(SEARCH("库存为",AU848)))</formula>
    </cfRule>
  </conditionalFormatting>
  <conditionalFormatting sqref="AU849">
    <cfRule type="cellIs" dxfId="0" priority="2202" operator="lessThan">
      <formula>20</formula>
    </cfRule>
    <cfRule type="cellIs" dxfId="1" priority="1187" operator="greaterThan">
      <formula>120</formula>
    </cfRule>
    <cfRule type="containsText" dxfId="2" priority="172" operator="between" text="库存为">
      <formula>NOT(ISERROR(SEARCH("库存为",AU849)))</formula>
    </cfRule>
  </conditionalFormatting>
  <conditionalFormatting sqref="AU850">
    <cfRule type="cellIs" dxfId="0" priority="2201" operator="lessThan">
      <formula>20</formula>
    </cfRule>
    <cfRule type="cellIs" dxfId="1" priority="1186" operator="greaterThan">
      <formula>120</formula>
    </cfRule>
    <cfRule type="containsText" dxfId="2" priority="171" operator="between" text="库存为">
      <formula>NOT(ISERROR(SEARCH("库存为",AU850)))</formula>
    </cfRule>
  </conditionalFormatting>
  <conditionalFormatting sqref="AU851">
    <cfRule type="cellIs" dxfId="0" priority="2200" operator="lessThan">
      <formula>20</formula>
    </cfRule>
    <cfRule type="cellIs" dxfId="1" priority="1185" operator="greaterThan">
      <formula>120</formula>
    </cfRule>
    <cfRule type="containsText" dxfId="2" priority="170" operator="between" text="库存为">
      <formula>NOT(ISERROR(SEARCH("库存为",AU851)))</formula>
    </cfRule>
  </conditionalFormatting>
  <conditionalFormatting sqref="AU852">
    <cfRule type="cellIs" dxfId="0" priority="2199" operator="lessThan">
      <formula>20</formula>
    </cfRule>
    <cfRule type="cellIs" dxfId="1" priority="1184" operator="greaterThan">
      <formula>120</formula>
    </cfRule>
    <cfRule type="containsText" dxfId="2" priority="169" operator="between" text="库存为">
      <formula>NOT(ISERROR(SEARCH("库存为",AU852)))</formula>
    </cfRule>
  </conditionalFormatting>
  <conditionalFormatting sqref="AU853">
    <cfRule type="cellIs" dxfId="0" priority="2198" operator="lessThan">
      <formula>20</formula>
    </cfRule>
    <cfRule type="cellIs" dxfId="1" priority="1183" operator="greaterThan">
      <formula>120</formula>
    </cfRule>
    <cfRule type="containsText" dxfId="2" priority="168" operator="between" text="库存为">
      <formula>NOT(ISERROR(SEARCH("库存为",AU853)))</formula>
    </cfRule>
  </conditionalFormatting>
  <conditionalFormatting sqref="AU854">
    <cfRule type="cellIs" dxfId="0" priority="2197" operator="lessThan">
      <formula>20</formula>
    </cfRule>
    <cfRule type="cellIs" dxfId="1" priority="1182" operator="greaterThan">
      <formula>120</formula>
    </cfRule>
    <cfRule type="containsText" dxfId="2" priority="167" operator="between" text="库存为">
      <formula>NOT(ISERROR(SEARCH("库存为",AU854)))</formula>
    </cfRule>
  </conditionalFormatting>
  <conditionalFormatting sqref="AU855">
    <cfRule type="cellIs" dxfId="0" priority="2196" operator="lessThan">
      <formula>20</formula>
    </cfRule>
    <cfRule type="cellIs" dxfId="1" priority="1181" operator="greaterThan">
      <formula>120</formula>
    </cfRule>
    <cfRule type="containsText" dxfId="2" priority="166" operator="between" text="库存为">
      <formula>NOT(ISERROR(SEARCH("库存为",AU855)))</formula>
    </cfRule>
  </conditionalFormatting>
  <conditionalFormatting sqref="AU856">
    <cfRule type="cellIs" dxfId="0" priority="2195" operator="lessThan">
      <formula>20</formula>
    </cfRule>
    <cfRule type="cellIs" dxfId="1" priority="1180" operator="greaterThan">
      <formula>120</formula>
    </cfRule>
    <cfRule type="containsText" dxfId="2" priority="165" operator="between" text="库存为">
      <formula>NOT(ISERROR(SEARCH("库存为",AU856)))</formula>
    </cfRule>
  </conditionalFormatting>
  <conditionalFormatting sqref="AU857">
    <cfRule type="cellIs" dxfId="0" priority="2194" operator="lessThan">
      <formula>20</formula>
    </cfRule>
    <cfRule type="cellIs" dxfId="1" priority="1179" operator="greaterThan">
      <formula>120</formula>
    </cfRule>
    <cfRule type="containsText" dxfId="2" priority="164" operator="between" text="库存为">
      <formula>NOT(ISERROR(SEARCH("库存为",AU857)))</formula>
    </cfRule>
  </conditionalFormatting>
  <conditionalFormatting sqref="AU858">
    <cfRule type="cellIs" dxfId="0" priority="2193" operator="lessThan">
      <formula>20</formula>
    </cfRule>
    <cfRule type="cellIs" dxfId="1" priority="1178" operator="greaterThan">
      <formula>120</formula>
    </cfRule>
    <cfRule type="containsText" dxfId="2" priority="163" operator="between" text="库存为">
      <formula>NOT(ISERROR(SEARCH("库存为",AU858)))</formula>
    </cfRule>
  </conditionalFormatting>
  <conditionalFormatting sqref="AU859">
    <cfRule type="cellIs" dxfId="0" priority="2192" operator="lessThan">
      <formula>20</formula>
    </cfRule>
    <cfRule type="cellIs" dxfId="1" priority="1177" operator="greaterThan">
      <formula>120</formula>
    </cfRule>
    <cfRule type="containsText" dxfId="2" priority="162" operator="between" text="库存为">
      <formula>NOT(ISERROR(SEARCH("库存为",AU859)))</formula>
    </cfRule>
  </conditionalFormatting>
  <conditionalFormatting sqref="AU860">
    <cfRule type="cellIs" dxfId="0" priority="2191" operator="lessThan">
      <formula>20</formula>
    </cfRule>
    <cfRule type="cellIs" dxfId="1" priority="1176" operator="greaterThan">
      <formula>120</formula>
    </cfRule>
    <cfRule type="containsText" dxfId="2" priority="161" operator="between" text="库存为">
      <formula>NOT(ISERROR(SEARCH("库存为",AU860)))</formula>
    </cfRule>
  </conditionalFormatting>
  <conditionalFormatting sqref="AU861">
    <cfRule type="cellIs" dxfId="0" priority="2190" operator="lessThan">
      <formula>20</formula>
    </cfRule>
    <cfRule type="cellIs" dxfId="1" priority="1175" operator="greaterThan">
      <formula>120</formula>
    </cfRule>
    <cfRule type="containsText" dxfId="2" priority="160" operator="between" text="库存为">
      <formula>NOT(ISERROR(SEARCH("库存为",AU861)))</formula>
    </cfRule>
  </conditionalFormatting>
  <conditionalFormatting sqref="AU862">
    <cfRule type="cellIs" dxfId="0" priority="2189" operator="lessThan">
      <formula>20</formula>
    </cfRule>
    <cfRule type="cellIs" dxfId="1" priority="1174" operator="greaterThan">
      <formula>120</formula>
    </cfRule>
    <cfRule type="containsText" dxfId="2" priority="159" operator="between" text="库存为">
      <formula>NOT(ISERROR(SEARCH("库存为",AU862)))</formula>
    </cfRule>
  </conditionalFormatting>
  <conditionalFormatting sqref="AU863">
    <cfRule type="cellIs" dxfId="0" priority="2188" operator="lessThan">
      <formula>20</formula>
    </cfRule>
    <cfRule type="cellIs" dxfId="1" priority="1173" operator="greaterThan">
      <formula>120</formula>
    </cfRule>
    <cfRule type="containsText" dxfId="2" priority="158" operator="between" text="库存为">
      <formula>NOT(ISERROR(SEARCH("库存为",AU863)))</formula>
    </cfRule>
  </conditionalFormatting>
  <conditionalFormatting sqref="AU864">
    <cfRule type="cellIs" dxfId="0" priority="2187" operator="lessThan">
      <formula>20</formula>
    </cfRule>
    <cfRule type="cellIs" dxfId="1" priority="1172" operator="greaterThan">
      <formula>120</formula>
    </cfRule>
    <cfRule type="containsText" dxfId="2" priority="157" operator="between" text="库存为">
      <formula>NOT(ISERROR(SEARCH("库存为",AU864)))</formula>
    </cfRule>
  </conditionalFormatting>
  <conditionalFormatting sqref="AU865">
    <cfRule type="cellIs" dxfId="0" priority="2186" operator="lessThan">
      <formula>20</formula>
    </cfRule>
    <cfRule type="cellIs" dxfId="1" priority="1171" operator="greaterThan">
      <formula>120</formula>
    </cfRule>
    <cfRule type="containsText" dxfId="2" priority="156" operator="between" text="库存为">
      <formula>NOT(ISERROR(SEARCH("库存为",AU865)))</formula>
    </cfRule>
  </conditionalFormatting>
  <conditionalFormatting sqref="AU866">
    <cfRule type="cellIs" dxfId="0" priority="2185" operator="lessThan">
      <formula>20</formula>
    </cfRule>
    <cfRule type="cellIs" dxfId="1" priority="1170" operator="greaterThan">
      <formula>120</formula>
    </cfRule>
    <cfRule type="containsText" dxfId="2" priority="155" operator="between" text="库存为">
      <formula>NOT(ISERROR(SEARCH("库存为",AU866)))</formula>
    </cfRule>
  </conditionalFormatting>
  <conditionalFormatting sqref="AU867">
    <cfRule type="cellIs" dxfId="0" priority="2184" operator="lessThan">
      <formula>20</formula>
    </cfRule>
    <cfRule type="cellIs" dxfId="1" priority="1169" operator="greaterThan">
      <formula>120</formula>
    </cfRule>
    <cfRule type="containsText" dxfId="2" priority="154" operator="between" text="库存为">
      <formula>NOT(ISERROR(SEARCH("库存为",AU867)))</formula>
    </cfRule>
  </conditionalFormatting>
  <conditionalFormatting sqref="AU868">
    <cfRule type="cellIs" dxfId="0" priority="2183" operator="lessThan">
      <formula>20</formula>
    </cfRule>
    <cfRule type="cellIs" dxfId="1" priority="1168" operator="greaterThan">
      <formula>120</formula>
    </cfRule>
    <cfRule type="containsText" dxfId="2" priority="153" operator="between" text="库存为">
      <formula>NOT(ISERROR(SEARCH("库存为",AU868)))</formula>
    </cfRule>
  </conditionalFormatting>
  <conditionalFormatting sqref="AU869">
    <cfRule type="cellIs" dxfId="0" priority="2182" operator="lessThan">
      <formula>20</formula>
    </cfRule>
    <cfRule type="cellIs" dxfId="1" priority="1167" operator="greaterThan">
      <formula>120</formula>
    </cfRule>
    <cfRule type="containsText" dxfId="2" priority="152" operator="between" text="库存为">
      <formula>NOT(ISERROR(SEARCH("库存为",AU869)))</formula>
    </cfRule>
  </conditionalFormatting>
  <conditionalFormatting sqref="AU870">
    <cfRule type="cellIs" dxfId="0" priority="2181" operator="lessThan">
      <formula>20</formula>
    </cfRule>
    <cfRule type="cellIs" dxfId="1" priority="1166" operator="greaterThan">
      <formula>120</formula>
    </cfRule>
    <cfRule type="containsText" dxfId="2" priority="151" operator="between" text="库存为">
      <formula>NOT(ISERROR(SEARCH("库存为",AU870)))</formula>
    </cfRule>
  </conditionalFormatting>
  <conditionalFormatting sqref="AU871">
    <cfRule type="cellIs" dxfId="0" priority="2180" operator="lessThan">
      <formula>20</formula>
    </cfRule>
    <cfRule type="cellIs" dxfId="1" priority="1165" operator="greaterThan">
      <formula>120</formula>
    </cfRule>
    <cfRule type="containsText" dxfId="2" priority="150" operator="between" text="库存为">
      <formula>NOT(ISERROR(SEARCH("库存为",AU871)))</formula>
    </cfRule>
  </conditionalFormatting>
  <conditionalFormatting sqref="AU872">
    <cfRule type="cellIs" dxfId="0" priority="2179" operator="lessThan">
      <formula>20</formula>
    </cfRule>
    <cfRule type="cellIs" dxfId="1" priority="1164" operator="greaterThan">
      <formula>120</formula>
    </cfRule>
    <cfRule type="containsText" dxfId="2" priority="149" operator="between" text="库存为">
      <formula>NOT(ISERROR(SEARCH("库存为",AU872)))</formula>
    </cfRule>
  </conditionalFormatting>
  <conditionalFormatting sqref="AU873">
    <cfRule type="cellIs" dxfId="0" priority="2178" operator="lessThan">
      <formula>20</formula>
    </cfRule>
    <cfRule type="cellIs" dxfId="1" priority="1163" operator="greaterThan">
      <formula>120</formula>
    </cfRule>
    <cfRule type="containsText" dxfId="2" priority="148" operator="between" text="库存为">
      <formula>NOT(ISERROR(SEARCH("库存为",AU873)))</formula>
    </cfRule>
  </conditionalFormatting>
  <conditionalFormatting sqref="AU874">
    <cfRule type="cellIs" dxfId="0" priority="2177" operator="lessThan">
      <formula>20</formula>
    </cfRule>
    <cfRule type="cellIs" dxfId="1" priority="1162" operator="greaterThan">
      <formula>120</formula>
    </cfRule>
    <cfRule type="containsText" dxfId="2" priority="147" operator="between" text="库存为">
      <formula>NOT(ISERROR(SEARCH("库存为",AU874)))</formula>
    </cfRule>
  </conditionalFormatting>
  <conditionalFormatting sqref="AU875">
    <cfRule type="cellIs" dxfId="0" priority="2176" operator="lessThan">
      <formula>20</formula>
    </cfRule>
    <cfRule type="cellIs" dxfId="1" priority="1161" operator="greaterThan">
      <formula>120</formula>
    </cfRule>
    <cfRule type="containsText" dxfId="2" priority="146" operator="between" text="库存为">
      <formula>NOT(ISERROR(SEARCH("库存为",AU875)))</formula>
    </cfRule>
  </conditionalFormatting>
  <conditionalFormatting sqref="AU876">
    <cfRule type="cellIs" dxfId="0" priority="2175" operator="lessThan">
      <formula>20</formula>
    </cfRule>
    <cfRule type="cellIs" dxfId="1" priority="1160" operator="greaterThan">
      <formula>120</formula>
    </cfRule>
    <cfRule type="containsText" dxfId="2" priority="145" operator="between" text="库存为">
      <formula>NOT(ISERROR(SEARCH("库存为",AU876)))</formula>
    </cfRule>
  </conditionalFormatting>
  <conditionalFormatting sqref="AU877">
    <cfRule type="cellIs" dxfId="0" priority="2174" operator="lessThan">
      <formula>20</formula>
    </cfRule>
    <cfRule type="cellIs" dxfId="1" priority="1159" operator="greaterThan">
      <formula>120</formula>
    </cfRule>
    <cfRule type="containsText" dxfId="2" priority="144" operator="between" text="库存为">
      <formula>NOT(ISERROR(SEARCH("库存为",AU877)))</formula>
    </cfRule>
  </conditionalFormatting>
  <conditionalFormatting sqref="AU878">
    <cfRule type="cellIs" dxfId="0" priority="2173" operator="lessThan">
      <formula>20</formula>
    </cfRule>
    <cfRule type="cellIs" dxfId="1" priority="1158" operator="greaterThan">
      <formula>120</formula>
    </cfRule>
    <cfRule type="containsText" dxfId="2" priority="143" operator="between" text="库存为">
      <formula>NOT(ISERROR(SEARCH("库存为",AU878)))</formula>
    </cfRule>
  </conditionalFormatting>
  <conditionalFormatting sqref="AU879">
    <cfRule type="cellIs" dxfId="0" priority="2172" operator="lessThan">
      <formula>20</formula>
    </cfRule>
    <cfRule type="cellIs" dxfId="1" priority="1157" operator="greaterThan">
      <formula>120</formula>
    </cfRule>
    <cfRule type="containsText" dxfId="2" priority="142" operator="between" text="库存为">
      <formula>NOT(ISERROR(SEARCH("库存为",AU879)))</formula>
    </cfRule>
  </conditionalFormatting>
  <conditionalFormatting sqref="AU880">
    <cfRule type="cellIs" dxfId="0" priority="2171" operator="lessThan">
      <formula>20</formula>
    </cfRule>
    <cfRule type="cellIs" dxfId="1" priority="1156" operator="greaterThan">
      <formula>120</formula>
    </cfRule>
    <cfRule type="containsText" dxfId="2" priority="141" operator="between" text="库存为">
      <formula>NOT(ISERROR(SEARCH("库存为",AU880)))</formula>
    </cfRule>
  </conditionalFormatting>
  <conditionalFormatting sqref="AU881">
    <cfRule type="cellIs" dxfId="0" priority="2170" operator="lessThan">
      <formula>20</formula>
    </cfRule>
    <cfRule type="cellIs" dxfId="1" priority="1155" operator="greaterThan">
      <formula>120</formula>
    </cfRule>
    <cfRule type="containsText" dxfId="2" priority="140" operator="between" text="库存为">
      <formula>NOT(ISERROR(SEARCH("库存为",AU881)))</formula>
    </cfRule>
  </conditionalFormatting>
  <conditionalFormatting sqref="AU882">
    <cfRule type="cellIs" dxfId="0" priority="2169" operator="lessThan">
      <formula>20</formula>
    </cfRule>
    <cfRule type="cellIs" dxfId="1" priority="1154" operator="greaterThan">
      <formula>120</formula>
    </cfRule>
    <cfRule type="containsText" dxfId="2" priority="139" operator="between" text="库存为">
      <formula>NOT(ISERROR(SEARCH("库存为",AU882)))</formula>
    </cfRule>
  </conditionalFormatting>
  <conditionalFormatting sqref="AU883">
    <cfRule type="cellIs" dxfId="0" priority="2168" operator="lessThan">
      <formula>20</formula>
    </cfRule>
    <cfRule type="cellIs" dxfId="1" priority="1153" operator="greaterThan">
      <formula>120</formula>
    </cfRule>
    <cfRule type="containsText" dxfId="2" priority="138" operator="between" text="库存为">
      <formula>NOT(ISERROR(SEARCH("库存为",AU883)))</formula>
    </cfRule>
  </conditionalFormatting>
  <conditionalFormatting sqref="AU884">
    <cfRule type="cellIs" dxfId="0" priority="2167" operator="lessThan">
      <formula>20</formula>
    </cfRule>
    <cfRule type="cellIs" dxfId="1" priority="1152" operator="greaterThan">
      <formula>120</formula>
    </cfRule>
    <cfRule type="containsText" dxfId="2" priority="137" operator="between" text="库存为">
      <formula>NOT(ISERROR(SEARCH("库存为",AU884)))</formula>
    </cfRule>
  </conditionalFormatting>
  <conditionalFormatting sqref="AU885">
    <cfRule type="cellIs" dxfId="0" priority="2166" operator="lessThan">
      <formula>20</formula>
    </cfRule>
    <cfRule type="cellIs" dxfId="1" priority="1151" operator="greaterThan">
      <formula>120</formula>
    </cfRule>
    <cfRule type="containsText" dxfId="2" priority="136" operator="between" text="库存为">
      <formula>NOT(ISERROR(SEARCH("库存为",AU885)))</formula>
    </cfRule>
  </conditionalFormatting>
  <conditionalFormatting sqref="AU886">
    <cfRule type="cellIs" dxfId="0" priority="2165" operator="lessThan">
      <formula>20</formula>
    </cfRule>
    <cfRule type="cellIs" dxfId="1" priority="1150" operator="greaterThan">
      <formula>120</formula>
    </cfRule>
    <cfRule type="containsText" dxfId="2" priority="135" operator="between" text="库存为">
      <formula>NOT(ISERROR(SEARCH("库存为",AU886)))</formula>
    </cfRule>
  </conditionalFormatting>
  <conditionalFormatting sqref="AU887">
    <cfRule type="cellIs" dxfId="0" priority="2164" operator="lessThan">
      <formula>20</formula>
    </cfRule>
    <cfRule type="cellIs" dxfId="1" priority="1149" operator="greaterThan">
      <formula>120</formula>
    </cfRule>
    <cfRule type="containsText" dxfId="2" priority="134" operator="between" text="库存为">
      <formula>NOT(ISERROR(SEARCH("库存为",AU887)))</formula>
    </cfRule>
  </conditionalFormatting>
  <conditionalFormatting sqref="AU888">
    <cfRule type="cellIs" dxfId="0" priority="2163" operator="lessThan">
      <formula>20</formula>
    </cfRule>
    <cfRule type="cellIs" dxfId="1" priority="1148" operator="greaterThan">
      <formula>120</formula>
    </cfRule>
    <cfRule type="containsText" dxfId="2" priority="133" operator="between" text="库存为">
      <formula>NOT(ISERROR(SEARCH("库存为",AU888)))</formula>
    </cfRule>
  </conditionalFormatting>
  <conditionalFormatting sqref="AU889">
    <cfRule type="cellIs" dxfId="0" priority="2162" operator="lessThan">
      <formula>20</formula>
    </cfRule>
    <cfRule type="cellIs" dxfId="1" priority="1147" operator="greaterThan">
      <formula>120</formula>
    </cfRule>
    <cfRule type="containsText" dxfId="2" priority="132" operator="between" text="库存为">
      <formula>NOT(ISERROR(SEARCH("库存为",AU889)))</formula>
    </cfRule>
  </conditionalFormatting>
  <conditionalFormatting sqref="AU890">
    <cfRule type="cellIs" dxfId="0" priority="2161" operator="lessThan">
      <formula>20</formula>
    </cfRule>
    <cfRule type="cellIs" dxfId="1" priority="1146" operator="greaterThan">
      <formula>120</formula>
    </cfRule>
    <cfRule type="containsText" dxfId="2" priority="131" operator="between" text="库存为">
      <formula>NOT(ISERROR(SEARCH("库存为",AU890)))</formula>
    </cfRule>
  </conditionalFormatting>
  <conditionalFormatting sqref="AU891">
    <cfRule type="cellIs" dxfId="0" priority="2160" operator="lessThan">
      <formula>20</formula>
    </cfRule>
    <cfRule type="cellIs" dxfId="1" priority="1145" operator="greaterThan">
      <formula>120</formula>
    </cfRule>
    <cfRule type="containsText" dxfId="2" priority="130" operator="between" text="库存为">
      <formula>NOT(ISERROR(SEARCH("库存为",AU891)))</formula>
    </cfRule>
  </conditionalFormatting>
  <conditionalFormatting sqref="AU892">
    <cfRule type="cellIs" dxfId="0" priority="2159" operator="lessThan">
      <formula>20</formula>
    </cfRule>
    <cfRule type="cellIs" dxfId="1" priority="1144" operator="greaterThan">
      <formula>120</formula>
    </cfRule>
    <cfRule type="containsText" dxfId="2" priority="129" operator="between" text="库存为">
      <formula>NOT(ISERROR(SEARCH("库存为",AU892)))</formula>
    </cfRule>
  </conditionalFormatting>
  <conditionalFormatting sqref="AU893">
    <cfRule type="cellIs" dxfId="0" priority="2158" operator="lessThan">
      <formula>20</formula>
    </cfRule>
    <cfRule type="cellIs" dxfId="1" priority="1143" operator="greaterThan">
      <formula>120</formula>
    </cfRule>
    <cfRule type="containsText" dxfId="2" priority="128" operator="between" text="库存为">
      <formula>NOT(ISERROR(SEARCH("库存为",AU893)))</formula>
    </cfRule>
  </conditionalFormatting>
  <conditionalFormatting sqref="AU894">
    <cfRule type="cellIs" dxfId="0" priority="2157" operator="lessThan">
      <formula>20</formula>
    </cfRule>
    <cfRule type="cellIs" dxfId="1" priority="1142" operator="greaterThan">
      <formula>120</formula>
    </cfRule>
    <cfRule type="containsText" dxfId="2" priority="127" operator="between" text="库存为">
      <formula>NOT(ISERROR(SEARCH("库存为",AU894)))</formula>
    </cfRule>
  </conditionalFormatting>
  <conditionalFormatting sqref="AU895">
    <cfRule type="cellIs" dxfId="0" priority="2156" operator="lessThan">
      <formula>20</formula>
    </cfRule>
    <cfRule type="cellIs" dxfId="1" priority="1141" operator="greaterThan">
      <formula>120</formula>
    </cfRule>
    <cfRule type="containsText" dxfId="2" priority="126" operator="between" text="库存为">
      <formula>NOT(ISERROR(SEARCH("库存为",AU895)))</formula>
    </cfRule>
  </conditionalFormatting>
  <conditionalFormatting sqref="AU896">
    <cfRule type="cellIs" dxfId="0" priority="2155" operator="lessThan">
      <formula>20</formula>
    </cfRule>
    <cfRule type="cellIs" dxfId="1" priority="1140" operator="greaterThan">
      <formula>120</formula>
    </cfRule>
    <cfRule type="containsText" dxfId="2" priority="125" operator="between" text="库存为">
      <formula>NOT(ISERROR(SEARCH("库存为",AU896)))</formula>
    </cfRule>
  </conditionalFormatting>
  <conditionalFormatting sqref="AU897">
    <cfRule type="cellIs" dxfId="0" priority="2154" operator="lessThan">
      <formula>20</formula>
    </cfRule>
    <cfRule type="cellIs" dxfId="1" priority="1139" operator="greaterThan">
      <formula>120</formula>
    </cfRule>
    <cfRule type="containsText" dxfId="2" priority="124" operator="between" text="库存为">
      <formula>NOT(ISERROR(SEARCH("库存为",AU897)))</formula>
    </cfRule>
  </conditionalFormatting>
  <conditionalFormatting sqref="AU898">
    <cfRule type="cellIs" dxfId="0" priority="2153" operator="lessThan">
      <formula>20</formula>
    </cfRule>
    <cfRule type="cellIs" dxfId="1" priority="1138" operator="greaterThan">
      <formula>120</formula>
    </cfRule>
    <cfRule type="containsText" dxfId="2" priority="123" operator="between" text="库存为">
      <formula>NOT(ISERROR(SEARCH("库存为",AU898)))</formula>
    </cfRule>
  </conditionalFormatting>
  <conditionalFormatting sqref="AU899">
    <cfRule type="cellIs" dxfId="0" priority="2152" operator="lessThan">
      <formula>20</formula>
    </cfRule>
    <cfRule type="cellIs" dxfId="1" priority="1137" operator="greaterThan">
      <formula>120</formula>
    </cfRule>
    <cfRule type="containsText" dxfId="2" priority="122" operator="between" text="库存为">
      <formula>NOT(ISERROR(SEARCH("库存为",AU899)))</formula>
    </cfRule>
  </conditionalFormatting>
  <conditionalFormatting sqref="AU900">
    <cfRule type="cellIs" dxfId="0" priority="2151" operator="lessThan">
      <formula>20</formula>
    </cfRule>
    <cfRule type="cellIs" dxfId="1" priority="1136" operator="greaterThan">
      <formula>120</formula>
    </cfRule>
    <cfRule type="containsText" dxfId="2" priority="121" operator="between" text="库存为">
      <formula>NOT(ISERROR(SEARCH("库存为",AU900)))</formula>
    </cfRule>
  </conditionalFormatting>
  <conditionalFormatting sqref="AU901">
    <cfRule type="cellIs" dxfId="0" priority="2150" operator="lessThan">
      <formula>20</formula>
    </cfRule>
    <cfRule type="cellIs" dxfId="1" priority="1135" operator="greaterThan">
      <formula>120</formula>
    </cfRule>
    <cfRule type="containsText" dxfId="2" priority="120" operator="between" text="库存为">
      <formula>NOT(ISERROR(SEARCH("库存为",AU901)))</formula>
    </cfRule>
  </conditionalFormatting>
  <conditionalFormatting sqref="AU902">
    <cfRule type="cellIs" dxfId="0" priority="2149" operator="lessThan">
      <formula>20</formula>
    </cfRule>
    <cfRule type="cellIs" dxfId="1" priority="1134" operator="greaterThan">
      <formula>120</formula>
    </cfRule>
    <cfRule type="containsText" dxfId="2" priority="119" operator="between" text="库存为">
      <formula>NOT(ISERROR(SEARCH("库存为",AU902)))</formula>
    </cfRule>
  </conditionalFormatting>
  <conditionalFormatting sqref="AU903">
    <cfRule type="cellIs" dxfId="0" priority="2148" operator="lessThan">
      <formula>20</formula>
    </cfRule>
    <cfRule type="cellIs" dxfId="1" priority="1133" operator="greaterThan">
      <formula>120</formula>
    </cfRule>
    <cfRule type="containsText" dxfId="2" priority="118" operator="between" text="库存为">
      <formula>NOT(ISERROR(SEARCH("库存为",AU903)))</formula>
    </cfRule>
  </conditionalFormatting>
  <conditionalFormatting sqref="AU904">
    <cfRule type="cellIs" dxfId="0" priority="2147" operator="lessThan">
      <formula>20</formula>
    </cfRule>
    <cfRule type="cellIs" dxfId="1" priority="1132" operator="greaterThan">
      <formula>120</formula>
    </cfRule>
    <cfRule type="containsText" dxfId="2" priority="117" operator="between" text="库存为">
      <formula>NOT(ISERROR(SEARCH("库存为",AU904)))</formula>
    </cfRule>
  </conditionalFormatting>
  <conditionalFormatting sqref="AU905">
    <cfRule type="cellIs" dxfId="0" priority="2146" operator="lessThan">
      <formula>20</formula>
    </cfRule>
    <cfRule type="cellIs" dxfId="1" priority="1131" operator="greaterThan">
      <formula>120</formula>
    </cfRule>
    <cfRule type="containsText" dxfId="2" priority="116" operator="between" text="库存为">
      <formula>NOT(ISERROR(SEARCH("库存为",AU905)))</formula>
    </cfRule>
  </conditionalFormatting>
  <conditionalFormatting sqref="AU906">
    <cfRule type="cellIs" dxfId="0" priority="2145" operator="lessThan">
      <formula>20</formula>
    </cfRule>
    <cfRule type="cellIs" dxfId="1" priority="1130" operator="greaterThan">
      <formula>120</formula>
    </cfRule>
    <cfRule type="containsText" dxfId="2" priority="115" operator="between" text="库存为">
      <formula>NOT(ISERROR(SEARCH("库存为",AU906)))</formula>
    </cfRule>
  </conditionalFormatting>
  <conditionalFormatting sqref="AU907">
    <cfRule type="cellIs" dxfId="0" priority="2144" operator="lessThan">
      <formula>20</formula>
    </cfRule>
    <cfRule type="cellIs" dxfId="1" priority="1129" operator="greaterThan">
      <formula>120</formula>
    </cfRule>
    <cfRule type="containsText" dxfId="2" priority="114" operator="between" text="库存为">
      <formula>NOT(ISERROR(SEARCH("库存为",AU907)))</formula>
    </cfRule>
  </conditionalFormatting>
  <conditionalFormatting sqref="AU908">
    <cfRule type="cellIs" dxfId="0" priority="2143" operator="lessThan">
      <formula>20</formula>
    </cfRule>
    <cfRule type="cellIs" dxfId="1" priority="1128" operator="greaterThan">
      <formula>120</formula>
    </cfRule>
    <cfRule type="containsText" dxfId="2" priority="113" operator="between" text="库存为">
      <formula>NOT(ISERROR(SEARCH("库存为",AU908)))</formula>
    </cfRule>
  </conditionalFormatting>
  <conditionalFormatting sqref="AU909">
    <cfRule type="cellIs" dxfId="0" priority="2142" operator="lessThan">
      <formula>20</formula>
    </cfRule>
    <cfRule type="cellIs" dxfId="1" priority="1127" operator="greaterThan">
      <formula>120</formula>
    </cfRule>
    <cfRule type="containsText" dxfId="2" priority="112" operator="between" text="库存为">
      <formula>NOT(ISERROR(SEARCH("库存为",AU909)))</formula>
    </cfRule>
  </conditionalFormatting>
  <conditionalFormatting sqref="AU910">
    <cfRule type="cellIs" dxfId="0" priority="2141" operator="lessThan">
      <formula>20</formula>
    </cfRule>
    <cfRule type="cellIs" dxfId="1" priority="1126" operator="greaterThan">
      <formula>120</formula>
    </cfRule>
    <cfRule type="containsText" dxfId="2" priority="111" operator="between" text="库存为">
      <formula>NOT(ISERROR(SEARCH("库存为",AU910)))</formula>
    </cfRule>
  </conditionalFormatting>
  <conditionalFormatting sqref="AU911">
    <cfRule type="cellIs" dxfId="0" priority="2140" operator="lessThan">
      <formula>20</formula>
    </cfRule>
    <cfRule type="cellIs" dxfId="1" priority="1125" operator="greaterThan">
      <formula>120</formula>
    </cfRule>
    <cfRule type="containsText" dxfId="2" priority="110" operator="between" text="库存为">
      <formula>NOT(ISERROR(SEARCH("库存为",AU911)))</formula>
    </cfRule>
  </conditionalFormatting>
  <conditionalFormatting sqref="AU912">
    <cfRule type="cellIs" dxfId="0" priority="2139" operator="lessThan">
      <formula>20</formula>
    </cfRule>
    <cfRule type="cellIs" dxfId="1" priority="1124" operator="greaterThan">
      <formula>120</formula>
    </cfRule>
    <cfRule type="containsText" dxfId="2" priority="109" operator="between" text="库存为">
      <formula>NOT(ISERROR(SEARCH("库存为",AU912)))</formula>
    </cfRule>
  </conditionalFormatting>
  <conditionalFormatting sqref="AU913">
    <cfRule type="cellIs" dxfId="0" priority="2138" operator="lessThan">
      <formula>20</formula>
    </cfRule>
    <cfRule type="cellIs" dxfId="1" priority="1123" operator="greaterThan">
      <formula>120</formula>
    </cfRule>
    <cfRule type="containsText" dxfId="2" priority="108" operator="between" text="库存为">
      <formula>NOT(ISERROR(SEARCH("库存为",AU913)))</formula>
    </cfRule>
  </conditionalFormatting>
  <conditionalFormatting sqref="AU914">
    <cfRule type="cellIs" dxfId="0" priority="2137" operator="lessThan">
      <formula>20</formula>
    </cfRule>
    <cfRule type="cellIs" dxfId="1" priority="1122" operator="greaterThan">
      <formula>120</formula>
    </cfRule>
    <cfRule type="containsText" dxfId="2" priority="107" operator="between" text="库存为">
      <formula>NOT(ISERROR(SEARCH("库存为",AU914)))</formula>
    </cfRule>
  </conditionalFormatting>
  <conditionalFormatting sqref="AU915">
    <cfRule type="cellIs" dxfId="0" priority="2136" operator="lessThan">
      <formula>20</formula>
    </cfRule>
    <cfRule type="cellIs" dxfId="1" priority="1121" operator="greaterThan">
      <formula>120</formula>
    </cfRule>
    <cfRule type="containsText" dxfId="2" priority="106" operator="between" text="库存为">
      <formula>NOT(ISERROR(SEARCH("库存为",AU915)))</formula>
    </cfRule>
  </conditionalFormatting>
  <conditionalFormatting sqref="AU916">
    <cfRule type="cellIs" dxfId="0" priority="2135" operator="lessThan">
      <formula>20</formula>
    </cfRule>
    <cfRule type="cellIs" dxfId="1" priority="1120" operator="greaterThan">
      <formula>120</formula>
    </cfRule>
    <cfRule type="containsText" dxfId="2" priority="105" operator="between" text="库存为">
      <formula>NOT(ISERROR(SEARCH("库存为",AU916)))</formula>
    </cfRule>
  </conditionalFormatting>
  <conditionalFormatting sqref="AU917">
    <cfRule type="cellIs" dxfId="0" priority="2134" operator="lessThan">
      <formula>20</formula>
    </cfRule>
    <cfRule type="cellIs" dxfId="1" priority="1119" operator="greaterThan">
      <formula>120</formula>
    </cfRule>
    <cfRule type="containsText" dxfId="2" priority="104" operator="between" text="库存为">
      <formula>NOT(ISERROR(SEARCH("库存为",AU917)))</formula>
    </cfRule>
  </conditionalFormatting>
  <conditionalFormatting sqref="AU918">
    <cfRule type="cellIs" dxfId="0" priority="2133" operator="lessThan">
      <formula>20</formula>
    </cfRule>
    <cfRule type="cellIs" dxfId="1" priority="1118" operator="greaterThan">
      <formula>120</formula>
    </cfRule>
    <cfRule type="containsText" dxfId="2" priority="103" operator="between" text="库存为">
      <formula>NOT(ISERROR(SEARCH("库存为",AU918)))</formula>
    </cfRule>
  </conditionalFormatting>
  <conditionalFormatting sqref="AU919">
    <cfRule type="cellIs" dxfId="0" priority="2132" operator="lessThan">
      <formula>20</formula>
    </cfRule>
    <cfRule type="cellIs" dxfId="1" priority="1117" operator="greaterThan">
      <formula>120</formula>
    </cfRule>
    <cfRule type="containsText" dxfId="2" priority="102" operator="between" text="库存为">
      <formula>NOT(ISERROR(SEARCH("库存为",AU919)))</formula>
    </cfRule>
  </conditionalFormatting>
  <conditionalFormatting sqref="AU920">
    <cfRule type="cellIs" dxfId="0" priority="2131" operator="lessThan">
      <formula>20</formula>
    </cfRule>
    <cfRule type="cellIs" dxfId="1" priority="1116" operator="greaterThan">
      <formula>120</formula>
    </cfRule>
    <cfRule type="containsText" dxfId="2" priority="101" operator="between" text="库存为">
      <formula>NOT(ISERROR(SEARCH("库存为",AU920)))</formula>
    </cfRule>
  </conditionalFormatting>
  <conditionalFormatting sqref="AU921">
    <cfRule type="cellIs" dxfId="0" priority="2130" operator="lessThan">
      <formula>20</formula>
    </cfRule>
    <cfRule type="cellIs" dxfId="1" priority="1115" operator="greaterThan">
      <formula>120</formula>
    </cfRule>
    <cfRule type="containsText" dxfId="2" priority="100" operator="between" text="库存为">
      <formula>NOT(ISERROR(SEARCH("库存为",AU921)))</formula>
    </cfRule>
  </conditionalFormatting>
  <conditionalFormatting sqref="AU922">
    <cfRule type="cellIs" dxfId="0" priority="2129" operator="lessThan">
      <formula>20</formula>
    </cfRule>
    <cfRule type="cellIs" dxfId="1" priority="1114" operator="greaterThan">
      <formula>120</formula>
    </cfRule>
    <cfRule type="containsText" dxfId="2" priority="99" operator="between" text="库存为">
      <formula>NOT(ISERROR(SEARCH("库存为",AU922)))</formula>
    </cfRule>
  </conditionalFormatting>
  <conditionalFormatting sqref="AU923">
    <cfRule type="cellIs" dxfId="0" priority="2128" operator="lessThan">
      <formula>20</formula>
    </cfRule>
    <cfRule type="cellIs" dxfId="1" priority="1113" operator="greaterThan">
      <formula>120</formula>
    </cfRule>
    <cfRule type="containsText" dxfId="2" priority="98" operator="between" text="库存为">
      <formula>NOT(ISERROR(SEARCH("库存为",AU923)))</formula>
    </cfRule>
  </conditionalFormatting>
  <conditionalFormatting sqref="AU924">
    <cfRule type="cellIs" dxfId="0" priority="2127" operator="lessThan">
      <formula>20</formula>
    </cfRule>
    <cfRule type="cellIs" dxfId="1" priority="1112" operator="greaterThan">
      <formula>120</formula>
    </cfRule>
    <cfRule type="containsText" dxfId="2" priority="97" operator="between" text="库存为">
      <formula>NOT(ISERROR(SEARCH("库存为",AU924)))</formula>
    </cfRule>
  </conditionalFormatting>
  <conditionalFormatting sqref="AU925">
    <cfRule type="cellIs" dxfId="0" priority="2126" operator="lessThan">
      <formula>20</formula>
    </cfRule>
    <cfRule type="cellIs" dxfId="1" priority="1111" operator="greaterThan">
      <formula>120</formula>
    </cfRule>
    <cfRule type="containsText" dxfId="2" priority="96" operator="between" text="库存为">
      <formula>NOT(ISERROR(SEARCH("库存为",AU925)))</formula>
    </cfRule>
  </conditionalFormatting>
  <conditionalFormatting sqref="AU926">
    <cfRule type="cellIs" dxfId="0" priority="2125" operator="lessThan">
      <formula>20</formula>
    </cfRule>
    <cfRule type="cellIs" dxfId="1" priority="1110" operator="greaterThan">
      <formula>120</formula>
    </cfRule>
    <cfRule type="containsText" dxfId="2" priority="95" operator="between" text="库存为">
      <formula>NOT(ISERROR(SEARCH("库存为",AU926)))</formula>
    </cfRule>
  </conditionalFormatting>
  <conditionalFormatting sqref="AU927">
    <cfRule type="cellIs" dxfId="0" priority="2124" operator="lessThan">
      <formula>20</formula>
    </cfRule>
    <cfRule type="cellIs" dxfId="1" priority="1109" operator="greaterThan">
      <formula>120</formula>
    </cfRule>
    <cfRule type="containsText" dxfId="2" priority="94" operator="between" text="库存为">
      <formula>NOT(ISERROR(SEARCH("库存为",AU927)))</formula>
    </cfRule>
  </conditionalFormatting>
  <conditionalFormatting sqref="AU928">
    <cfRule type="cellIs" dxfId="0" priority="2123" operator="lessThan">
      <formula>20</formula>
    </cfRule>
    <cfRule type="cellIs" dxfId="1" priority="1108" operator="greaterThan">
      <formula>120</formula>
    </cfRule>
    <cfRule type="containsText" dxfId="2" priority="93" operator="between" text="库存为">
      <formula>NOT(ISERROR(SEARCH("库存为",AU928)))</formula>
    </cfRule>
  </conditionalFormatting>
  <conditionalFormatting sqref="AU929">
    <cfRule type="cellIs" dxfId="0" priority="2122" operator="lessThan">
      <formula>20</formula>
    </cfRule>
    <cfRule type="cellIs" dxfId="1" priority="1107" operator="greaterThan">
      <formula>120</formula>
    </cfRule>
    <cfRule type="containsText" dxfId="2" priority="92" operator="between" text="库存为">
      <formula>NOT(ISERROR(SEARCH("库存为",AU929)))</formula>
    </cfRule>
  </conditionalFormatting>
  <conditionalFormatting sqref="AU930">
    <cfRule type="cellIs" dxfId="0" priority="2121" operator="lessThan">
      <formula>20</formula>
    </cfRule>
    <cfRule type="cellIs" dxfId="1" priority="1106" operator="greaterThan">
      <formula>120</formula>
    </cfRule>
    <cfRule type="containsText" dxfId="2" priority="91" operator="between" text="库存为">
      <formula>NOT(ISERROR(SEARCH("库存为",AU930)))</formula>
    </cfRule>
  </conditionalFormatting>
  <conditionalFormatting sqref="AU931">
    <cfRule type="cellIs" dxfId="0" priority="2120" operator="lessThan">
      <formula>20</formula>
    </cfRule>
    <cfRule type="cellIs" dxfId="1" priority="1105" operator="greaterThan">
      <formula>120</formula>
    </cfRule>
    <cfRule type="containsText" dxfId="2" priority="90" operator="between" text="库存为">
      <formula>NOT(ISERROR(SEARCH("库存为",AU931)))</formula>
    </cfRule>
  </conditionalFormatting>
  <conditionalFormatting sqref="AU932">
    <cfRule type="cellIs" dxfId="0" priority="2119" operator="lessThan">
      <formula>20</formula>
    </cfRule>
    <cfRule type="cellIs" dxfId="1" priority="1104" operator="greaterThan">
      <formula>120</formula>
    </cfRule>
    <cfRule type="containsText" dxfId="2" priority="89" operator="between" text="库存为">
      <formula>NOT(ISERROR(SEARCH("库存为",AU932)))</formula>
    </cfRule>
  </conditionalFormatting>
  <conditionalFormatting sqref="AU933">
    <cfRule type="cellIs" dxfId="0" priority="2118" operator="lessThan">
      <formula>20</formula>
    </cfRule>
    <cfRule type="cellIs" dxfId="1" priority="1103" operator="greaterThan">
      <formula>120</formula>
    </cfRule>
    <cfRule type="containsText" dxfId="2" priority="88" operator="between" text="库存为">
      <formula>NOT(ISERROR(SEARCH("库存为",AU933)))</formula>
    </cfRule>
  </conditionalFormatting>
  <conditionalFormatting sqref="AU934">
    <cfRule type="cellIs" dxfId="0" priority="2117" operator="lessThan">
      <formula>20</formula>
    </cfRule>
    <cfRule type="cellIs" dxfId="1" priority="1102" operator="greaterThan">
      <formula>120</formula>
    </cfRule>
    <cfRule type="containsText" dxfId="2" priority="87" operator="between" text="库存为">
      <formula>NOT(ISERROR(SEARCH("库存为",AU934)))</formula>
    </cfRule>
  </conditionalFormatting>
  <conditionalFormatting sqref="AU935">
    <cfRule type="cellIs" dxfId="0" priority="2116" operator="lessThan">
      <formula>20</formula>
    </cfRule>
    <cfRule type="cellIs" dxfId="1" priority="1101" operator="greaterThan">
      <formula>120</formula>
    </cfRule>
    <cfRule type="containsText" dxfId="2" priority="86" operator="between" text="库存为">
      <formula>NOT(ISERROR(SEARCH("库存为",AU935)))</formula>
    </cfRule>
  </conditionalFormatting>
  <conditionalFormatting sqref="AU936">
    <cfRule type="cellIs" dxfId="0" priority="2115" operator="lessThan">
      <formula>20</formula>
    </cfRule>
    <cfRule type="cellIs" dxfId="1" priority="1100" operator="greaterThan">
      <formula>120</formula>
    </cfRule>
    <cfRule type="containsText" dxfId="2" priority="85" operator="between" text="库存为">
      <formula>NOT(ISERROR(SEARCH("库存为",AU936)))</formula>
    </cfRule>
  </conditionalFormatting>
  <conditionalFormatting sqref="AU937">
    <cfRule type="cellIs" dxfId="0" priority="2114" operator="lessThan">
      <formula>20</formula>
    </cfRule>
    <cfRule type="cellIs" dxfId="1" priority="1099" operator="greaterThan">
      <formula>120</formula>
    </cfRule>
    <cfRule type="containsText" dxfId="2" priority="84" operator="between" text="库存为">
      <formula>NOT(ISERROR(SEARCH("库存为",AU937)))</formula>
    </cfRule>
  </conditionalFormatting>
  <conditionalFormatting sqref="AU938">
    <cfRule type="cellIs" dxfId="0" priority="2113" operator="lessThan">
      <formula>20</formula>
    </cfRule>
    <cfRule type="cellIs" dxfId="1" priority="1098" operator="greaterThan">
      <formula>120</formula>
    </cfRule>
    <cfRule type="containsText" dxfId="2" priority="83" operator="between" text="库存为">
      <formula>NOT(ISERROR(SEARCH("库存为",AU938)))</formula>
    </cfRule>
  </conditionalFormatting>
  <conditionalFormatting sqref="AU939">
    <cfRule type="cellIs" dxfId="0" priority="2112" operator="lessThan">
      <formula>20</formula>
    </cfRule>
    <cfRule type="cellIs" dxfId="1" priority="1097" operator="greaterThan">
      <formula>120</formula>
    </cfRule>
    <cfRule type="containsText" dxfId="2" priority="82" operator="between" text="库存为">
      <formula>NOT(ISERROR(SEARCH("库存为",AU939)))</formula>
    </cfRule>
  </conditionalFormatting>
  <conditionalFormatting sqref="AU940">
    <cfRule type="cellIs" dxfId="0" priority="2111" operator="lessThan">
      <formula>20</formula>
    </cfRule>
    <cfRule type="cellIs" dxfId="1" priority="1096" operator="greaterThan">
      <formula>120</formula>
    </cfRule>
    <cfRule type="containsText" dxfId="2" priority="81" operator="between" text="库存为">
      <formula>NOT(ISERROR(SEARCH("库存为",AU940)))</formula>
    </cfRule>
  </conditionalFormatting>
  <conditionalFormatting sqref="AU941">
    <cfRule type="cellIs" dxfId="0" priority="2110" operator="lessThan">
      <formula>20</formula>
    </cfRule>
    <cfRule type="cellIs" dxfId="1" priority="1095" operator="greaterThan">
      <formula>120</formula>
    </cfRule>
    <cfRule type="containsText" dxfId="2" priority="80" operator="between" text="库存为">
      <formula>NOT(ISERROR(SEARCH("库存为",AU941)))</formula>
    </cfRule>
  </conditionalFormatting>
  <conditionalFormatting sqref="AU942">
    <cfRule type="cellIs" dxfId="0" priority="2109" operator="lessThan">
      <formula>20</formula>
    </cfRule>
    <cfRule type="cellIs" dxfId="1" priority="1094" operator="greaterThan">
      <formula>120</formula>
    </cfRule>
    <cfRule type="containsText" dxfId="2" priority="79" operator="between" text="库存为">
      <formula>NOT(ISERROR(SEARCH("库存为",AU942)))</formula>
    </cfRule>
  </conditionalFormatting>
  <conditionalFormatting sqref="AU943">
    <cfRule type="cellIs" dxfId="0" priority="2108" operator="lessThan">
      <formula>20</formula>
    </cfRule>
    <cfRule type="cellIs" dxfId="1" priority="1093" operator="greaterThan">
      <formula>120</formula>
    </cfRule>
    <cfRule type="containsText" dxfId="2" priority="78" operator="between" text="库存为">
      <formula>NOT(ISERROR(SEARCH("库存为",AU943)))</formula>
    </cfRule>
  </conditionalFormatting>
  <conditionalFormatting sqref="AU944">
    <cfRule type="cellIs" dxfId="0" priority="2107" operator="lessThan">
      <formula>20</formula>
    </cfRule>
    <cfRule type="cellIs" dxfId="1" priority="1092" operator="greaterThan">
      <formula>120</formula>
    </cfRule>
    <cfRule type="containsText" dxfId="2" priority="77" operator="between" text="库存为">
      <formula>NOT(ISERROR(SEARCH("库存为",AU944)))</formula>
    </cfRule>
  </conditionalFormatting>
  <conditionalFormatting sqref="AU945">
    <cfRule type="cellIs" dxfId="0" priority="2106" operator="lessThan">
      <formula>20</formula>
    </cfRule>
    <cfRule type="cellIs" dxfId="1" priority="1091" operator="greaterThan">
      <formula>120</formula>
    </cfRule>
    <cfRule type="containsText" dxfId="2" priority="76" operator="between" text="库存为">
      <formula>NOT(ISERROR(SEARCH("库存为",AU945)))</formula>
    </cfRule>
  </conditionalFormatting>
  <conditionalFormatting sqref="AU946">
    <cfRule type="cellIs" dxfId="0" priority="2105" operator="lessThan">
      <formula>20</formula>
    </cfRule>
    <cfRule type="cellIs" dxfId="1" priority="1090" operator="greaterThan">
      <formula>120</formula>
    </cfRule>
    <cfRule type="containsText" dxfId="2" priority="75" operator="between" text="库存为">
      <formula>NOT(ISERROR(SEARCH("库存为",AU946)))</formula>
    </cfRule>
  </conditionalFormatting>
  <conditionalFormatting sqref="AU947">
    <cfRule type="cellIs" dxfId="0" priority="2104" operator="lessThan">
      <formula>20</formula>
    </cfRule>
    <cfRule type="cellIs" dxfId="1" priority="1089" operator="greaterThan">
      <formula>120</formula>
    </cfRule>
    <cfRule type="containsText" dxfId="2" priority="74" operator="between" text="库存为">
      <formula>NOT(ISERROR(SEARCH("库存为",AU947)))</formula>
    </cfRule>
  </conditionalFormatting>
  <conditionalFormatting sqref="AU948">
    <cfRule type="cellIs" dxfId="0" priority="2103" operator="lessThan">
      <formula>20</formula>
    </cfRule>
    <cfRule type="cellIs" dxfId="1" priority="1088" operator="greaterThan">
      <formula>120</formula>
    </cfRule>
    <cfRule type="containsText" dxfId="2" priority="73" operator="between" text="库存为">
      <formula>NOT(ISERROR(SEARCH("库存为",AU948)))</formula>
    </cfRule>
  </conditionalFormatting>
  <conditionalFormatting sqref="AU949">
    <cfRule type="cellIs" dxfId="0" priority="2102" operator="lessThan">
      <formula>20</formula>
    </cfRule>
    <cfRule type="cellIs" dxfId="1" priority="1087" operator="greaterThan">
      <formula>120</formula>
    </cfRule>
    <cfRule type="containsText" dxfId="2" priority="72" operator="between" text="库存为">
      <formula>NOT(ISERROR(SEARCH("库存为",AU949)))</formula>
    </cfRule>
  </conditionalFormatting>
  <conditionalFormatting sqref="AU950">
    <cfRule type="cellIs" dxfId="0" priority="2101" operator="lessThan">
      <formula>20</formula>
    </cfRule>
    <cfRule type="cellIs" dxfId="1" priority="1086" operator="greaterThan">
      <formula>120</formula>
    </cfRule>
    <cfRule type="containsText" dxfId="2" priority="71" operator="between" text="库存为">
      <formula>NOT(ISERROR(SEARCH("库存为",AU950)))</formula>
    </cfRule>
  </conditionalFormatting>
  <conditionalFormatting sqref="AU951">
    <cfRule type="cellIs" dxfId="0" priority="2100" operator="lessThan">
      <formula>20</formula>
    </cfRule>
    <cfRule type="cellIs" dxfId="1" priority="1085" operator="greaterThan">
      <formula>120</formula>
    </cfRule>
    <cfRule type="containsText" dxfId="2" priority="70" operator="between" text="库存为">
      <formula>NOT(ISERROR(SEARCH("库存为",AU951)))</formula>
    </cfRule>
  </conditionalFormatting>
  <conditionalFormatting sqref="AU952">
    <cfRule type="cellIs" dxfId="0" priority="2099" operator="lessThan">
      <formula>20</formula>
    </cfRule>
    <cfRule type="cellIs" dxfId="1" priority="1084" operator="greaterThan">
      <formula>120</formula>
    </cfRule>
    <cfRule type="containsText" dxfId="2" priority="69" operator="between" text="库存为">
      <formula>NOT(ISERROR(SEARCH("库存为",AU952)))</formula>
    </cfRule>
  </conditionalFormatting>
  <conditionalFormatting sqref="AU953">
    <cfRule type="cellIs" dxfId="0" priority="2098" operator="lessThan">
      <formula>20</formula>
    </cfRule>
    <cfRule type="cellIs" dxfId="1" priority="1083" operator="greaterThan">
      <formula>120</formula>
    </cfRule>
    <cfRule type="containsText" dxfId="2" priority="68" operator="between" text="库存为">
      <formula>NOT(ISERROR(SEARCH("库存为",AU953)))</formula>
    </cfRule>
  </conditionalFormatting>
  <conditionalFormatting sqref="AU954">
    <cfRule type="cellIs" dxfId="0" priority="2097" operator="lessThan">
      <formula>20</formula>
    </cfRule>
    <cfRule type="cellIs" dxfId="1" priority="1082" operator="greaterThan">
      <formula>120</formula>
    </cfRule>
    <cfRule type="containsText" dxfId="2" priority="67" operator="between" text="库存为">
      <formula>NOT(ISERROR(SEARCH("库存为",AU954)))</formula>
    </cfRule>
  </conditionalFormatting>
  <conditionalFormatting sqref="AU955">
    <cfRule type="cellIs" dxfId="0" priority="2096" operator="lessThan">
      <formula>20</formula>
    </cfRule>
    <cfRule type="cellIs" dxfId="1" priority="1081" operator="greaterThan">
      <formula>120</formula>
    </cfRule>
    <cfRule type="containsText" dxfId="2" priority="66" operator="between" text="库存为">
      <formula>NOT(ISERROR(SEARCH("库存为",AU955)))</formula>
    </cfRule>
  </conditionalFormatting>
  <conditionalFormatting sqref="AU956">
    <cfRule type="cellIs" dxfId="0" priority="2095" operator="lessThan">
      <formula>20</formula>
    </cfRule>
    <cfRule type="cellIs" dxfId="1" priority="1080" operator="greaterThan">
      <formula>120</formula>
    </cfRule>
    <cfRule type="containsText" dxfId="2" priority="65" operator="between" text="库存为">
      <formula>NOT(ISERROR(SEARCH("库存为",AU956)))</formula>
    </cfRule>
  </conditionalFormatting>
  <conditionalFormatting sqref="AU957">
    <cfRule type="cellIs" dxfId="0" priority="2094" operator="lessThan">
      <formula>20</formula>
    </cfRule>
    <cfRule type="cellIs" dxfId="1" priority="1079" operator="greaterThan">
      <formula>120</formula>
    </cfRule>
    <cfRule type="containsText" dxfId="2" priority="64" operator="between" text="库存为">
      <formula>NOT(ISERROR(SEARCH("库存为",AU957)))</formula>
    </cfRule>
  </conditionalFormatting>
  <conditionalFormatting sqref="AU958">
    <cfRule type="cellIs" dxfId="0" priority="2093" operator="lessThan">
      <formula>20</formula>
    </cfRule>
    <cfRule type="cellIs" dxfId="1" priority="1078" operator="greaterThan">
      <formula>120</formula>
    </cfRule>
    <cfRule type="containsText" dxfId="2" priority="63" operator="between" text="库存为">
      <formula>NOT(ISERROR(SEARCH("库存为",AU958)))</formula>
    </cfRule>
  </conditionalFormatting>
  <conditionalFormatting sqref="AU959">
    <cfRule type="cellIs" dxfId="0" priority="2092" operator="lessThan">
      <formula>20</formula>
    </cfRule>
    <cfRule type="cellIs" dxfId="1" priority="1077" operator="greaterThan">
      <formula>120</formula>
    </cfRule>
    <cfRule type="containsText" dxfId="2" priority="62" operator="between" text="库存为">
      <formula>NOT(ISERROR(SEARCH("库存为",AU959)))</formula>
    </cfRule>
  </conditionalFormatting>
  <conditionalFormatting sqref="AU960">
    <cfRule type="cellIs" dxfId="0" priority="2091" operator="lessThan">
      <formula>20</formula>
    </cfRule>
    <cfRule type="cellIs" dxfId="1" priority="1076" operator="greaterThan">
      <formula>120</formula>
    </cfRule>
    <cfRule type="containsText" dxfId="2" priority="61" operator="between" text="库存为">
      <formula>NOT(ISERROR(SEARCH("库存为",AU960)))</formula>
    </cfRule>
  </conditionalFormatting>
  <conditionalFormatting sqref="AU961">
    <cfRule type="cellIs" dxfId="0" priority="2090" operator="lessThan">
      <formula>20</formula>
    </cfRule>
    <cfRule type="cellIs" dxfId="1" priority="1075" operator="greaterThan">
      <formula>120</formula>
    </cfRule>
    <cfRule type="containsText" dxfId="2" priority="60" operator="between" text="库存为">
      <formula>NOT(ISERROR(SEARCH("库存为",AU961)))</formula>
    </cfRule>
  </conditionalFormatting>
  <conditionalFormatting sqref="AU962">
    <cfRule type="cellIs" dxfId="0" priority="2089" operator="lessThan">
      <formula>20</formula>
    </cfRule>
    <cfRule type="cellIs" dxfId="1" priority="1074" operator="greaterThan">
      <formula>120</formula>
    </cfRule>
    <cfRule type="containsText" dxfId="2" priority="59" operator="between" text="库存为">
      <formula>NOT(ISERROR(SEARCH("库存为",AU962)))</formula>
    </cfRule>
  </conditionalFormatting>
  <conditionalFormatting sqref="AU963">
    <cfRule type="cellIs" dxfId="0" priority="2088" operator="lessThan">
      <formula>20</formula>
    </cfRule>
    <cfRule type="cellIs" dxfId="1" priority="1073" operator="greaterThan">
      <formula>120</formula>
    </cfRule>
    <cfRule type="containsText" dxfId="2" priority="58" operator="between" text="库存为">
      <formula>NOT(ISERROR(SEARCH("库存为",AU963)))</formula>
    </cfRule>
  </conditionalFormatting>
  <conditionalFormatting sqref="AU964">
    <cfRule type="cellIs" dxfId="0" priority="2087" operator="lessThan">
      <formula>20</formula>
    </cfRule>
    <cfRule type="cellIs" dxfId="1" priority="1072" operator="greaterThan">
      <formula>120</formula>
    </cfRule>
    <cfRule type="containsText" dxfId="2" priority="57" operator="between" text="库存为">
      <formula>NOT(ISERROR(SEARCH("库存为",AU964)))</formula>
    </cfRule>
  </conditionalFormatting>
  <conditionalFormatting sqref="AU965">
    <cfRule type="cellIs" dxfId="0" priority="2086" operator="lessThan">
      <formula>20</formula>
    </cfRule>
    <cfRule type="cellIs" dxfId="1" priority="1071" operator="greaterThan">
      <formula>120</formula>
    </cfRule>
    <cfRule type="containsText" dxfId="2" priority="56" operator="between" text="库存为">
      <formula>NOT(ISERROR(SEARCH("库存为",AU965)))</formula>
    </cfRule>
  </conditionalFormatting>
  <conditionalFormatting sqref="AU966">
    <cfRule type="cellIs" dxfId="0" priority="2085" operator="lessThan">
      <formula>20</formula>
    </cfRule>
    <cfRule type="cellIs" dxfId="1" priority="1070" operator="greaterThan">
      <formula>120</formula>
    </cfRule>
    <cfRule type="containsText" dxfId="2" priority="55" operator="between" text="库存为">
      <formula>NOT(ISERROR(SEARCH("库存为",AU966)))</formula>
    </cfRule>
  </conditionalFormatting>
  <conditionalFormatting sqref="AU967">
    <cfRule type="cellIs" dxfId="0" priority="2084" operator="lessThan">
      <formula>20</formula>
    </cfRule>
    <cfRule type="cellIs" dxfId="1" priority="1069" operator="greaterThan">
      <formula>120</formula>
    </cfRule>
    <cfRule type="containsText" dxfId="2" priority="54" operator="between" text="库存为">
      <formula>NOT(ISERROR(SEARCH("库存为",AU967)))</formula>
    </cfRule>
  </conditionalFormatting>
  <conditionalFormatting sqref="AU968">
    <cfRule type="cellIs" dxfId="0" priority="2083" operator="lessThan">
      <formula>20</formula>
    </cfRule>
    <cfRule type="cellIs" dxfId="1" priority="1068" operator="greaterThan">
      <formula>120</formula>
    </cfRule>
    <cfRule type="containsText" dxfId="2" priority="53" operator="between" text="库存为">
      <formula>NOT(ISERROR(SEARCH("库存为",AU968)))</formula>
    </cfRule>
  </conditionalFormatting>
  <conditionalFormatting sqref="AU969">
    <cfRule type="cellIs" dxfId="0" priority="2082" operator="lessThan">
      <formula>20</formula>
    </cfRule>
    <cfRule type="cellIs" dxfId="1" priority="1067" operator="greaterThan">
      <formula>120</formula>
    </cfRule>
    <cfRule type="containsText" dxfId="2" priority="52" operator="between" text="库存为">
      <formula>NOT(ISERROR(SEARCH("库存为",AU969)))</formula>
    </cfRule>
  </conditionalFormatting>
  <conditionalFormatting sqref="AU970">
    <cfRule type="cellIs" dxfId="0" priority="2081" operator="lessThan">
      <formula>20</formula>
    </cfRule>
    <cfRule type="cellIs" dxfId="1" priority="1066" operator="greaterThan">
      <formula>120</formula>
    </cfRule>
    <cfRule type="containsText" dxfId="2" priority="51" operator="between" text="库存为">
      <formula>NOT(ISERROR(SEARCH("库存为",AU970)))</formula>
    </cfRule>
  </conditionalFormatting>
  <conditionalFormatting sqref="AU971">
    <cfRule type="cellIs" dxfId="0" priority="2080" operator="lessThan">
      <formula>20</formula>
    </cfRule>
    <cfRule type="cellIs" dxfId="1" priority="1065" operator="greaterThan">
      <formula>120</formula>
    </cfRule>
    <cfRule type="containsText" dxfId="2" priority="50" operator="between" text="库存为">
      <formula>NOT(ISERROR(SEARCH("库存为",AU971)))</formula>
    </cfRule>
  </conditionalFormatting>
  <conditionalFormatting sqref="AU972">
    <cfRule type="cellIs" dxfId="0" priority="2079" operator="lessThan">
      <formula>20</formula>
    </cfRule>
    <cfRule type="cellIs" dxfId="1" priority="1064" operator="greaterThan">
      <formula>120</formula>
    </cfRule>
    <cfRule type="containsText" dxfId="2" priority="49" operator="between" text="库存为">
      <formula>NOT(ISERROR(SEARCH("库存为",AU972)))</formula>
    </cfRule>
  </conditionalFormatting>
  <conditionalFormatting sqref="AU973">
    <cfRule type="cellIs" dxfId="0" priority="2078" operator="lessThan">
      <formula>20</formula>
    </cfRule>
    <cfRule type="cellIs" dxfId="1" priority="1063" operator="greaterThan">
      <formula>120</formula>
    </cfRule>
    <cfRule type="containsText" dxfId="2" priority="48" operator="between" text="库存为">
      <formula>NOT(ISERROR(SEARCH("库存为",AU973)))</formula>
    </cfRule>
  </conditionalFormatting>
  <conditionalFormatting sqref="AU974">
    <cfRule type="cellIs" dxfId="0" priority="2077" operator="lessThan">
      <formula>20</formula>
    </cfRule>
    <cfRule type="cellIs" dxfId="1" priority="1062" operator="greaterThan">
      <formula>120</formula>
    </cfRule>
    <cfRule type="containsText" dxfId="2" priority="47" operator="between" text="库存为">
      <formula>NOT(ISERROR(SEARCH("库存为",AU974)))</formula>
    </cfRule>
  </conditionalFormatting>
  <conditionalFormatting sqref="AU975">
    <cfRule type="cellIs" dxfId="0" priority="2076" operator="lessThan">
      <formula>20</formula>
    </cfRule>
    <cfRule type="cellIs" dxfId="1" priority="1061" operator="greaterThan">
      <formula>120</formula>
    </cfRule>
    <cfRule type="containsText" dxfId="2" priority="46" operator="between" text="库存为">
      <formula>NOT(ISERROR(SEARCH("库存为",AU975)))</formula>
    </cfRule>
  </conditionalFormatting>
  <conditionalFormatting sqref="AU976">
    <cfRule type="cellIs" dxfId="0" priority="2075" operator="lessThan">
      <formula>20</formula>
    </cfRule>
    <cfRule type="cellIs" dxfId="1" priority="1060" operator="greaterThan">
      <formula>120</formula>
    </cfRule>
    <cfRule type="containsText" dxfId="2" priority="45" operator="between" text="库存为">
      <formula>NOT(ISERROR(SEARCH("库存为",AU976)))</formula>
    </cfRule>
  </conditionalFormatting>
  <conditionalFormatting sqref="AU977">
    <cfRule type="cellIs" dxfId="0" priority="2074" operator="lessThan">
      <formula>20</formula>
    </cfRule>
    <cfRule type="cellIs" dxfId="1" priority="1059" operator="greaterThan">
      <formula>120</formula>
    </cfRule>
    <cfRule type="containsText" dxfId="2" priority="44" operator="between" text="库存为">
      <formula>NOT(ISERROR(SEARCH("库存为",AU977)))</formula>
    </cfRule>
  </conditionalFormatting>
  <conditionalFormatting sqref="AU978">
    <cfRule type="cellIs" dxfId="0" priority="2073" operator="lessThan">
      <formula>20</formula>
    </cfRule>
    <cfRule type="cellIs" dxfId="1" priority="1058" operator="greaterThan">
      <formula>120</formula>
    </cfRule>
    <cfRule type="containsText" dxfId="2" priority="43" operator="between" text="库存为">
      <formula>NOT(ISERROR(SEARCH("库存为",AU978)))</formula>
    </cfRule>
  </conditionalFormatting>
  <conditionalFormatting sqref="AU979">
    <cfRule type="cellIs" dxfId="0" priority="2072" operator="lessThan">
      <formula>20</formula>
    </cfRule>
    <cfRule type="cellIs" dxfId="1" priority="1057" operator="greaterThan">
      <formula>120</formula>
    </cfRule>
    <cfRule type="containsText" dxfId="2" priority="42" operator="between" text="库存为">
      <formula>NOT(ISERROR(SEARCH("库存为",AU979)))</formula>
    </cfRule>
  </conditionalFormatting>
  <conditionalFormatting sqref="AU980">
    <cfRule type="cellIs" dxfId="0" priority="2071" operator="lessThan">
      <formula>20</formula>
    </cfRule>
    <cfRule type="cellIs" dxfId="1" priority="1056" operator="greaterThan">
      <formula>120</formula>
    </cfRule>
    <cfRule type="containsText" dxfId="2" priority="41" operator="between" text="库存为">
      <formula>NOT(ISERROR(SEARCH("库存为",AU980)))</formula>
    </cfRule>
  </conditionalFormatting>
  <conditionalFormatting sqref="AU981">
    <cfRule type="cellIs" dxfId="0" priority="2070" operator="lessThan">
      <formula>20</formula>
    </cfRule>
    <cfRule type="cellIs" dxfId="1" priority="1055" operator="greaterThan">
      <formula>120</formula>
    </cfRule>
    <cfRule type="containsText" dxfId="2" priority="40" operator="between" text="库存为">
      <formula>NOT(ISERROR(SEARCH("库存为",AU981)))</formula>
    </cfRule>
  </conditionalFormatting>
  <conditionalFormatting sqref="AU982">
    <cfRule type="cellIs" dxfId="0" priority="2069" operator="lessThan">
      <formula>20</formula>
    </cfRule>
    <cfRule type="cellIs" dxfId="1" priority="1054" operator="greaterThan">
      <formula>120</formula>
    </cfRule>
    <cfRule type="containsText" dxfId="2" priority="39" operator="between" text="库存为">
      <formula>NOT(ISERROR(SEARCH("库存为",AU982)))</formula>
    </cfRule>
  </conditionalFormatting>
  <conditionalFormatting sqref="AU983">
    <cfRule type="cellIs" dxfId="0" priority="2068" operator="lessThan">
      <formula>20</formula>
    </cfRule>
    <cfRule type="cellIs" dxfId="1" priority="1053" operator="greaterThan">
      <formula>120</formula>
    </cfRule>
    <cfRule type="containsText" dxfId="2" priority="38" operator="between" text="库存为">
      <formula>NOT(ISERROR(SEARCH("库存为",AU983)))</formula>
    </cfRule>
  </conditionalFormatting>
  <conditionalFormatting sqref="AU984">
    <cfRule type="cellIs" dxfId="0" priority="2067" operator="lessThan">
      <formula>20</formula>
    </cfRule>
    <cfRule type="cellIs" dxfId="1" priority="1052" operator="greaterThan">
      <formula>120</formula>
    </cfRule>
    <cfRule type="containsText" dxfId="2" priority="37" operator="between" text="库存为">
      <formula>NOT(ISERROR(SEARCH("库存为",AU984)))</formula>
    </cfRule>
  </conditionalFormatting>
  <conditionalFormatting sqref="AU985">
    <cfRule type="cellIs" dxfId="0" priority="2066" operator="lessThan">
      <formula>20</formula>
    </cfRule>
    <cfRule type="cellIs" dxfId="1" priority="1051" operator="greaterThan">
      <formula>120</formula>
    </cfRule>
    <cfRule type="containsText" dxfId="2" priority="36" operator="between" text="库存为">
      <formula>NOT(ISERROR(SEARCH("库存为",AU985)))</formula>
    </cfRule>
  </conditionalFormatting>
  <conditionalFormatting sqref="AU986">
    <cfRule type="cellIs" dxfId="0" priority="2065" operator="lessThan">
      <formula>20</formula>
    </cfRule>
    <cfRule type="cellIs" dxfId="1" priority="1050" operator="greaterThan">
      <formula>120</formula>
    </cfRule>
    <cfRule type="containsText" dxfId="2" priority="35" operator="between" text="库存为">
      <formula>NOT(ISERROR(SEARCH("库存为",AU986)))</formula>
    </cfRule>
  </conditionalFormatting>
  <conditionalFormatting sqref="AU987">
    <cfRule type="cellIs" dxfId="0" priority="2064" operator="lessThan">
      <formula>20</formula>
    </cfRule>
    <cfRule type="cellIs" dxfId="1" priority="1049" operator="greaterThan">
      <formula>120</formula>
    </cfRule>
    <cfRule type="containsText" dxfId="2" priority="34" operator="between" text="库存为">
      <formula>NOT(ISERROR(SEARCH("库存为",AU987)))</formula>
    </cfRule>
  </conditionalFormatting>
  <conditionalFormatting sqref="AU988">
    <cfRule type="cellIs" dxfId="0" priority="2063" operator="lessThan">
      <formula>20</formula>
    </cfRule>
    <cfRule type="cellIs" dxfId="1" priority="1048" operator="greaterThan">
      <formula>120</formula>
    </cfRule>
    <cfRule type="containsText" dxfId="2" priority="33" operator="between" text="库存为">
      <formula>NOT(ISERROR(SEARCH("库存为",AU988)))</formula>
    </cfRule>
  </conditionalFormatting>
  <conditionalFormatting sqref="AU989">
    <cfRule type="cellIs" dxfId="0" priority="2062" operator="lessThan">
      <formula>20</formula>
    </cfRule>
    <cfRule type="cellIs" dxfId="1" priority="1047" operator="greaterThan">
      <formula>120</formula>
    </cfRule>
    <cfRule type="containsText" dxfId="2" priority="32" operator="between" text="库存为">
      <formula>NOT(ISERROR(SEARCH("库存为",AU989)))</formula>
    </cfRule>
  </conditionalFormatting>
  <conditionalFormatting sqref="AU990">
    <cfRule type="cellIs" dxfId="0" priority="2061" operator="lessThan">
      <formula>20</formula>
    </cfRule>
    <cfRule type="cellIs" dxfId="1" priority="1046" operator="greaterThan">
      <formula>120</formula>
    </cfRule>
    <cfRule type="containsText" dxfId="2" priority="31" operator="between" text="库存为">
      <formula>NOT(ISERROR(SEARCH("库存为",AU990)))</formula>
    </cfRule>
  </conditionalFormatting>
  <conditionalFormatting sqref="AU991">
    <cfRule type="cellIs" dxfId="0" priority="2060" operator="lessThan">
      <formula>20</formula>
    </cfRule>
    <cfRule type="cellIs" dxfId="1" priority="1045" operator="greaterThan">
      <formula>120</formula>
    </cfRule>
    <cfRule type="containsText" dxfId="2" priority="30" operator="between" text="库存为">
      <formula>NOT(ISERROR(SEARCH("库存为",AU991)))</formula>
    </cfRule>
  </conditionalFormatting>
  <conditionalFormatting sqref="AU992">
    <cfRule type="cellIs" dxfId="0" priority="2059" operator="lessThan">
      <formula>20</formula>
    </cfRule>
    <cfRule type="cellIs" dxfId="1" priority="1044" operator="greaterThan">
      <formula>120</formula>
    </cfRule>
    <cfRule type="containsText" dxfId="2" priority="29" operator="between" text="库存为">
      <formula>NOT(ISERROR(SEARCH("库存为",AU992)))</formula>
    </cfRule>
  </conditionalFormatting>
  <conditionalFormatting sqref="AU993">
    <cfRule type="cellIs" dxfId="0" priority="2058" operator="lessThan">
      <formula>20</formula>
    </cfRule>
    <cfRule type="cellIs" dxfId="1" priority="1043" operator="greaterThan">
      <formula>120</formula>
    </cfRule>
    <cfRule type="containsText" dxfId="2" priority="28" operator="between" text="库存为">
      <formula>NOT(ISERROR(SEARCH("库存为",AU993)))</formula>
    </cfRule>
  </conditionalFormatting>
  <conditionalFormatting sqref="AU994">
    <cfRule type="cellIs" dxfId="0" priority="2057" operator="lessThan">
      <formula>20</formula>
    </cfRule>
    <cfRule type="cellIs" dxfId="1" priority="1042" operator="greaterThan">
      <formula>120</formula>
    </cfRule>
    <cfRule type="containsText" dxfId="2" priority="27" operator="between" text="库存为">
      <formula>NOT(ISERROR(SEARCH("库存为",AU994)))</formula>
    </cfRule>
  </conditionalFormatting>
  <conditionalFormatting sqref="AU995">
    <cfRule type="cellIs" dxfId="0" priority="2056" operator="lessThan">
      <formula>20</formula>
    </cfRule>
    <cfRule type="cellIs" dxfId="1" priority="1041" operator="greaterThan">
      <formula>120</formula>
    </cfRule>
    <cfRule type="containsText" dxfId="2" priority="26" operator="between" text="库存为">
      <formula>NOT(ISERROR(SEARCH("库存为",AU995)))</formula>
    </cfRule>
  </conditionalFormatting>
  <conditionalFormatting sqref="AU996">
    <cfRule type="cellIs" dxfId="0" priority="2055" operator="lessThan">
      <formula>20</formula>
    </cfRule>
    <cfRule type="cellIs" dxfId="1" priority="1040" operator="greaterThan">
      <formula>120</formula>
    </cfRule>
    <cfRule type="containsText" dxfId="2" priority="25" operator="between" text="库存为">
      <formula>NOT(ISERROR(SEARCH("库存为",AU996)))</formula>
    </cfRule>
  </conditionalFormatting>
  <conditionalFormatting sqref="AU997">
    <cfRule type="cellIs" dxfId="0" priority="2054" operator="lessThan">
      <formula>20</formula>
    </cfRule>
    <cfRule type="cellIs" dxfId="1" priority="1039" operator="greaterThan">
      <formula>120</formula>
    </cfRule>
    <cfRule type="containsText" dxfId="2" priority="24" operator="between" text="库存为">
      <formula>NOT(ISERROR(SEARCH("库存为",AU997)))</formula>
    </cfRule>
  </conditionalFormatting>
  <conditionalFormatting sqref="AU998">
    <cfRule type="cellIs" dxfId="0" priority="2053" operator="lessThan">
      <formula>20</formula>
    </cfRule>
    <cfRule type="cellIs" dxfId="1" priority="1038" operator="greaterThan">
      <formula>120</formula>
    </cfRule>
    <cfRule type="containsText" dxfId="2" priority="23" operator="between" text="库存为">
      <formula>NOT(ISERROR(SEARCH("库存为",AU998)))</formula>
    </cfRule>
  </conditionalFormatting>
  <conditionalFormatting sqref="AU999">
    <cfRule type="cellIs" dxfId="0" priority="2052" operator="lessThan">
      <formula>20</formula>
    </cfRule>
    <cfRule type="cellIs" dxfId="1" priority="1037" operator="greaterThan">
      <formula>120</formula>
    </cfRule>
    <cfRule type="containsText" dxfId="2" priority="22" operator="between" text="库存为">
      <formula>NOT(ISERROR(SEARCH("库存为",AU999)))</formula>
    </cfRule>
  </conditionalFormatting>
  <conditionalFormatting sqref="AU1000">
    <cfRule type="cellIs" dxfId="0" priority="2051" operator="lessThan">
      <formula>20</formula>
    </cfRule>
    <cfRule type="cellIs" dxfId="1" priority="1036" operator="greaterThan">
      <formula>120</formula>
    </cfRule>
    <cfRule type="containsText" dxfId="2" priority="21" operator="between" text="库存为">
      <formula>NOT(ISERROR(SEARCH("库存为",AU1000)))</formula>
    </cfRule>
  </conditionalFormatting>
  <conditionalFormatting sqref="AU1001">
    <cfRule type="cellIs" dxfId="0" priority="2050" operator="lessThan">
      <formula>20</formula>
    </cfRule>
    <cfRule type="cellIs" dxfId="1" priority="1035" operator="greaterThan">
      <formula>120</formula>
    </cfRule>
    <cfRule type="containsText" dxfId="2" priority="20" operator="between" text="库存为">
      <formula>NOT(ISERROR(SEARCH("库存为",AU1001)))</formula>
    </cfRule>
  </conditionalFormatting>
  <conditionalFormatting sqref="AU1002">
    <cfRule type="cellIs" dxfId="0" priority="2049" operator="lessThan">
      <formula>20</formula>
    </cfRule>
    <cfRule type="cellIs" dxfId="1" priority="1034" operator="greaterThan">
      <formula>120</formula>
    </cfRule>
    <cfRule type="containsText" dxfId="2" priority="19" operator="between" text="库存为">
      <formula>NOT(ISERROR(SEARCH("库存为",AU1002)))</formula>
    </cfRule>
  </conditionalFormatting>
  <conditionalFormatting sqref="AU1003">
    <cfRule type="cellIs" dxfId="0" priority="2048" operator="lessThan">
      <formula>20</formula>
    </cfRule>
    <cfRule type="cellIs" dxfId="1" priority="1033" operator="greaterThan">
      <formula>120</formula>
    </cfRule>
    <cfRule type="containsText" dxfId="2" priority="18" operator="between" text="库存为">
      <formula>NOT(ISERROR(SEARCH("库存为",AU1003)))</formula>
    </cfRule>
  </conditionalFormatting>
  <conditionalFormatting sqref="AU1004">
    <cfRule type="cellIs" dxfId="0" priority="2047" operator="lessThan">
      <formula>20</formula>
    </cfRule>
    <cfRule type="cellIs" dxfId="1" priority="1032" operator="greaterThan">
      <formula>120</formula>
    </cfRule>
    <cfRule type="containsText" dxfId="2" priority="17" operator="between" text="库存为">
      <formula>NOT(ISERROR(SEARCH("库存为",AU1004)))</formula>
    </cfRule>
  </conditionalFormatting>
  <conditionalFormatting sqref="AU1005">
    <cfRule type="cellIs" dxfId="0" priority="2046" operator="lessThan">
      <formula>20</formula>
    </cfRule>
    <cfRule type="cellIs" dxfId="1" priority="1031" operator="greaterThan">
      <formula>120</formula>
    </cfRule>
    <cfRule type="containsText" dxfId="2" priority="16" operator="between" text="库存为">
      <formula>NOT(ISERROR(SEARCH("库存为",AU1005)))</formula>
    </cfRule>
  </conditionalFormatting>
  <conditionalFormatting sqref="AU1006">
    <cfRule type="cellIs" dxfId="0" priority="2045" operator="lessThan">
      <formula>20</formula>
    </cfRule>
    <cfRule type="cellIs" dxfId="1" priority="1030" operator="greaterThan">
      <formula>120</formula>
    </cfRule>
    <cfRule type="containsText" dxfId="2" priority="15" operator="between" text="库存为">
      <formula>NOT(ISERROR(SEARCH("库存为",AU1006)))</formula>
    </cfRule>
  </conditionalFormatting>
  <conditionalFormatting sqref="AU1007">
    <cfRule type="cellIs" dxfId="0" priority="2044" operator="lessThan">
      <formula>20</formula>
    </cfRule>
    <cfRule type="cellIs" dxfId="1" priority="1029" operator="greaterThan">
      <formula>120</formula>
    </cfRule>
    <cfRule type="containsText" dxfId="2" priority="14" operator="between" text="库存为">
      <formula>NOT(ISERROR(SEARCH("库存为",AU1007)))</formula>
    </cfRule>
  </conditionalFormatting>
  <conditionalFormatting sqref="AU1008">
    <cfRule type="cellIs" dxfId="0" priority="2043" operator="lessThan">
      <formula>20</formula>
    </cfRule>
    <cfRule type="cellIs" dxfId="1" priority="1028" operator="greaterThan">
      <formula>120</formula>
    </cfRule>
    <cfRule type="containsText" dxfId="2" priority="13" operator="between" text="库存为">
      <formula>NOT(ISERROR(SEARCH("库存为",AU1008)))</formula>
    </cfRule>
  </conditionalFormatting>
  <conditionalFormatting sqref="AU1009">
    <cfRule type="cellIs" dxfId="0" priority="2042" operator="lessThan">
      <formula>20</formula>
    </cfRule>
    <cfRule type="cellIs" dxfId="1" priority="1027" operator="greaterThan">
      <formula>120</formula>
    </cfRule>
    <cfRule type="containsText" dxfId="2" priority="12" operator="between" text="库存为">
      <formula>NOT(ISERROR(SEARCH("库存为",AU1009)))</formula>
    </cfRule>
  </conditionalFormatting>
  <conditionalFormatting sqref="AU1010">
    <cfRule type="cellIs" dxfId="0" priority="2041" operator="lessThan">
      <formula>20</formula>
    </cfRule>
    <cfRule type="cellIs" dxfId="1" priority="1026" operator="greaterThan">
      <formula>120</formula>
    </cfRule>
    <cfRule type="containsText" dxfId="2" priority="11" operator="between" text="库存为">
      <formula>NOT(ISERROR(SEARCH("库存为",AU1010)))</formula>
    </cfRule>
  </conditionalFormatting>
  <conditionalFormatting sqref="AU1011">
    <cfRule type="cellIs" dxfId="0" priority="2040" operator="lessThan">
      <formula>20</formula>
    </cfRule>
    <cfRule type="cellIs" dxfId="1" priority="1025" operator="greaterThan">
      <formula>120</formula>
    </cfRule>
    <cfRule type="containsText" dxfId="2" priority="10" operator="between" text="库存为">
      <formula>NOT(ISERROR(SEARCH("库存为",AU1011)))</formula>
    </cfRule>
  </conditionalFormatting>
  <conditionalFormatting sqref="AU1012">
    <cfRule type="cellIs" dxfId="0" priority="2039" operator="lessThan">
      <formula>20</formula>
    </cfRule>
    <cfRule type="cellIs" dxfId="1" priority="1024" operator="greaterThan">
      <formula>120</formula>
    </cfRule>
    <cfRule type="containsText" dxfId="2" priority="9" operator="between" text="库存为">
      <formula>NOT(ISERROR(SEARCH("库存为",AU1012)))</formula>
    </cfRule>
  </conditionalFormatting>
  <conditionalFormatting sqref="AU1013">
    <cfRule type="cellIs" dxfId="0" priority="2038" operator="lessThan">
      <formula>20</formula>
    </cfRule>
    <cfRule type="cellIs" dxfId="1" priority="1023" operator="greaterThan">
      <formula>120</formula>
    </cfRule>
    <cfRule type="containsText" dxfId="2" priority="8" operator="between" text="库存为">
      <formula>NOT(ISERROR(SEARCH("库存为",AU1013)))</formula>
    </cfRule>
  </conditionalFormatting>
  <conditionalFormatting sqref="AU1014">
    <cfRule type="cellIs" dxfId="0" priority="2037" operator="lessThan">
      <formula>20</formula>
    </cfRule>
    <cfRule type="cellIs" dxfId="1" priority="1022" operator="greaterThan">
      <formula>120</formula>
    </cfRule>
    <cfRule type="containsText" dxfId="2" priority="7" operator="between" text="库存为">
      <formula>NOT(ISERROR(SEARCH("库存为",AU1014)))</formula>
    </cfRule>
  </conditionalFormatting>
  <conditionalFormatting sqref="AU1015">
    <cfRule type="cellIs" dxfId="0" priority="2036" operator="lessThan">
      <formula>20</formula>
    </cfRule>
    <cfRule type="cellIs" dxfId="1" priority="1021" operator="greaterThan">
      <formula>120</formula>
    </cfRule>
    <cfRule type="containsText" dxfId="2" priority="6" operator="between" text="库存为">
      <formula>NOT(ISERROR(SEARCH("库存为",AU1015)))</formula>
    </cfRule>
  </conditionalFormatting>
  <conditionalFormatting sqref="AU1016">
    <cfRule type="cellIs" dxfId="0" priority="2035" operator="lessThan">
      <formula>20</formula>
    </cfRule>
    <cfRule type="cellIs" dxfId="1" priority="1020" operator="greaterThan">
      <formula>120</formula>
    </cfRule>
    <cfRule type="containsText" dxfId="2" priority="5" operator="between" text="库存为">
      <formula>NOT(ISERROR(SEARCH("库存为",AU1016)))</formula>
    </cfRule>
  </conditionalFormatting>
  <conditionalFormatting sqref="AU1017">
    <cfRule type="cellIs" dxfId="0" priority="2034" operator="lessThan">
      <formula>20</formula>
    </cfRule>
    <cfRule type="cellIs" dxfId="1" priority="1019" operator="greaterThan">
      <formula>120</formula>
    </cfRule>
    <cfRule type="containsText" dxfId="2" priority="4" operator="between" text="库存为">
      <formula>NOT(ISERROR(SEARCH("库存为",AU1017)))</formula>
    </cfRule>
  </conditionalFormatting>
  <conditionalFormatting sqref="AU1018">
    <cfRule type="cellIs" dxfId="0" priority="2033" operator="lessThan">
      <formula>20</formula>
    </cfRule>
    <cfRule type="cellIs" dxfId="1" priority="1018" operator="greaterThan">
      <formula>120</formula>
    </cfRule>
    <cfRule type="containsText" dxfId="2" priority="3" operator="between" text="库存为">
      <formula>NOT(ISERROR(SEARCH("库存为",AU1018)))</formula>
    </cfRule>
  </conditionalFormatting>
  <conditionalFormatting sqref="AU1019">
    <cfRule type="cellIs" dxfId="0" priority="2032" operator="lessThan">
      <formula>20</formula>
    </cfRule>
    <cfRule type="cellIs" dxfId="1" priority="1017" operator="greaterThan">
      <formula>120</formula>
    </cfRule>
    <cfRule type="containsText" dxfId="2" priority="2" operator="between" text="库存为">
      <formula>NOT(ISERROR(SEARCH("库存为",AU1019)))</formula>
    </cfRule>
  </conditionalFormatting>
  <conditionalFormatting sqref="AU1020">
    <cfRule type="cellIs" dxfId="0" priority="2031" operator="lessThan">
      <formula>20</formula>
    </cfRule>
    <cfRule type="cellIs" dxfId="1" priority="1016" operator="greaterThan">
      <formula>120</formula>
    </cfRule>
    <cfRule type="containsText" dxfId="2" priority="1" operator="between" text="库存为">
      <formula>NOT(ISERROR(SEARCH("库存为",AU1020)))</formula>
    </cfRule>
  </conditionalFormatting>
  <conditionalFormatting sqref="AU1021:AU2813">
    <cfRule type="containsText" dxfId="2" priority="19828" operator="between" text="库存为">
      <formula>NOT(ISERROR(SEARCH("库存为",AU1021)))</formula>
    </cfRule>
    <cfRule type="cellIs" dxfId="1" priority="19829" operator="greaterThan">
      <formula>120</formula>
    </cfRule>
    <cfRule type="cellIs" dxfId="0" priority="1983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200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2283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2284</v>
      </c>
      <c r="AI1" s="10"/>
      <c r="AJ1" s="10"/>
      <c r="AK1" s="10"/>
      <c r="AL1" s="10" t="s">
        <v>2285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43290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2018/7/30-2018/8/5</v>
      </c>
      <c r="C3" s="13" t="str">
        <f>TEXT(时间!$B$8,"yyyy/M/d")&amp;"-"&amp;TEXT(时间!$B$7,"yyyy/M/d")</f>
        <v>2018/7/23-2018/7/29</v>
      </c>
      <c r="D3" s="13" t="str">
        <f>TEXT(时间!$B$10,"yyyy/M/d")&amp;"-"&amp;TEXT(时间!$B$9,"yyyy/M/d")</f>
        <v>2018/7/16-2018/7/22</v>
      </c>
      <c r="E3" s="13" t="str">
        <f>TEXT(时间!$B$12,"yyyy/M/d")&amp;"-"&amp;TEXT(时间!$B$11,"yyyy/M/d")</f>
        <v>2018/7/9-2018/7/15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2286</v>
      </c>
      <c r="C4" s="5" t="s">
        <v>2287</v>
      </c>
      <c r="D4" s="5" t="s">
        <v>2288</v>
      </c>
      <c r="E4" s="5" t="s">
        <v>2289</v>
      </c>
      <c r="F4" s="6" t="s">
        <v>20</v>
      </c>
      <c r="G4" t="s">
        <v>21</v>
      </c>
      <c r="H4" t="s">
        <v>22</v>
      </c>
      <c r="I4" t="s">
        <v>2290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43311</v>
      </c>
      <c r="AE4" s="20">
        <f>时间!$B$7</f>
        <v>43310</v>
      </c>
      <c r="AF4" s="20">
        <f>时间!$B$8</f>
        <v>43304</v>
      </c>
      <c r="AG4" s="20">
        <f>时间!$B$9</f>
        <v>43303</v>
      </c>
      <c r="AH4" s="20">
        <f>时间!$B$6</f>
        <v>43311</v>
      </c>
      <c r="AI4" s="20">
        <f>时间!$B$7</f>
        <v>43310</v>
      </c>
      <c r="AJ4" s="20">
        <f>时间!$B$8</f>
        <v>43304</v>
      </c>
      <c r="AK4" s="20">
        <f>时间!$B$9</f>
        <v>43303</v>
      </c>
      <c r="AL4" s="20">
        <f>时间!$B$6</f>
        <v>43311</v>
      </c>
      <c r="AM4" s="20">
        <f>时间!$B$7</f>
        <v>43310</v>
      </c>
      <c r="AN4" s="20">
        <f>时间!$B$8</f>
        <v>43304</v>
      </c>
      <c r="AO4" s="20">
        <f>时间!$B$9</f>
        <v>43303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1926</v>
      </c>
      <c r="C5" s="16">
        <f t="shared" si="14"/>
        <v>1857</v>
      </c>
      <c r="D5" s="16">
        <f t="shared" si="14"/>
        <v>2088</v>
      </c>
      <c r="E5" s="16">
        <f t="shared" si="14"/>
        <v>1150</v>
      </c>
      <c r="F5" s="17"/>
      <c r="G5" s="4">
        <f t="shared" si="14"/>
        <v>10107</v>
      </c>
      <c r="H5" s="4">
        <f t="shared" si="14"/>
        <v>2574</v>
      </c>
      <c r="I5" s="4">
        <f t="shared" si="14"/>
        <v>78</v>
      </c>
      <c r="J5" s="4">
        <f t="shared" si="14"/>
        <v>402</v>
      </c>
      <c r="K5" s="4">
        <f t="shared" si="14"/>
        <v>13161</v>
      </c>
      <c r="L5" s="4">
        <f t="shared" si="14"/>
        <v>175</v>
      </c>
      <c r="M5" s="4">
        <f t="shared" si="14"/>
        <v>3344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1336.61</v>
      </c>
      <c r="AA5" s="4">
        <f>SUM(AA6:AA9998)</f>
        <v>1448.63</v>
      </c>
      <c r="AB5" s="4">
        <f>SUM(AB6:AB9998)</f>
        <v>975.73</v>
      </c>
      <c r="AC5" s="4">
        <f>SUM(AC6:AC9998)</f>
        <v>799.53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1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7</v>
      </c>
      <c r="AI6">
        <f>SUMIF('库存（子SKU）'!$C:$C,$A6,'库存（子SKU）'!AK:AK)</f>
        <v>8</v>
      </c>
      <c r="AJ6">
        <f>SUMIF('库存（子SKU）'!$C:$C,$A6,'库存（子SKU）'!AL:AL)</f>
        <v>6</v>
      </c>
      <c r="AK6">
        <f>SUMIF('库存（子SKU）'!$C:$C,$A6,'库存（子SKU）'!AM:AM)</f>
        <v>8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38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3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3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9</v>
      </c>
      <c r="AI7">
        <f>SUMIF('库存（子SKU）'!$C:$C,$A7,'库存（子SKU）'!AK:AK)</f>
        <v>17</v>
      </c>
      <c r="AJ7">
        <f>SUMIF('库存（子SKU）'!$C:$C,$A7,'库存（子SKU）'!AL:AL)</f>
        <v>16</v>
      </c>
      <c r="AK7">
        <f>SUMIF('库存（子SKU）'!$C:$C,$A7,'库存（子SKU）'!AM:AM)</f>
        <v>3</v>
      </c>
      <c r="AL7" s="22">
        <f t="shared" si="6"/>
        <v>0</v>
      </c>
      <c r="AM7" s="22">
        <f t="shared" si="7"/>
        <v>0</v>
      </c>
      <c r="AN7" s="22">
        <f t="shared" si="8"/>
        <v>0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3</v>
      </c>
      <c r="AS7" t="str">
        <f t="shared" si="13"/>
        <v>库存为3</v>
      </c>
      <c r="AT7" s="2" t="str">
        <f>IFERROR(时间!$B$4+AS7,"上周无销量")</f>
        <v>上周无销量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4</v>
      </c>
      <c r="C9" s="5">
        <f>SUMIF('库存（子SKU）'!$C:$C,$A9,'库存（子SKU）'!E:E)</f>
        <v>10</v>
      </c>
      <c r="D9" s="5">
        <f>SUMIF('库存（子SKU）'!$C:$C,$A9,'库存（子SKU）'!F:F)</f>
        <v>9</v>
      </c>
      <c r="E9" s="5">
        <f>SUMIF('库存（子SKU）'!$C:$C,$A9,'库存（子SKU）'!G:G)</f>
        <v>0</v>
      </c>
      <c r="F9" s="6">
        <v>14.0334782608696</v>
      </c>
      <c r="G9">
        <f>SUMIF('库存（子SKU）'!$C:$C,$A9,'库存（子SKU）'!I:I)</f>
        <v>26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2</v>
      </c>
      <c r="K9">
        <f t="shared" si="0"/>
        <v>28</v>
      </c>
      <c r="L9">
        <f>SUMIF('库存（子SKU）'!$C:$C,$A9,'库存（子SKU）'!N:N)</f>
        <v>0</v>
      </c>
      <c r="M9">
        <f>SUMIF('库存（子SKU）'!$C:$C,$A9,'库存（子SKU）'!O:O)</f>
        <v>29</v>
      </c>
      <c r="N9">
        <f>SUMIF('库存（子SKU）'!$C:$C,$A9,'库存（子SKU）'!P:P)</f>
        <v>3925</v>
      </c>
      <c r="O9">
        <f>SUMIF('库存（子SKU）'!$C:$C,$A9,'库存（子SKU）'!Q:Q)</f>
        <v>2164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21</v>
      </c>
      <c r="S9">
        <f>SUMIF('库存（子SKU）'!$C:$C,$A9,'库存（子SKU）'!U:U)</f>
        <v>17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>
        <f t="shared" si="15"/>
        <v>0.00535031847133758</v>
      </c>
      <c r="W9" s="22">
        <f t="shared" si="16"/>
        <v>0.00785582255083179</v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10.23</v>
      </c>
      <c r="AA9">
        <f>SUMIF('库存（子SKU）'!$C:$C,$A9,'库存（子SKU）'!AC:AC)</f>
        <v>7.2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0.18224277349196</v>
      </c>
      <c r="AE9" s="22">
        <f t="shared" si="3"/>
        <v>0.0513058834464168</v>
      </c>
      <c r="AF9" s="22">
        <f t="shared" si="4"/>
        <v>0</v>
      </c>
      <c r="AG9" s="22" t="str">
        <f t="shared" si="5"/>
        <v/>
      </c>
      <c r="AH9">
        <f>SUMIF('库存（子SKU）'!$C:$C,$A9,'库存（子SKU）'!AJ:AJ)</f>
        <v>174</v>
      </c>
      <c r="AI9">
        <f>SUMIF('库存（子SKU）'!$C:$C,$A9,'库存（子SKU）'!AK:AK)</f>
        <v>382</v>
      </c>
      <c r="AJ9">
        <f>SUMIF('库存（子SKU）'!$C:$C,$A9,'库存（子SKU）'!AL:AL)</f>
        <v>157</v>
      </c>
      <c r="AK9">
        <f>SUMIF('库存（子SKU）'!$C:$C,$A9,'库存（子SKU）'!AM:AM)</f>
        <v>19</v>
      </c>
      <c r="AL9" s="22">
        <f t="shared" si="6"/>
        <v>0.0229885057471264</v>
      </c>
      <c r="AM9" s="22">
        <f t="shared" si="7"/>
        <v>0.0261780104712042</v>
      </c>
      <c r="AN9" s="22">
        <f t="shared" si="8"/>
        <v>0.0573248407643312</v>
      </c>
      <c r="AO9" s="22">
        <f t="shared" si="9"/>
        <v>0</v>
      </c>
      <c r="AP9" s="7">
        <f t="shared" si="10"/>
        <v>0.571428571428571</v>
      </c>
      <c r="AQ9" s="7">
        <f t="shared" si="11"/>
        <v>34.2857142857143</v>
      </c>
      <c r="AR9" s="7">
        <f t="shared" si="12"/>
        <v>-6.28571428571428</v>
      </c>
      <c r="AS9">
        <f t="shared" si="13"/>
        <v>49</v>
      </c>
      <c r="AT9" s="2">
        <f>IFERROR(时间!$B$4+AS9,"上周无销量")</f>
        <v>43367</v>
      </c>
    </row>
    <row r="10" spans="1:46">
      <c r="A10" t="s">
        <v>72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89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17</v>
      </c>
      <c r="AI10">
        <f>SUMIF('库存（子SKU）'!$C:$C,$A10,'库存（子SKU）'!AK:AK)</f>
        <v>16</v>
      </c>
      <c r="AJ10">
        <f>SUMIF('库存（子SKU）'!$C:$C,$A10,'库存（子SKU）'!AL:AL)</f>
        <v>37</v>
      </c>
      <c r="AK10">
        <f>SUMIF('库存（子SKU）'!$C:$C,$A10,'库存（子SKU）'!AM:AM)</f>
        <v>56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103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53</v>
      </c>
      <c r="G11">
        <f>SUMIF('库存（子SKU）'!$C:$C,$A11,'库存（子SKU）'!I:I)</f>
        <v>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6</v>
      </c>
      <c r="L11">
        <f>SUMIF('库存（子SKU）'!$C:$C,$A11,'库存（子SKU）'!N:N)</f>
        <v>1</v>
      </c>
      <c r="M11">
        <f>SUMIF('库存（子SKU）'!$C:$C,$A11,'库存（子SKU）'!O:O)</f>
        <v>6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 t="str">
        <f t="shared" si="3"/>
        <v/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10</v>
      </c>
      <c r="AI11">
        <f>SUMIF('库存（子SKU）'!$C:$C,$A11,'库存（子SKU）'!AK:AK)</f>
        <v>7</v>
      </c>
      <c r="AJ11">
        <f>SUMIF('库存（子SKU）'!$C:$C,$A11,'库存（子SKU）'!AL:AL)</f>
        <v>5</v>
      </c>
      <c r="AK11">
        <f>SUMIF('库存（子SKU）'!$C:$C,$A11,'库存（子SKU）'!AM:AM)</f>
        <v>13</v>
      </c>
      <c r="AL11" s="22">
        <f t="shared" si="6"/>
        <v>0</v>
      </c>
      <c r="AM11" s="22">
        <f t="shared" si="7"/>
        <v>0</v>
      </c>
      <c r="AN11" s="22">
        <f t="shared" si="8"/>
        <v>0</v>
      </c>
      <c r="AO11" s="22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6</v>
      </c>
      <c r="AS11" t="str">
        <f t="shared" si="13"/>
        <v>库存为6</v>
      </c>
      <c r="AT11" s="2" t="str">
        <f>IFERROR(时间!$B$4+AS11,"上周无销量")</f>
        <v>上周无销量</v>
      </c>
    </row>
    <row r="12" spans="1:46">
      <c r="A12" t="s">
        <v>110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14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14</v>
      </c>
      <c r="L12">
        <f>SUMIF('库存（子SKU）'!$C:$C,$A12,'库存（子SKU）'!N:N)</f>
        <v>0</v>
      </c>
      <c r="M12">
        <f>SUMIF('库存（子SKU）'!$C:$C,$A12,'库存（子SKU）'!O:O)</f>
        <v>15</v>
      </c>
      <c r="N12">
        <f>SUMIF('库存（子SKU）'!$C:$C,$A12,'库存（子SKU）'!P:P)</f>
        <v>1080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>
        <f t="shared" si="15"/>
        <v>0</v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19</v>
      </c>
      <c r="AI12">
        <f>SUMIF('库存（子SKU）'!$C:$C,$A12,'库存（子SKU）'!AK:AK)</f>
        <v>8</v>
      </c>
      <c r="AJ12">
        <f>SUMIF('库存（子SKU）'!$C:$C,$A12,'库存（子SKU）'!AL:AL)</f>
        <v>26</v>
      </c>
      <c r="AK12">
        <f>SUMIF('库存（子SKU）'!$C:$C,$A12,'库存（子SKU）'!AM:AM)</f>
        <v>20</v>
      </c>
      <c r="AL12" s="22">
        <f t="shared" si="6"/>
        <v>0</v>
      </c>
      <c r="AM12" s="22">
        <f t="shared" si="7"/>
        <v>0</v>
      </c>
      <c r="AN12" s="22">
        <f t="shared" si="8"/>
        <v>0</v>
      </c>
      <c r="AO12" s="22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14</v>
      </c>
      <c r="AS12" t="str">
        <f t="shared" si="13"/>
        <v>库存为14</v>
      </c>
      <c r="AT12" s="2" t="str">
        <f>IFERROR(时间!$B$4+AS12,"上周无销量")</f>
        <v>上周无销量</v>
      </c>
    </row>
    <row r="13" spans="1:46">
      <c r="A13" t="s">
        <v>115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18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122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125</v>
      </c>
      <c r="B15" s="5">
        <f>SUMIF('库存（子SKU）'!$C:$C,$A15,'库存（子SKU）'!D:D)</f>
        <v>1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>
        <v>18.99</v>
      </c>
      <c r="G15">
        <f>SUMIF('库存（子SKU）'!$C:$C,$A15,'库存（子SKU）'!I:I)</f>
        <v>7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7</v>
      </c>
      <c r="L15">
        <f>SUMIF('库存（子SKU）'!$C:$C,$A15,'库存（子SKU）'!N:N)</f>
        <v>0</v>
      </c>
      <c r="M15">
        <f>SUMIF('库存（子SKU）'!$C:$C,$A15,'库存（子SKU）'!O:O)</f>
        <v>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>
        <f t="shared" si="2"/>
        <v>0</v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4</v>
      </c>
      <c r="AI15">
        <f>SUMIF('库存（子SKU）'!$C:$C,$A15,'库存（子SKU）'!AK:AK)</f>
        <v>2</v>
      </c>
      <c r="AJ15">
        <f>SUMIF('库存（子SKU）'!$C:$C,$A15,'库存（子SKU）'!AL:AL)</f>
        <v>2</v>
      </c>
      <c r="AK15">
        <f>SUMIF('库存（子SKU）'!$C:$C,$A15,'库存（子SKU）'!AM:AM)</f>
        <v>3</v>
      </c>
      <c r="AL15" s="22">
        <f t="shared" si="6"/>
        <v>0.25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0.142857142857143</v>
      </c>
      <c r="AQ15" s="7">
        <f t="shared" si="11"/>
        <v>8.57142857142857</v>
      </c>
      <c r="AR15" s="7">
        <f t="shared" si="12"/>
        <v>-1.57142857142857</v>
      </c>
      <c r="AS15">
        <f t="shared" si="13"/>
        <v>49</v>
      </c>
      <c r="AT15" s="2">
        <f>IFERROR(时间!$B$4+AS15,"上周无销量")</f>
        <v>43367</v>
      </c>
    </row>
    <row r="16" spans="1:46">
      <c r="A16" t="s">
        <v>132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1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4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2" t="str">
        <f t="shared" si="6"/>
        <v/>
      </c>
      <c r="AM16" s="22">
        <f t="shared" si="7"/>
        <v>0</v>
      </c>
      <c r="AN16" s="22" t="str">
        <f t="shared" si="8"/>
        <v/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1</v>
      </c>
      <c r="AS16" t="str">
        <f t="shared" si="13"/>
        <v>库存为1</v>
      </c>
      <c r="AT16" s="2" t="str">
        <f>IFERROR(时间!$B$4+AS16,"上周无销量")</f>
        <v>上周无销量</v>
      </c>
    </row>
    <row r="17" spans="1:46">
      <c r="A17" t="s">
        <v>144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4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>
        <f t="shared" si="7"/>
        <v>0</v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150</v>
      </c>
      <c r="B18" s="5">
        <f>SUMIF('库存（子SKU）'!$C:$C,$A18,'库存（子SKU）'!D:D)</f>
        <v>4</v>
      </c>
      <c r="C18" s="5">
        <f>SUMIF('库存（子SKU）'!$C:$C,$A18,'库存（子SKU）'!E:E)</f>
        <v>1</v>
      </c>
      <c r="D18" s="5">
        <f>SUMIF('库存（子SKU）'!$C:$C,$A18,'库存（子SKU）'!F:F)</f>
        <v>1</v>
      </c>
      <c r="E18" s="5">
        <f>SUMIF('库存（子SKU）'!$C:$C,$A18,'库存（子SKU）'!G:G)</f>
        <v>2</v>
      </c>
      <c r="F18" s="6">
        <v>9.99</v>
      </c>
      <c r="G18">
        <f>SUMIF('库存（子SKU）'!$C:$C,$A18,'库存（子SKU）'!I:I)</f>
        <v>57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3</v>
      </c>
      <c r="K18">
        <f t="shared" si="0"/>
        <v>60</v>
      </c>
      <c r="L18">
        <f>SUMIF('库存（子SKU）'!$C:$C,$A18,'库存（子SKU）'!N:N)</f>
        <v>0</v>
      </c>
      <c r="M18">
        <f>SUMIF('库存（子SKU）'!$C:$C,$A18,'库存（子SKU）'!O:O)</f>
        <v>60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>
        <f t="shared" si="2"/>
        <v>0</v>
      </c>
      <c r="AE18" s="22">
        <f t="shared" si="3"/>
        <v>0</v>
      </c>
      <c r="AF18" s="22">
        <f t="shared" si="4"/>
        <v>0</v>
      </c>
      <c r="AG18" s="22">
        <f t="shared" si="5"/>
        <v>0</v>
      </c>
      <c r="AH18">
        <f>SUMIF('库存（子SKU）'!$C:$C,$A18,'库存（子SKU）'!AJ:AJ)</f>
        <v>30</v>
      </c>
      <c r="AI18">
        <f>SUMIF('库存（子SKU）'!$C:$C,$A18,'库存（子SKU）'!AK:AK)</f>
        <v>22</v>
      </c>
      <c r="AJ18">
        <f>SUMIF('库存（子SKU）'!$C:$C,$A18,'库存（子SKU）'!AL:AL)</f>
        <v>14</v>
      </c>
      <c r="AK18">
        <f>SUMIF('库存（子SKU）'!$C:$C,$A18,'库存（子SKU）'!AM:AM)</f>
        <v>11</v>
      </c>
      <c r="AL18" s="22">
        <f t="shared" si="6"/>
        <v>0.133333333333333</v>
      </c>
      <c r="AM18" s="22">
        <f t="shared" si="7"/>
        <v>0.0454545454545455</v>
      </c>
      <c r="AN18" s="22">
        <f t="shared" si="8"/>
        <v>0.0714285714285714</v>
      </c>
      <c r="AO18" s="22">
        <f t="shared" si="9"/>
        <v>0.181818181818182</v>
      </c>
      <c r="AP18" s="7">
        <f t="shared" si="10"/>
        <v>0.571428571428571</v>
      </c>
      <c r="AQ18" s="7">
        <f t="shared" si="11"/>
        <v>34.2857142857143</v>
      </c>
      <c r="AR18" s="7">
        <f t="shared" si="12"/>
        <v>25.7142857142857</v>
      </c>
      <c r="AS18">
        <f t="shared" si="13"/>
        <v>105</v>
      </c>
      <c r="AT18" s="2">
        <f>IFERROR(时间!$B$4+AS18,"上周无销量")</f>
        <v>43423</v>
      </c>
    </row>
    <row r="19" spans="1:46">
      <c r="A19" t="s">
        <v>154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26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26</v>
      </c>
      <c r="L19">
        <f>SUMIF('库存（子SKU）'!$C:$C,$A19,'库存（子SKU）'!N:N)</f>
        <v>0</v>
      </c>
      <c r="M19">
        <f>SUMIF('库存（子SKU）'!$C:$C,$A19,'库存（子SKU）'!O:O)</f>
        <v>26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13</v>
      </c>
      <c r="AI19">
        <f>SUMIF('库存（子SKU）'!$C:$C,$A19,'库存（子SKU）'!AK:AK)</f>
        <v>29</v>
      </c>
      <c r="AJ19">
        <f>SUMIF('库存（子SKU）'!$C:$C,$A19,'库存（子SKU）'!AL:AL)</f>
        <v>20</v>
      </c>
      <c r="AK19">
        <f>SUMIF('库存（子SKU）'!$C:$C,$A19,'库存（子SKU）'!AM:AM)</f>
        <v>19</v>
      </c>
      <c r="AL19" s="22">
        <f t="shared" si="6"/>
        <v>0</v>
      </c>
      <c r="AM19" s="22">
        <f t="shared" si="7"/>
        <v>0</v>
      </c>
      <c r="AN19" s="22">
        <f t="shared" si="8"/>
        <v>0</v>
      </c>
      <c r="AO19" s="22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26</v>
      </c>
      <c r="AS19" t="str">
        <f t="shared" si="13"/>
        <v>库存为26</v>
      </c>
      <c r="AT19" s="2" t="str">
        <f>IFERROR(时间!$B$4+AS19,"上周无销量")</f>
        <v>上周无销量</v>
      </c>
    </row>
    <row r="20" spans="1:46">
      <c r="A20" t="s">
        <v>173</v>
      </c>
      <c r="B20" s="5">
        <f>SUMIF('库存（子SKU）'!$C:$C,$A20,'库存（子SKU）'!D:D)</f>
        <v>1</v>
      </c>
      <c r="C20" s="5">
        <f>SUMIF('库存（子SKU）'!$C:$C,$A20,'库存（子SKU）'!E:E)</f>
        <v>2</v>
      </c>
      <c r="D20" s="5">
        <f>SUMIF('库存（子SKU）'!$C:$C,$A20,'库存（子SKU）'!F:F)</f>
        <v>1</v>
      </c>
      <c r="E20" s="5">
        <f>SUMIF('库存（子SKU）'!$C:$C,$A20,'库存（子SKU）'!G:G)</f>
        <v>0</v>
      </c>
      <c r="F20" s="6">
        <v>22.7275</v>
      </c>
      <c r="G20">
        <f>SUMIF('库存（子SKU）'!$C:$C,$A20,'库存（子SKU）'!I:I)</f>
        <v>120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3</v>
      </c>
      <c r="K20">
        <f t="shared" si="0"/>
        <v>123</v>
      </c>
      <c r="L20">
        <f>SUMIF('库存（子SKU）'!$C:$C,$A20,'库存（子SKU）'!N:N)</f>
        <v>0</v>
      </c>
      <c r="M20">
        <f>SUMIF('库存（子SKU）'!$C:$C,$A20,'库存（子SKU）'!O:O)</f>
        <v>123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>
        <f t="shared" si="3"/>
        <v>0</v>
      </c>
      <c r="AF20" s="22">
        <f t="shared" si="4"/>
        <v>0</v>
      </c>
      <c r="AG20" s="22" t="str">
        <f t="shared" si="5"/>
        <v/>
      </c>
      <c r="AH20">
        <f>SUMIF('库存（子SKU）'!$C:$C,$A20,'库存（子SKU）'!AJ:AJ)</f>
        <v>59</v>
      </c>
      <c r="AI20">
        <f>SUMIF('库存（子SKU）'!$C:$C,$A20,'库存（子SKU）'!AK:AK)</f>
        <v>46</v>
      </c>
      <c r="AJ20">
        <f>SUMIF('库存（子SKU）'!$C:$C,$A20,'库存（子SKU）'!AL:AL)</f>
        <v>42</v>
      </c>
      <c r="AK20">
        <f>SUMIF('库存（子SKU）'!$C:$C,$A20,'库存（子SKU）'!AM:AM)</f>
        <v>20</v>
      </c>
      <c r="AL20" s="22">
        <f t="shared" si="6"/>
        <v>0.0169491525423729</v>
      </c>
      <c r="AM20" s="22">
        <f t="shared" si="7"/>
        <v>0.0434782608695652</v>
      </c>
      <c r="AN20" s="22">
        <f t="shared" si="8"/>
        <v>0.0238095238095238</v>
      </c>
      <c r="AO20" s="22">
        <f t="shared" si="9"/>
        <v>0</v>
      </c>
      <c r="AP20" s="7">
        <f t="shared" si="10"/>
        <v>0.142857142857143</v>
      </c>
      <c r="AQ20" s="7">
        <f t="shared" si="11"/>
        <v>8.57142857142857</v>
      </c>
      <c r="AR20" s="7">
        <f t="shared" si="12"/>
        <v>114.428571428571</v>
      </c>
      <c r="AS20">
        <f t="shared" si="13"/>
        <v>861</v>
      </c>
      <c r="AT20" s="2">
        <f>IFERROR(时间!$B$4+AS20,"上周无销量")</f>
        <v>44179</v>
      </c>
    </row>
    <row r="21" spans="1:46">
      <c r="A21" t="s">
        <v>190</v>
      </c>
      <c r="B21" s="5">
        <f>SUMIF('库存（子SKU）'!$C:$C,$A21,'库存（子SKU）'!D:D)</f>
        <v>1</v>
      </c>
      <c r="C21" s="5">
        <f>SUMIF('库存（子SKU）'!$C:$C,$A21,'库存（子SKU）'!E:E)</f>
        <v>1</v>
      </c>
      <c r="D21" s="5">
        <f>SUMIF('库存（子SKU）'!$C:$C,$A21,'库存（子SKU）'!F:F)</f>
        <v>4</v>
      </c>
      <c r="E21" s="5">
        <f>SUMIF('库存（子SKU）'!$C:$C,$A21,'库存（子SKU）'!G:G)</f>
        <v>2</v>
      </c>
      <c r="F21" s="6">
        <v>20.615</v>
      </c>
      <c r="G21">
        <f>SUMIF('库存（子SKU）'!$C:$C,$A21,'库存（子SKU）'!I:I)</f>
        <v>125</v>
      </c>
      <c r="H21">
        <f>SUMIF('库存（子SKU）'!$C:$C,$A21,'库存（子SKU）'!J:J)</f>
        <v>0</v>
      </c>
      <c r="I21">
        <f>SUMIF('库存（子SKU）'!$C:$C,$A21,'库存（子SKU）'!K:K)</f>
        <v>1</v>
      </c>
      <c r="J21">
        <f>SUMIF('库存（子SKU）'!$C:$C,$A21,'库存（子SKU）'!L:L)</f>
        <v>0</v>
      </c>
      <c r="K21">
        <f t="shared" si="0"/>
        <v>126</v>
      </c>
      <c r="L21">
        <f>SUMIF('库存（子SKU）'!$C:$C,$A21,'库存（子SKU）'!N:N)</f>
        <v>1</v>
      </c>
      <c r="M21">
        <f>SUMIF('库存（子SKU）'!$C:$C,$A21,'库存（子SKU）'!O:O)</f>
        <v>108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>
        <f t="shared" si="2"/>
        <v>0</v>
      </c>
      <c r="AE21" s="22">
        <f t="shared" si="3"/>
        <v>0</v>
      </c>
      <c r="AF21" s="22">
        <f t="shared" si="4"/>
        <v>0</v>
      </c>
      <c r="AG21" s="22">
        <f t="shared" si="5"/>
        <v>0</v>
      </c>
      <c r="AH21">
        <f>SUMIF('库存（子SKU）'!$C:$C,$A21,'库存（子SKU）'!AJ:AJ)</f>
        <v>112</v>
      </c>
      <c r="AI21">
        <f>SUMIF('库存（子SKU）'!$C:$C,$A21,'库存（子SKU）'!AK:AK)</f>
        <v>100</v>
      </c>
      <c r="AJ21">
        <f>SUMIF('库存（子SKU）'!$C:$C,$A21,'库存（子SKU）'!AL:AL)</f>
        <v>70</v>
      </c>
      <c r="AK21">
        <f>SUMIF('库存（子SKU）'!$C:$C,$A21,'库存（子SKU）'!AM:AM)</f>
        <v>72</v>
      </c>
      <c r="AL21" s="22">
        <f t="shared" si="6"/>
        <v>0.00892857142857143</v>
      </c>
      <c r="AM21" s="22">
        <f t="shared" si="7"/>
        <v>0.01</v>
      </c>
      <c r="AN21" s="22">
        <f t="shared" si="8"/>
        <v>0.0571428571428571</v>
      </c>
      <c r="AO21" s="22">
        <f t="shared" si="9"/>
        <v>0.0277777777777778</v>
      </c>
      <c r="AP21" s="7">
        <f t="shared" si="10"/>
        <v>0.142857142857143</v>
      </c>
      <c r="AQ21" s="7">
        <f t="shared" si="11"/>
        <v>8.57142857142857</v>
      </c>
      <c r="AR21" s="7">
        <f t="shared" si="12"/>
        <v>117.428571428571</v>
      </c>
      <c r="AS21">
        <f t="shared" si="13"/>
        <v>882</v>
      </c>
      <c r="AT21" s="2">
        <f>IFERROR(时间!$B$4+AS21,"上周无销量")</f>
        <v>44200</v>
      </c>
    </row>
    <row r="22" spans="1:46">
      <c r="A22" t="s">
        <v>207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32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1</v>
      </c>
      <c r="K22">
        <f t="shared" si="0"/>
        <v>33</v>
      </c>
      <c r="L22">
        <f>SUMIF('库存（子SKU）'!$C:$C,$A22,'库存（子SKU）'!N:N)</f>
        <v>0</v>
      </c>
      <c r="M22">
        <f>SUMIF('库存（子SKU）'!$C:$C,$A22,'库存（子SKU）'!O:O)</f>
        <v>33</v>
      </c>
      <c r="N22">
        <f>SUMIF('库存（子SKU）'!$C:$C,$A22,'库存（子SKU）'!P:P)</f>
        <v>117</v>
      </c>
      <c r="O22">
        <f>SUMIF('库存（子SKU）'!$C:$C,$A22,'库存（子SKU）'!Q:Q)</f>
        <v>144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1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>
        <f t="shared" si="15"/>
        <v>0</v>
      </c>
      <c r="W22" s="22">
        <f t="shared" si="16"/>
        <v>0.00694444444444444</v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0.45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>无销量广告费为0.45</v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5</v>
      </c>
      <c r="AI22">
        <f>SUMIF('库存（子SKU）'!$C:$C,$A22,'库存（子SKU）'!AK:AK)</f>
        <v>7</v>
      </c>
      <c r="AJ22">
        <f>SUMIF('库存（子SKU）'!$C:$C,$A22,'库存（子SKU）'!AL:AL)</f>
        <v>9</v>
      </c>
      <c r="AK22">
        <f>SUMIF('库存（子SKU）'!$C:$C,$A22,'库存（子SKU）'!AM:AM)</f>
        <v>13</v>
      </c>
      <c r="AL22" s="22">
        <f t="shared" si="6"/>
        <v>0</v>
      </c>
      <c r="AM22" s="22">
        <f t="shared" si="7"/>
        <v>0</v>
      </c>
      <c r="AN22" s="22">
        <f t="shared" si="8"/>
        <v>0</v>
      </c>
      <c r="AO22" s="22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33</v>
      </c>
      <c r="AS22" t="str">
        <f t="shared" si="13"/>
        <v>库存为33</v>
      </c>
      <c r="AT22" s="2" t="str">
        <f>IFERROR(时间!$B$4+AS22,"上周无销量")</f>
        <v>上周无销量</v>
      </c>
    </row>
    <row r="23" spans="1:46">
      <c r="A23" t="s">
        <v>215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">
        <v>53</v>
      </c>
      <c r="G23">
        <f>SUMIF('库存（子SKU）'!$C:$C,$A23,'库存（子SKU）'!I:I)</f>
        <v>123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3</v>
      </c>
      <c r="K23">
        <f t="shared" si="0"/>
        <v>126</v>
      </c>
      <c r="L23">
        <f>SUMIF('库存（子SKU）'!$C:$C,$A23,'库存（子SKU）'!N:N)</f>
        <v>0</v>
      </c>
      <c r="M23">
        <f>SUMIF('库存（子SKU）'!$C:$C,$A23,'库存（子SKU）'!O:O)</f>
        <v>125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 t="str">
        <f t="shared" si="3"/>
        <v/>
      </c>
      <c r="AF23" s="22" t="str">
        <f t="shared" si="4"/>
        <v/>
      </c>
      <c r="AG23" s="22" t="str">
        <f t="shared" si="5"/>
        <v/>
      </c>
      <c r="AH23">
        <f>SUMIF('库存（子SKU）'!$C:$C,$A23,'库存（子SKU）'!AJ:AJ)</f>
        <v>27</v>
      </c>
      <c r="AI23">
        <f>SUMIF('库存（子SKU）'!$C:$C,$A23,'库存（子SKU）'!AK:AK)</f>
        <v>63</v>
      </c>
      <c r="AJ23">
        <f>SUMIF('库存（子SKU）'!$C:$C,$A23,'库存（子SKU）'!AL:AL)</f>
        <v>29</v>
      </c>
      <c r="AK23">
        <f>SUMIF('库存（子SKU）'!$C:$C,$A23,'库存（子SKU）'!AM:AM)</f>
        <v>63</v>
      </c>
      <c r="AL23" s="22">
        <f t="shared" si="6"/>
        <v>0</v>
      </c>
      <c r="AM23" s="22">
        <f t="shared" si="7"/>
        <v>0</v>
      </c>
      <c r="AN23" s="22">
        <f t="shared" si="8"/>
        <v>0</v>
      </c>
      <c r="AO23" s="22">
        <f t="shared" si="9"/>
        <v>0</v>
      </c>
      <c r="AP23" s="7">
        <f t="shared" si="10"/>
        <v>0</v>
      </c>
      <c r="AQ23" s="7">
        <f t="shared" si="11"/>
        <v>0</v>
      </c>
      <c r="AR23" s="7">
        <f t="shared" si="12"/>
        <v>126</v>
      </c>
      <c r="AS23" t="str">
        <f t="shared" si="13"/>
        <v>库存为126</v>
      </c>
      <c r="AT23" s="2" t="str">
        <f>IFERROR(时间!$B$4+AS23,"上周无销量")</f>
        <v>上周无销量</v>
      </c>
    </row>
    <row r="24" spans="1:46">
      <c r="A24" t="s">
        <v>262</v>
      </c>
      <c r="B24" s="5">
        <f>SUMIF('库存（子SKU）'!$C:$C,$A24,'库存（子SKU）'!D:D)</f>
        <v>1</v>
      </c>
      <c r="C24" s="5">
        <f>SUMIF('库存（子SKU）'!$C:$C,$A24,'库存（子SKU）'!E:E)</f>
        <v>1</v>
      </c>
      <c r="D24" s="5">
        <f>SUMIF('库存（子SKU）'!$C:$C,$A24,'库存（子SKU）'!F:F)</f>
        <v>0</v>
      </c>
      <c r="E24" s="5">
        <f>SUMIF('库存（子SKU）'!$C:$C,$A24,'库存（子SKU）'!G:G)</f>
        <v>2</v>
      </c>
      <c r="F24" s="6">
        <v>8.99</v>
      </c>
      <c r="G24">
        <f>SUMIF('库存（子SKU）'!$C:$C,$A24,'库存（子SKU）'!I:I)</f>
        <v>81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81</v>
      </c>
      <c r="L24">
        <f>SUMIF('库存（子SKU）'!$C:$C,$A24,'库存（子SKU）'!N:N)</f>
        <v>0</v>
      </c>
      <c r="M24">
        <f>SUMIF('库存（子SKU）'!$C:$C,$A24,'库存（子SKU）'!O:O)</f>
        <v>78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>
        <f t="shared" si="2"/>
        <v>0</v>
      </c>
      <c r="AE24" s="22">
        <f t="shared" si="3"/>
        <v>0</v>
      </c>
      <c r="AF24" s="22" t="str">
        <f t="shared" si="4"/>
        <v/>
      </c>
      <c r="AG24" s="22">
        <f t="shared" si="5"/>
        <v>0</v>
      </c>
      <c r="AH24">
        <f>SUMIF('库存（子SKU）'!$C:$C,$A24,'库存（子SKU）'!AJ:AJ)</f>
        <v>2</v>
      </c>
      <c r="AI24">
        <f>SUMIF('库存（子SKU）'!$C:$C,$A24,'库存（子SKU）'!AK:AK)</f>
        <v>5</v>
      </c>
      <c r="AJ24">
        <f>SUMIF('库存（子SKU）'!$C:$C,$A24,'库存（子SKU）'!AL:AL)</f>
        <v>7</v>
      </c>
      <c r="AK24">
        <f>SUMIF('库存（子SKU）'!$C:$C,$A24,'库存（子SKU）'!AM:AM)</f>
        <v>8</v>
      </c>
      <c r="AL24" s="22">
        <f t="shared" si="6"/>
        <v>0.5</v>
      </c>
      <c r="AM24" s="22">
        <f t="shared" si="7"/>
        <v>0.2</v>
      </c>
      <c r="AN24" s="22">
        <f t="shared" si="8"/>
        <v>0</v>
      </c>
      <c r="AO24" s="22">
        <f t="shared" si="9"/>
        <v>0.25</v>
      </c>
      <c r="AP24" s="7">
        <f t="shared" si="10"/>
        <v>0.142857142857143</v>
      </c>
      <c r="AQ24" s="7">
        <f t="shared" si="11"/>
        <v>8.57142857142857</v>
      </c>
      <c r="AR24" s="7">
        <f t="shared" si="12"/>
        <v>72.4285714285714</v>
      </c>
      <c r="AS24">
        <f t="shared" si="13"/>
        <v>567</v>
      </c>
      <c r="AT24" s="2">
        <f>IFERROR(时间!$B$4+AS24,"上周无销量")</f>
        <v>43885</v>
      </c>
    </row>
    <row r="25" spans="1:46">
      <c r="A25" t="s">
        <v>266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53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2" t="str">
        <f t="shared" si="6"/>
        <v/>
      </c>
      <c r="AM25" s="22" t="str">
        <f t="shared" si="7"/>
        <v/>
      </c>
      <c r="AN25" s="22" t="str">
        <f t="shared" si="8"/>
        <v/>
      </c>
      <c r="AO25" s="22" t="str">
        <f t="shared" si="9"/>
        <v/>
      </c>
      <c r="AP25" s="7">
        <f t="shared" si="10"/>
        <v>0</v>
      </c>
      <c r="AQ25" s="7">
        <f t="shared" si="11"/>
        <v>0</v>
      </c>
      <c r="AR25" s="7">
        <f t="shared" si="12"/>
        <v>0</v>
      </c>
      <c r="AS25" t="str">
        <f t="shared" si="13"/>
        <v>库存为0</v>
      </c>
      <c r="AT25" s="2" t="str">
        <f>IFERROR(时间!$B$4+AS25,"上周无销量")</f>
        <v>上周无销量</v>
      </c>
    </row>
    <row r="26" spans="1:46">
      <c r="A26" t="s">
        <v>275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">
        <v>53</v>
      </c>
      <c r="G26">
        <f>SUMIF('库存（子SKU）'!$C:$C,$A26,'库存（子SKU）'!I:I)</f>
        <v>19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19</v>
      </c>
      <c r="L26">
        <f>SUMIF('库存（子SKU）'!$C:$C,$A26,'库存（子SKU）'!N:N)</f>
        <v>0</v>
      </c>
      <c r="M26">
        <f>SUMIF('库存（子SKU）'!$C:$C,$A26,'库存（子SKU）'!O:O)</f>
        <v>19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 t="str">
        <f t="shared" si="2"/>
        <v/>
      </c>
      <c r="AE26" s="22" t="str">
        <f t="shared" si="3"/>
        <v/>
      </c>
      <c r="AF26" s="22" t="str">
        <f t="shared" si="4"/>
        <v/>
      </c>
      <c r="AG26" s="22" t="str">
        <f t="shared" si="5"/>
        <v/>
      </c>
      <c r="AH26">
        <f>SUMIF('库存（子SKU）'!$C:$C,$A26,'库存（子SKU）'!AJ:AJ)</f>
        <v>9</v>
      </c>
      <c r="AI26">
        <f>SUMIF('库存（子SKU）'!$C:$C,$A26,'库存（子SKU）'!AK:AK)</f>
        <v>11</v>
      </c>
      <c r="AJ26">
        <f>SUMIF('库存（子SKU）'!$C:$C,$A26,'库存（子SKU）'!AL:AL)</f>
        <v>18</v>
      </c>
      <c r="AK26">
        <f>SUMIF('库存（子SKU）'!$C:$C,$A26,'库存（子SKU）'!AM:AM)</f>
        <v>12</v>
      </c>
      <c r="AL26" s="22">
        <f t="shared" si="6"/>
        <v>0</v>
      </c>
      <c r="AM26" s="22">
        <f t="shared" si="7"/>
        <v>0</v>
      </c>
      <c r="AN26" s="22">
        <f t="shared" si="8"/>
        <v>0</v>
      </c>
      <c r="AO26" s="22">
        <f t="shared" si="9"/>
        <v>0</v>
      </c>
      <c r="AP26" s="7">
        <f t="shared" si="10"/>
        <v>0</v>
      </c>
      <c r="AQ26" s="7">
        <f t="shared" si="11"/>
        <v>0</v>
      </c>
      <c r="AR26" s="7">
        <f t="shared" si="12"/>
        <v>19</v>
      </c>
      <c r="AS26" t="str">
        <f t="shared" si="13"/>
        <v>库存为19</v>
      </c>
      <c r="AT26" s="2" t="str">
        <f>IFERROR(时间!$B$4+AS26,"上周无销量")</f>
        <v>上周无销量</v>
      </c>
    </row>
    <row r="27" spans="1:46">
      <c r="A27" t="s">
        <v>284</v>
      </c>
      <c r="B27" s="5">
        <f>SUMIF('库存（子SKU）'!$C:$C,$A27,'库存（子SKU）'!D:D)</f>
        <v>0</v>
      </c>
      <c r="C27" s="5">
        <f>SUMIF('库存（子SKU）'!$C:$C,$A27,'库存（子SKU）'!E:E)</f>
        <v>6</v>
      </c>
      <c r="D27" s="5">
        <f>SUMIF('库存（子SKU）'!$C:$C,$A27,'库存（子SKU）'!F:F)</f>
        <v>1</v>
      </c>
      <c r="E27" s="5">
        <f>SUMIF('库存（子SKU）'!$C:$C,$A27,'库存（子SKU）'!G:G)</f>
        <v>2</v>
      </c>
      <c r="F27" s="6">
        <v>21.98</v>
      </c>
      <c r="G27">
        <f>SUMIF('库存（子SKU）'!$C:$C,$A27,'库存（子SKU）'!I:I)</f>
        <v>11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11</v>
      </c>
      <c r="L27">
        <f>SUMIF('库存（子SKU）'!$C:$C,$A27,'库存（子SKU）'!N:N)</f>
        <v>0</v>
      </c>
      <c r="M27">
        <f>SUMIF('库存（子SKU）'!$C:$C,$A27,'库存（子SKU）'!O:O)</f>
        <v>12</v>
      </c>
      <c r="N27">
        <f>SUMIF('库存（子SKU）'!$C:$C,$A27,'库存（子SKU）'!P:P)</f>
        <v>8684</v>
      </c>
      <c r="O27">
        <f>SUMIF('库存（子SKU）'!$C:$C,$A27,'库存（子SKU）'!Q:Q)</f>
        <v>6443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49</v>
      </c>
      <c r="S27">
        <f>SUMIF('库存（子SKU）'!$C:$C,$A27,'库存（子SKU）'!U:U)</f>
        <v>24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>
        <f t="shared" si="15"/>
        <v>0.00564256103178259</v>
      </c>
      <c r="W27" s="22">
        <f t="shared" si="16"/>
        <v>0.00372497283873972</v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34.07</v>
      </c>
      <c r="AA27">
        <f>SUMIF('库存（子SKU）'!$C:$C,$A27,'库存（子SKU）'!AC:AC)</f>
        <v>15.09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>无销量广告费为34.07</v>
      </c>
      <c r="AE27" s="22">
        <f t="shared" si="3"/>
        <v>0.11442220200182</v>
      </c>
      <c r="AF27" s="22">
        <f t="shared" si="4"/>
        <v>0</v>
      </c>
      <c r="AG27" s="22">
        <f t="shared" si="5"/>
        <v>0</v>
      </c>
      <c r="AH27">
        <f>SUMIF('库存（子SKU）'!$C:$C,$A27,'库存（子SKU）'!AJ:AJ)</f>
        <v>78</v>
      </c>
      <c r="AI27">
        <f>SUMIF('库存（子SKU）'!$C:$C,$A27,'库存（子SKU）'!AK:AK)</f>
        <v>66</v>
      </c>
      <c r="AJ27">
        <f>SUMIF('库存（子SKU）'!$C:$C,$A27,'库存（子SKU）'!AL:AL)</f>
        <v>18</v>
      </c>
      <c r="AK27">
        <f>SUMIF('库存（子SKU）'!$C:$C,$A27,'库存（子SKU）'!AM:AM)</f>
        <v>12</v>
      </c>
      <c r="AL27" s="22">
        <f t="shared" si="6"/>
        <v>0</v>
      </c>
      <c r="AM27" s="22">
        <f t="shared" si="7"/>
        <v>0.0909090909090909</v>
      </c>
      <c r="AN27" s="22">
        <f t="shared" si="8"/>
        <v>0.0555555555555556</v>
      </c>
      <c r="AO27" s="22">
        <f t="shared" si="9"/>
        <v>0.166666666666667</v>
      </c>
      <c r="AP27" s="7">
        <f t="shared" si="10"/>
        <v>0</v>
      </c>
      <c r="AQ27" s="7">
        <f t="shared" si="11"/>
        <v>0</v>
      </c>
      <c r="AR27" s="7">
        <f t="shared" si="12"/>
        <v>11</v>
      </c>
      <c r="AS27" t="str">
        <f t="shared" si="13"/>
        <v>库存为11</v>
      </c>
      <c r="AT27" s="2" t="str">
        <f>IFERROR(时间!$B$4+AS27,"上周无销量")</f>
        <v>上周无销量</v>
      </c>
    </row>
    <row r="28" spans="1:46">
      <c r="A28" t="s">
        <v>295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">
        <v>53</v>
      </c>
      <c r="G28">
        <f>SUMIF('库存（子SKU）'!$C:$C,$A28,'库存（子SKU）'!I:I)</f>
        <v>9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9</v>
      </c>
      <c r="L28">
        <f>SUMIF('库存（子SKU）'!$C:$C,$A28,'库存（子SKU）'!N:N)</f>
        <v>0</v>
      </c>
      <c r="M28">
        <f>SUMIF('库存（子SKU）'!$C:$C,$A28,'库存（子SKU）'!O:O)</f>
        <v>9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 t="str">
        <f t="shared" si="2"/>
        <v/>
      </c>
      <c r="AE28" s="22" t="str">
        <f t="shared" si="3"/>
        <v/>
      </c>
      <c r="AF28" s="22" t="str">
        <f t="shared" si="4"/>
        <v/>
      </c>
      <c r="AG28" s="22" t="str">
        <f t="shared" si="5"/>
        <v/>
      </c>
      <c r="AH28">
        <f>SUMIF('库存（子SKU）'!$C:$C,$A28,'库存（子SKU）'!AJ:AJ)</f>
        <v>1</v>
      </c>
      <c r="AI28">
        <f>SUMIF('库存（子SKU）'!$C:$C,$A28,'库存（子SKU）'!AK:AK)</f>
        <v>3</v>
      </c>
      <c r="AJ28">
        <f>SUMIF('库存（子SKU）'!$C:$C,$A28,'库存（子SKU）'!AL:AL)</f>
        <v>1</v>
      </c>
      <c r="AK28">
        <f>SUMIF('库存（子SKU）'!$C:$C,$A28,'库存（子SKU）'!AM:AM)</f>
        <v>4</v>
      </c>
      <c r="AL28" s="22">
        <f t="shared" si="6"/>
        <v>0</v>
      </c>
      <c r="AM28" s="22">
        <f t="shared" si="7"/>
        <v>0</v>
      </c>
      <c r="AN28" s="22">
        <f t="shared" si="8"/>
        <v>0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9</v>
      </c>
      <c r="AS28" t="str">
        <f t="shared" si="13"/>
        <v>库存为9</v>
      </c>
      <c r="AT28" s="2" t="str">
        <f>IFERROR(时间!$B$4+AS28,"上周无销量")</f>
        <v>上周无销量</v>
      </c>
    </row>
    <row r="29" spans="1:46">
      <c r="A29" t="s">
        <v>299</v>
      </c>
      <c r="B29" s="5">
        <f>SUMIF('库存（子SKU）'!$C:$C,$A29,'库存（子SKU）'!D:D)</f>
        <v>1</v>
      </c>
      <c r="C29" s="5">
        <f>SUMIF('库存（子SKU）'!$C:$C,$A29,'库存（子SKU）'!E:E)</f>
        <v>3</v>
      </c>
      <c r="D29" s="5">
        <f>SUMIF('库存（子SKU）'!$C:$C,$A29,'库存（子SKU）'!F:F)</f>
        <v>1</v>
      </c>
      <c r="E29" s="5">
        <f>SUMIF('库存（子SKU）'!$C:$C,$A29,'库存（子SKU）'!G:G)</f>
        <v>0</v>
      </c>
      <c r="F29" s="6">
        <v>14.1</v>
      </c>
      <c r="G29">
        <f>SUMIF('库存（子SKU）'!$C:$C,$A29,'库存（子SKU）'!I:I)</f>
        <v>44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44</v>
      </c>
      <c r="L29">
        <f>SUMIF('库存（子SKU）'!$C:$C,$A29,'库存（子SKU）'!N:N)</f>
        <v>0</v>
      </c>
      <c r="M29">
        <f>SUMIF('库存（子SKU）'!$C:$C,$A29,'库存（子SKU）'!O:O)</f>
        <v>43</v>
      </c>
      <c r="N29">
        <f>SUMIF('库存（子SKU）'!$C:$C,$A29,'库存（子SKU）'!P:P)</f>
        <v>206</v>
      </c>
      <c r="O29">
        <f>SUMIF('库存（子SKU）'!$C:$C,$A29,'库存（子SKU）'!Q:Q)</f>
        <v>144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1</v>
      </c>
      <c r="S29">
        <f>SUMIF('库存（子SKU）'!$C:$C,$A29,'库存（子SKU）'!U:U)</f>
        <v>3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>
        <f t="shared" si="15"/>
        <v>0.00485436893203883</v>
      </c>
      <c r="W29" s="22">
        <f t="shared" si="16"/>
        <v>0.0208333333333333</v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0.78</v>
      </c>
      <c r="AA29">
        <f>SUMIF('库存（子SKU）'!$C:$C,$A29,'库存（子SKU）'!AC:AC)</f>
        <v>1.49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>
        <f t="shared" si="2"/>
        <v>0.0553191489361702</v>
      </c>
      <c r="AE29" s="22">
        <f t="shared" si="3"/>
        <v>0.0352245862884161</v>
      </c>
      <c r="AF29" s="22">
        <f t="shared" si="4"/>
        <v>0</v>
      </c>
      <c r="AG29" s="22" t="str">
        <f t="shared" si="5"/>
        <v/>
      </c>
      <c r="AH29">
        <f>SUMIF('库存（子SKU）'!$C:$C,$A29,'库存（子SKU）'!AJ:AJ)</f>
        <v>16</v>
      </c>
      <c r="AI29">
        <f>SUMIF('库存（子SKU）'!$C:$C,$A29,'库存（子SKU）'!AK:AK)</f>
        <v>25</v>
      </c>
      <c r="AJ29">
        <f>SUMIF('库存（子SKU）'!$C:$C,$A29,'库存（子SKU）'!AL:AL)</f>
        <v>39</v>
      </c>
      <c r="AK29">
        <f>SUMIF('库存（子SKU）'!$C:$C,$A29,'库存（子SKU）'!AM:AM)</f>
        <v>18</v>
      </c>
      <c r="AL29" s="22">
        <f t="shared" si="6"/>
        <v>0.0625</v>
      </c>
      <c r="AM29" s="22">
        <f t="shared" si="7"/>
        <v>0.12</v>
      </c>
      <c r="AN29" s="22">
        <f t="shared" si="8"/>
        <v>0.0256410256410256</v>
      </c>
      <c r="AO29" s="22">
        <f t="shared" si="9"/>
        <v>0</v>
      </c>
      <c r="AP29" s="7">
        <f t="shared" si="10"/>
        <v>0.142857142857143</v>
      </c>
      <c r="AQ29" s="7">
        <f t="shared" si="11"/>
        <v>8.57142857142857</v>
      </c>
      <c r="AR29" s="7">
        <f t="shared" si="12"/>
        <v>35.4285714285714</v>
      </c>
      <c r="AS29">
        <f t="shared" si="13"/>
        <v>308</v>
      </c>
      <c r="AT29" s="2">
        <f>IFERROR(时间!$B$4+AS29,"上周无销量")</f>
        <v>43626</v>
      </c>
    </row>
    <row r="30" spans="1:46">
      <c r="A30" t="s">
        <v>313</v>
      </c>
      <c r="B30" s="5">
        <f>SUMIF('库存（子SKU）'!$C:$C,$A30,'库存（子SKU）'!D:D)</f>
        <v>0</v>
      </c>
      <c r="C30" s="5">
        <f>SUMIF('库存（子SKU）'!$C:$C,$A30,'库存（子SKU）'!E:E)</f>
        <v>1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>
        <v>23.5</v>
      </c>
      <c r="G30">
        <f>SUMIF('库存（子SKU）'!$C:$C,$A30,'库存（子SKU）'!I:I)</f>
        <v>1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>
        <f t="shared" si="3"/>
        <v>0</v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15</v>
      </c>
      <c r="AI30">
        <f>SUMIF('库存（子SKU）'!$C:$C,$A30,'库存（子SKU）'!AK:AK)</f>
        <v>22</v>
      </c>
      <c r="AJ30">
        <f>SUMIF('库存（子SKU）'!$C:$C,$A30,'库存（子SKU）'!AL:AL)</f>
        <v>17</v>
      </c>
      <c r="AK30">
        <f>SUMIF('库存（子SKU）'!$C:$C,$A30,'库存（子SKU）'!AM:AM)</f>
        <v>8</v>
      </c>
      <c r="AL30" s="22">
        <f t="shared" si="6"/>
        <v>0</v>
      </c>
      <c r="AM30" s="22">
        <f t="shared" si="7"/>
        <v>0.0454545454545455</v>
      </c>
      <c r="AN30" s="22">
        <f t="shared" si="8"/>
        <v>0</v>
      </c>
      <c r="AO30" s="22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1</v>
      </c>
      <c r="AS30" t="str">
        <f t="shared" si="13"/>
        <v>库存为1</v>
      </c>
      <c r="AT30" s="2" t="str">
        <f>IFERROR(时间!$B$4+AS30,"上周无销量")</f>
        <v>上周无销量</v>
      </c>
    </row>
    <row r="31" spans="1:46">
      <c r="A31" t="s">
        <v>320</v>
      </c>
      <c r="B31" s="5">
        <f>SUMIF('库存（子SKU）'!$C:$C,$A31,'库存（子SKU）'!D:D)</f>
        <v>0</v>
      </c>
      <c r="C31" s="5">
        <f>SUMIF('库存（子SKU）'!$C:$C,$A31,'库存（子SKU）'!E:E)</f>
        <v>1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>
        <v>37.99</v>
      </c>
      <c r="G31">
        <f>SUMIF('库存（子SKU）'!$C:$C,$A31,'库存（子SKU）'!I:I)</f>
        <v>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</v>
      </c>
      <c r="L31">
        <f>SUMIF('库存（子SKU）'!$C:$C,$A31,'库存（子SKU）'!N:N)</f>
        <v>1</v>
      </c>
      <c r="M31">
        <f>SUMIF('库存（子SKU）'!$C:$C,$A31,'库存（子SKU）'!O:O)</f>
        <v>2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>
        <f t="shared" si="3"/>
        <v>0</v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6</v>
      </c>
      <c r="AI31">
        <f>SUMIF('库存（子SKU）'!$C:$C,$A31,'库存（子SKU）'!AK:AK)</f>
        <v>7</v>
      </c>
      <c r="AJ31">
        <f>SUMIF('库存（子SKU）'!$C:$C,$A31,'库存（子SKU）'!AL:AL)</f>
        <v>4</v>
      </c>
      <c r="AK31">
        <f>SUMIF('库存（子SKU）'!$C:$C,$A31,'库存（子SKU）'!AM:AM)</f>
        <v>1</v>
      </c>
      <c r="AL31" s="22">
        <f t="shared" si="6"/>
        <v>0</v>
      </c>
      <c r="AM31" s="22">
        <f t="shared" si="7"/>
        <v>0.142857142857143</v>
      </c>
      <c r="AN31" s="22">
        <f t="shared" si="8"/>
        <v>0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2</v>
      </c>
      <c r="AS31" t="str">
        <f t="shared" si="13"/>
        <v>库存为2</v>
      </c>
      <c r="AT31" s="2" t="str">
        <f>IFERROR(时间!$B$4+AS31,"上周无销量")</f>
        <v>上周无销量</v>
      </c>
    </row>
    <row r="32" spans="1:46">
      <c r="A32" t="s">
        <v>325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5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5</v>
      </c>
      <c r="L32">
        <f>SUMIF('库存（子SKU）'!$C:$C,$A32,'库存（子SKU）'!N:N)</f>
        <v>0</v>
      </c>
      <c r="M32">
        <f>SUMIF('库存（子SKU）'!$C:$C,$A32,'库存（子SKU）'!O:O)</f>
        <v>5</v>
      </c>
      <c r="N32">
        <f>SUMIF('库存（子SKU）'!$C:$C,$A32,'库存（子SKU）'!P:P)</f>
        <v>1014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>
        <f t="shared" si="15"/>
        <v>0</v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2</v>
      </c>
      <c r="AI32">
        <f>SUMIF('库存（子SKU）'!$C:$C,$A32,'库存（子SKU）'!AK:AK)</f>
        <v>4</v>
      </c>
      <c r="AJ32">
        <f>SUMIF('库存（子SKU）'!$C:$C,$A32,'库存（子SKU）'!AL:AL)</f>
        <v>1</v>
      </c>
      <c r="AK32">
        <f>SUMIF('库存（子SKU）'!$C:$C,$A32,'库存（子SKU）'!AM:AM)</f>
        <v>7</v>
      </c>
      <c r="AL32" s="22">
        <f t="shared" si="6"/>
        <v>0</v>
      </c>
      <c r="AM32" s="22">
        <f t="shared" si="7"/>
        <v>0</v>
      </c>
      <c r="AN32" s="22">
        <f t="shared" si="8"/>
        <v>0</v>
      </c>
      <c r="AO32" s="22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5</v>
      </c>
      <c r="AS32" t="str">
        <f t="shared" si="13"/>
        <v>库存为5</v>
      </c>
      <c r="AT32" s="2" t="str">
        <f>IFERROR(时间!$B$4+AS32,"上周无销量")</f>
        <v>上周无销量</v>
      </c>
    </row>
    <row r="33" spans="1:46">
      <c r="A33" t="s">
        <v>328</v>
      </c>
      <c r="B33" s="5">
        <f>SUMIF('库存（子SKU）'!$C:$C,$A33,'库存（子SKU）'!D:D)</f>
        <v>15</v>
      </c>
      <c r="C33" s="5">
        <f>SUMIF('库存（子SKU）'!$C:$C,$A33,'库存（子SKU）'!E:E)</f>
        <v>27</v>
      </c>
      <c r="D33" s="5">
        <f>SUMIF('库存（子SKU）'!$C:$C,$A33,'库存（子SKU）'!F:F)</f>
        <v>14</v>
      </c>
      <c r="E33" s="5">
        <f>SUMIF('库存（子SKU）'!$C:$C,$A33,'库存（子SKU）'!G:G)</f>
        <v>3</v>
      </c>
      <c r="F33" s="6">
        <v>15.99</v>
      </c>
      <c r="G33">
        <f>SUMIF('库存（子SKU）'!$C:$C,$A33,'库存（子SKU）'!I:I)</f>
        <v>56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1</v>
      </c>
      <c r="K33">
        <f t="shared" si="0"/>
        <v>57</v>
      </c>
      <c r="L33">
        <f>SUMIF('库存（子SKU）'!$C:$C,$A33,'库存（子SKU）'!N:N)</f>
        <v>0</v>
      </c>
      <c r="M33">
        <f>SUMIF('库存（子SKU）'!$C:$C,$A33,'库存（子SKU）'!O:O)</f>
        <v>1</v>
      </c>
      <c r="N33">
        <f>SUMIF('库存（子SKU）'!$C:$C,$A33,'库存（子SKU）'!P:P)</f>
        <v>17</v>
      </c>
      <c r="O33">
        <f>SUMIF('库存（子SKU）'!$C:$C,$A33,'库存（子SKU）'!Q:Q)</f>
        <v>6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1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>
        <f t="shared" si="15"/>
        <v>0.0588235294117647</v>
      </c>
      <c r="W33" s="22">
        <f t="shared" si="16"/>
        <v>0</v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0.26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>
        <f t="shared" si="2"/>
        <v>0.0010840108401084</v>
      </c>
      <c r="AE33" s="22">
        <f t="shared" si="3"/>
        <v>0</v>
      </c>
      <c r="AF33" s="22">
        <f t="shared" si="4"/>
        <v>0</v>
      </c>
      <c r="AG33" s="22">
        <f t="shared" si="5"/>
        <v>0</v>
      </c>
      <c r="AH33">
        <f>SUMIF('库存（子SKU）'!$C:$C,$A33,'库存（子SKU）'!AJ:AJ)</f>
        <v>87</v>
      </c>
      <c r="AI33">
        <f>SUMIF('库存（子SKU）'!$C:$C,$A33,'库存（子SKU）'!AK:AK)</f>
        <v>108</v>
      </c>
      <c r="AJ33">
        <f>SUMIF('库存（子SKU）'!$C:$C,$A33,'库存（子SKU）'!AL:AL)</f>
        <v>64</v>
      </c>
      <c r="AK33">
        <f>SUMIF('库存（子SKU）'!$C:$C,$A33,'库存（子SKU）'!AM:AM)</f>
        <v>17</v>
      </c>
      <c r="AL33" s="22">
        <f t="shared" si="6"/>
        <v>0.172413793103448</v>
      </c>
      <c r="AM33" s="22">
        <f t="shared" si="7"/>
        <v>0.25</v>
      </c>
      <c r="AN33" s="22">
        <f t="shared" si="8"/>
        <v>0.21875</v>
      </c>
      <c r="AO33" s="22">
        <f t="shared" si="9"/>
        <v>0.176470588235294</v>
      </c>
      <c r="AP33" s="7">
        <f t="shared" si="10"/>
        <v>2.14285714285714</v>
      </c>
      <c r="AQ33" s="7">
        <f t="shared" si="11"/>
        <v>128.571428571429</v>
      </c>
      <c r="AR33" s="7">
        <f t="shared" si="12"/>
        <v>-71.5714285714286</v>
      </c>
      <c r="AS33">
        <f t="shared" si="13"/>
        <v>26</v>
      </c>
      <c r="AT33" s="2">
        <f>IFERROR(时间!$B$4+AS33,"上周无销量")</f>
        <v>43344</v>
      </c>
    </row>
    <row r="34" spans="1:46">
      <c r="A34" t="s">
        <v>341</v>
      </c>
      <c r="B34" s="5">
        <f>SUMIF('库存（子SKU）'!$C:$C,$A34,'库存（子SKU）'!D:D)</f>
        <v>1</v>
      </c>
      <c r="C34" s="5">
        <f>SUMIF('库存（子SKU）'!$C:$C,$A34,'库存（子SKU）'!E:E)</f>
        <v>1</v>
      </c>
      <c r="D34" s="5">
        <f>SUMIF('库存（子SKU）'!$C:$C,$A34,'库存（子SKU）'!F:F)</f>
        <v>2</v>
      </c>
      <c r="E34" s="5">
        <f>SUMIF('库存（子SKU）'!$C:$C,$A34,'库存（子SKU）'!G:G)</f>
        <v>0</v>
      </c>
      <c r="F34" s="6">
        <v>15.99</v>
      </c>
      <c r="G34">
        <f>SUMIF('库存（子SKU）'!$C:$C,$A34,'库存（子SKU）'!I:I)</f>
        <v>22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1</v>
      </c>
      <c r="K34">
        <f t="shared" si="0"/>
        <v>23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</v>
      </c>
      <c r="AE34" s="22">
        <f t="shared" si="3"/>
        <v>0</v>
      </c>
      <c r="AF34" s="22">
        <f t="shared" si="4"/>
        <v>0</v>
      </c>
      <c r="AG34" s="22" t="str">
        <f t="shared" si="5"/>
        <v/>
      </c>
      <c r="AH34">
        <f>SUMIF('库存（子SKU）'!$C:$C,$A34,'库存（子SKU）'!AJ:AJ)</f>
        <v>23</v>
      </c>
      <c r="AI34">
        <f>SUMIF('库存（子SKU）'!$C:$C,$A34,'库存（子SKU）'!AK:AK)</f>
        <v>18</v>
      </c>
      <c r="AJ34">
        <f>SUMIF('库存（子SKU）'!$C:$C,$A34,'库存（子SKU）'!AL:AL)</f>
        <v>17</v>
      </c>
      <c r="AK34">
        <f>SUMIF('库存（子SKU）'!$C:$C,$A34,'库存（子SKU）'!AM:AM)</f>
        <v>1</v>
      </c>
      <c r="AL34" s="22">
        <f t="shared" si="6"/>
        <v>0.0434782608695652</v>
      </c>
      <c r="AM34" s="22">
        <f t="shared" si="7"/>
        <v>0.0555555555555556</v>
      </c>
      <c r="AN34" s="22">
        <f t="shared" si="8"/>
        <v>0.117647058823529</v>
      </c>
      <c r="AO34" s="22">
        <f t="shared" si="9"/>
        <v>0</v>
      </c>
      <c r="AP34" s="7">
        <f t="shared" si="10"/>
        <v>0.142857142857143</v>
      </c>
      <c r="AQ34" s="7">
        <f t="shared" si="11"/>
        <v>8.57142857142857</v>
      </c>
      <c r="AR34" s="7">
        <f t="shared" si="12"/>
        <v>14.4285714285714</v>
      </c>
      <c r="AS34">
        <f t="shared" si="13"/>
        <v>161</v>
      </c>
      <c r="AT34" s="2">
        <f>IFERROR(时间!$B$4+AS34,"上周无销量")</f>
        <v>43479</v>
      </c>
    </row>
    <row r="35" spans="1:46">
      <c r="A35" t="s">
        <v>344</v>
      </c>
      <c r="B35" s="5">
        <f>SUMIF('库存（子SKU）'!$C:$C,$A35,'库存（子SKU）'!D:D)</f>
        <v>9</v>
      </c>
      <c r="C35" s="5">
        <f>SUMIF('库存（子SKU）'!$C:$C,$A35,'库存（子SKU）'!E:E)</f>
        <v>32</v>
      </c>
      <c r="D35" s="5">
        <f>SUMIF('库存（子SKU）'!$C:$C,$A35,'库存（子SKU）'!F:F)</f>
        <v>9</v>
      </c>
      <c r="E35" s="5">
        <f>SUMIF('库存（子SKU）'!$C:$C,$A35,'库存（子SKU）'!G:G)</f>
        <v>6</v>
      </c>
      <c r="F35" s="6">
        <v>15.99</v>
      </c>
      <c r="G35">
        <f>SUMIF('库存（子SKU）'!$C:$C,$A35,'库存（子SKU）'!I:I)</f>
        <v>44</v>
      </c>
      <c r="H35">
        <f>SUMIF('库存（子SKU）'!$C:$C,$A35,'库存（子SKU）'!J:J)</f>
        <v>5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49</v>
      </c>
      <c r="L35">
        <f>SUMIF('库存（子SKU）'!$C:$C,$A35,'库存（子SKU）'!N:N)</f>
        <v>1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>
        <f t="shared" si="2"/>
        <v>0</v>
      </c>
      <c r="AE35" s="22">
        <f t="shared" si="3"/>
        <v>0</v>
      </c>
      <c r="AF35" s="22">
        <f t="shared" si="4"/>
        <v>0</v>
      </c>
      <c r="AG35" s="22">
        <f t="shared" si="5"/>
        <v>0</v>
      </c>
      <c r="AH35">
        <f>SUMIF('库存（子SKU）'!$C:$C,$A35,'库存（子SKU）'!AJ:AJ)</f>
        <v>46</v>
      </c>
      <c r="AI35">
        <f>SUMIF('库存（子SKU）'!$C:$C,$A35,'库存（子SKU）'!AK:AK)</f>
        <v>56</v>
      </c>
      <c r="AJ35">
        <f>SUMIF('库存（子SKU）'!$C:$C,$A35,'库存（子SKU）'!AL:AL)</f>
        <v>37</v>
      </c>
      <c r="AK35">
        <f>SUMIF('库存（子SKU）'!$C:$C,$A35,'库存（子SKU）'!AM:AM)</f>
        <v>12</v>
      </c>
      <c r="AL35" s="22">
        <f t="shared" si="6"/>
        <v>0.195652173913043</v>
      </c>
      <c r="AM35" s="22">
        <f t="shared" si="7"/>
        <v>0.571428571428571</v>
      </c>
      <c r="AN35" s="22">
        <f t="shared" si="8"/>
        <v>0.243243243243243</v>
      </c>
      <c r="AO35" s="22">
        <f t="shared" si="9"/>
        <v>0.5</v>
      </c>
      <c r="AP35" s="7">
        <f t="shared" si="10"/>
        <v>1.28571428571429</v>
      </c>
      <c r="AQ35" s="7">
        <f t="shared" si="11"/>
        <v>77.1428571428572</v>
      </c>
      <c r="AR35" s="7">
        <f t="shared" si="12"/>
        <v>-28.1428571428572</v>
      </c>
      <c r="AS35">
        <f t="shared" si="13"/>
        <v>38</v>
      </c>
      <c r="AT35" s="2">
        <f>IFERROR(时间!$B$4+AS35,"上周无销量")</f>
        <v>43356</v>
      </c>
    </row>
    <row r="36" spans="1:46">
      <c r="A36" t="s">
        <v>359</v>
      </c>
      <c r="B36" s="5">
        <f>SUMIF('库存（子SKU）'!$C:$C,$A36,'库存（子SKU）'!D:D)</f>
        <v>6</v>
      </c>
      <c r="C36" s="5">
        <f>SUMIF('库存（子SKU）'!$C:$C,$A36,'库存（子SKU）'!E:E)</f>
        <v>8</v>
      </c>
      <c r="D36" s="5">
        <f>SUMIF('库存（子SKU）'!$C:$C,$A36,'库存（子SKU）'!F:F)</f>
        <v>7</v>
      </c>
      <c r="E36" s="5">
        <f>SUMIF('库存（子SKU）'!$C:$C,$A36,'库存（子SKU）'!G:G)</f>
        <v>3</v>
      </c>
      <c r="F36" s="6">
        <v>15.99</v>
      </c>
      <c r="G36">
        <f>SUMIF('库存（子SKU）'!$C:$C,$A36,'库存（子SKU）'!I:I)</f>
        <v>67</v>
      </c>
      <c r="H36">
        <f>SUMIF('库存（子SKU）'!$C:$C,$A36,'库存（子SKU）'!J:J)</f>
        <v>1</v>
      </c>
      <c r="I36">
        <f>SUMIF('库存（子SKU）'!$C:$C,$A36,'库存（子SKU）'!K:K)</f>
        <v>0</v>
      </c>
      <c r="J36">
        <f>SUMIF('库存（子SKU）'!$C:$C,$A36,'库存（子SKU）'!L:L)</f>
        <v>1</v>
      </c>
      <c r="K36">
        <f t="shared" si="0"/>
        <v>69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20555</v>
      </c>
      <c r="O36">
        <f>SUMIF('库存（子SKU）'!$C:$C,$A36,'库存（子SKU）'!Q:Q)</f>
        <v>15682</v>
      </c>
      <c r="P36">
        <f>SUMIF('库存（子SKU）'!$C:$C,$A36,'库存（子SKU）'!R:R)</f>
        <v>15148</v>
      </c>
      <c r="Q36">
        <f>SUMIF('库存（子SKU）'!$C:$C,$A36,'库存（子SKU）'!S:S)</f>
        <v>1966</v>
      </c>
      <c r="R36">
        <f>SUMIF('库存（子SKU）'!$C:$C,$A36,'库存（子SKU）'!T:T)</f>
        <v>52</v>
      </c>
      <c r="S36">
        <f>SUMIF('库存（子SKU）'!$C:$C,$A36,'库存（子SKU）'!U:U)</f>
        <v>57</v>
      </c>
      <c r="T36">
        <f>SUMIF('库存（子SKU）'!$C:$C,$A36,'库存（子SKU）'!V:V)</f>
        <v>49</v>
      </c>
      <c r="U36">
        <f>SUMIF('库存（子SKU）'!$C:$C,$A36,'库存（子SKU）'!W:W)</f>
        <v>10</v>
      </c>
      <c r="V36" s="22">
        <f t="shared" si="15"/>
        <v>0.00252979810265142</v>
      </c>
      <c r="W36" s="22">
        <f t="shared" si="16"/>
        <v>0.0036347404667772</v>
      </c>
      <c r="X36" s="22">
        <f t="shared" si="17"/>
        <v>0.00323475046210721</v>
      </c>
      <c r="Y36" s="22">
        <f t="shared" si="18"/>
        <v>0.00508646998982706</v>
      </c>
      <c r="Z36">
        <f>SUMIF('库存（子SKU）'!$C:$C,$A36,'库存（子SKU）'!AB:AB)</f>
        <v>22.92</v>
      </c>
      <c r="AA36">
        <f>SUMIF('库存（子SKU）'!$C:$C,$A36,'库存（子SKU）'!AC:AC)</f>
        <v>24.25</v>
      </c>
      <c r="AB36">
        <f>SUMIF('库存（子SKU）'!$C:$C,$A36,'库存（子SKU）'!AD:AD)</f>
        <v>20.83</v>
      </c>
      <c r="AC36">
        <f>SUMIF('库存（子SKU）'!$C:$C,$A36,'库存（子SKU）'!AE:AE)</f>
        <v>4.08</v>
      </c>
      <c r="AD36" s="22">
        <f t="shared" si="2"/>
        <v>0.238899312070044</v>
      </c>
      <c r="AE36" s="22">
        <f t="shared" si="3"/>
        <v>0.189571607254534</v>
      </c>
      <c r="AF36" s="22">
        <f t="shared" si="4"/>
        <v>0.186098454391137</v>
      </c>
      <c r="AG36" s="22">
        <f t="shared" si="5"/>
        <v>0.0850531582238899</v>
      </c>
      <c r="AH36">
        <f>SUMIF('库存（子SKU）'!$C:$C,$A36,'库存（子SKU）'!AJ:AJ)</f>
        <v>85</v>
      </c>
      <c r="AI36">
        <f>SUMIF('库存（子SKU）'!$C:$C,$A36,'库存（子SKU）'!AK:AK)</f>
        <v>110</v>
      </c>
      <c r="AJ36">
        <f>SUMIF('库存（子SKU）'!$C:$C,$A36,'库存（子SKU）'!AL:AL)</f>
        <v>68</v>
      </c>
      <c r="AK36">
        <f>SUMIF('库存（子SKU）'!$C:$C,$A36,'库存（子SKU）'!AM:AM)</f>
        <v>20</v>
      </c>
      <c r="AL36" s="22">
        <f t="shared" si="6"/>
        <v>0.0705882352941176</v>
      </c>
      <c r="AM36" s="22">
        <f t="shared" si="7"/>
        <v>0.0727272727272727</v>
      </c>
      <c r="AN36" s="22">
        <f t="shared" si="8"/>
        <v>0.102941176470588</v>
      </c>
      <c r="AO36" s="22">
        <f t="shared" si="9"/>
        <v>0.15</v>
      </c>
      <c r="AP36" s="7">
        <f t="shared" si="10"/>
        <v>0.857142857142857</v>
      </c>
      <c r="AQ36" s="7">
        <f t="shared" si="11"/>
        <v>51.4285714285714</v>
      </c>
      <c r="AR36" s="7">
        <f t="shared" si="12"/>
        <v>17.5714285714286</v>
      </c>
      <c r="AS36">
        <f t="shared" si="13"/>
        <v>80</v>
      </c>
      <c r="AT36" s="2">
        <f>IFERROR(时间!$B$4+AS36,"上周无销量")</f>
        <v>43398</v>
      </c>
    </row>
    <row r="37" spans="1:46">
      <c r="A37" t="s">
        <v>371</v>
      </c>
      <c r="B37" s="5">
        <f>SUMIF('库存（子SKU）'!$C:$C,$A37,'库存（子SKU）'!D:D)</f>
        <v>19</v>
      </c>
      <c r="C37" s="5">
        <f>SUMIF('库存（子SKU）'!$C:$C,$A37,'库存（子SKU）'!E:E)</f>
        <v>26</v>
      </c>
      <c r="D37" s="5">
        <f>SUMIF('库存（子SKU）'!$C:$C,$A37,'库存（子SKU）'!F:F)</f>
        <v>23</v>
      </c>
      <c r="E37" s="5">
        <f>SUMIF('库存（子SKU）'!$C:$C,$A37,'库存（子SKU）'!G:G)</f>
        <v>9</v>
      </c>
      <c r="F37" s="6">
        <v>15.99</v>
      </c>
      <c r="G37">
        <f>SUMIF('库存（子SKU）'!$C:$C,$A37,'库存（子SKU）'!I:I)</f>
        <v>42</v>
      </c>
      <c r="H37">
        <f>SUMIF('库存（子SKU）'!$C:$C,$A37,'库存（子SKU）'!J:J)</f>
        <v>21</v>
      </c>
      <c r="I37">
        <f>SUMIF('库存（子SKU）'!$C:$C,$A37,'库存（子SKU）'!K:K)</f>
        <v>0</v>
      </c>
      <c r="J37">
        <f>SUMIF('库存（子SKU）'!$C:$C,$A37,'库存（子SKU）'!L:L)</f>
        <v>2</v>
      </c>
      <c r="K37">
        <f t="shared" si="0"/>
        <v>65</v>
      </c>
      <c r="L37">
        <f>SUMIF('库存（子SKU）'!$C:$C,$A37,'库存（子SKU）'!N:N)</f>
        <v>0</v>
      </c>
      <c r="M37">
        <f>SUMIF('库存（子SKU）'!$C:$C,$A37,'库存（子SKU）'!O:O)</f>
        <v>1</v>
      </c>
      <c r="N37">
        <f>SUMIF('库存（子SKU）'!$C:$C,$A37,'库存（子SKU）'!P:P)</f>
        <v>147</v>
      </c>
      <c r="O37">
        <f>SUMIF('库存（子SKU）'!$C:$C,$A37,'库存（子SKU）'!Q:Q)</f>
        <v>139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6</v>
      </c>
      <c r="S37">
        <f>SUMIF('库存（子SKU）'!$C:$C,$A37,'库存（子SKU）'!U:U)</f>
        <v>4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>
        <f t="shared" si="15"/>
        <v>0.0408163265306122</v>
      </c>
      <c r="W37" s="22">
        <f t="shared" si="16"/>
        <v>0.0287769784172662</v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0.86</v>
      </c>
      <c r="AA37">
        <f>SUMIF('库存（子SKU）'!$C:$C,$A37,'库存（子SKU）'!AC:AC)</f>
        <v>0.66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>
        <f t="shared" si="2"/>
        <v>0.00283071656627497</v>
      </c>
      <c r="AE37" s="22">
        <f t="shared" si="3"/>
        <v>0.00158753066820609</v>
      </c>
      <c r="AF37" s="22">
        <f t="shared" si="4"/>
        <v>0</v>
      </c>
      <c r="AG37" s="22">
        <f t="shared" si="5"/>
        <v>0</v>
      </c>
      <c r="AH37">
        <f>SUMIF('库存（子SKU）'!$C:$C,$A37,'库存（子SKU）'!AJ:AJ)</f>
        <v>123</v>
      </c>
      <c r="AI37">
        <f>SUMIF('库存（子SKU）'!$C:$C,$A37,'库存（子SKU）'!AK:AK)</f>
        <v>156</v>
      </c>
      <c r="AJ37">
        <f>SUMIF('库存（子SKU）'!$C:$C,$A37,'库存（子SKU）'!AL:AL)</f>
        <v>119</v>
      </c>
      <c r="AK37">
        <f>SUMIF('库存（子SKU）'!$C:$C,$A37,'库存（子SKU）'!AM:AM)</f>
        <v>20</v>
      </c>
      <c r="AL37" s="22">
        <f t="shared" si="6"/>
        <v>0.154471544715447</v>
      </c>
      <c r="AM37" s="22">
        <f t="shared" si="7"/>
        <v>0.166666666666667</v>
      </c>
      <c r="AN37" s="22">
        <f t="shared" si="8"/>
        <v>0.19327731092437</v>
      </c>
      <c r="AO37" s="22">
        <f t="shared" si="9"/>
        <v>0.45</v>
      </c>
      <c r="AP37" s="7">
        <f t="shared" si="10"/>
        <v>2.71428571428571</v>
      </c>
      <c r="AQ37" s="7">
        <f t="shared" si="11"/>
        <v>162.857142857143</v>
      </c>
      <c r="AR37" s="7">
        <f t="shared" si="12"/>
        <v>-97.8571428571429</v>
      </c>
      <c r="AS37">
        <f t="shared" si="13"/>
        <v>23</v>
      </c>
      <c r="AT37" s="2">
        <f>IFERROR(时间!$B$4+AS37,"上周无销量")</f>
        <v>43341</v>
      </c>
    </row>
    <row r="38" spans="1:46">
      <c r="A38" t="s">
        <v>382</v>
      </c>
      <c r="B38" s="5">
        <f>SUMIF('库存（子SKU）'!$C:$C,$A38,'库存（子SKU）'!D:D)</f>
        <v>1</v>
      </c>
      <c r="C38" s="5">
        <f>SUMIF('库存（子SKU）'!$C:$C,$A38,'库存（子SKU）'!E:E)</f>
        <v>2</v>
      </c>
      <c r="D38" s="5">
        <f>SUMIF('库存（子SKU）'!$C:$C,$A38,'库存（子SKU）'!F:F)</f>
        <v>3</v>
      </c>
      <c r="E38" s="5">
        <f>SUMIF('库存（子SKU）'!$C:$C,$A38,'库存（子SKU）'!G:G)</f>
        <v>0</v>
      </c>
      <c r="F38" s="6">
        <v>8.99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1</v>
      </c>
      <c r="M38">
        <f>SUMIF('库存（子SKU）'!$C:$C,$A38,'库存（子SKU）'!O:O)</f>
        <v>0</v>
      </c>
      <c r="N38">
        <f>SUMIF('库存（子SKU）'!$C:$C,$A38,'库存（子SKU）'!P:P)</f>
        <v>84</v>
      </c>
      <c r="O38">
        <f>SUMIF('库存（子SKU）'!$C:$C,$A38,'库存（子SKU）'!Q:Q)</f>
        <v>148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1</v>
      </c>
      <c r="S38">
        <f>SUMIF('库存（子SKU）'!$C:$C,$A38,'库存（子SKU）'!U:U)</f>
        <v>3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>
        <f t="shared" si="15"/>
        <v>0.0119047619047619</v>
      </c>
      <c r="W38" s="22">
        <f t="shared" si="16"/>
        <v>0.0202702702702703</v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0.14</v>
      </c>
      <c r="AA38">
        <f>SUMIF('库存（子SKU）'!$C:$C,$A38,'库存（子SKU）'!AC:AC)</f>
        <v>0.44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>
        <f t="shared" si="2"/>
        <v>0.0155728587319244</v>
      </c>
      <c r="AE38" s="22">
        <f t="shared" si="3"/>
        <v>0.0244716351501669</v>
      </c>
      <c r="AF38" s="22">
        <f t="shared" si="4"/>
        <v>0</v>
      </c>
      <c r="AG38" s="22" t="str">
        <f t="shared" si="5"/>
        <v/>
      </c>
      <c r="AH38">
        <f>SUMIF('库存（子SKU）'!$C:$C,$A38,'库存（子SKU）'!AJ:AJ)</f>
        <v>11</v>
      </c>
      <c r="AI38">
        <f>SUMIF('库存（子SKU）'!$C:$C,$A38,'库存（子SKU）'!AK:AK)</f>
        <v>15</v>
      </c>
      <c r="AJ38">
        <f>SUMIF('库存（子SKU）'!$C:$C,$A38,'库存（子SKU）'!AL:AL)</f>
        <v>8</v>
      </c>
      <c r="AK38">
        <f>SUMIF('库存（子SKU）'!$C:$C,$A38,'库存（子SKU）'!AM:AM)</f>
        <v>7</v>
      </c>
      <c r="AL38" s="22">
        <f t="shared" si="6"/>
        <v>0.0909090909090909</v>
      </c>
      <c r="AM38" s="22">
        <f t="shared" si="7"/>
        <v>0.133333333333333</v>
      </c>
      <c r="AN38" s="22">
        <f t="shared" si="8"/>
        <v>0.375</v>
      </c>
      <c r="AO38" s="22">
        <f t="shared" si="9"/>
        <v>0</v>
      </c>
      <c r="AP38" s="7">
        <f t="shared" si="10"/>
        <v>0.142857142857143</v>
      </c>
      <c r="AQ38" s="7">
        <f t="shared" si="11"/>
        <v>8.57142857142857</v>
      </c>
      <c r="AR38" s="7">
        <f t="shared" si="12"/>
        <v>-8.57142857142857</v>
      </c>
      <c r="AS38">
        <f t="shared" si="13"/>
        <v>0</v>
      </c>
      <c r="AT38" s="2">
        <f>IFERROR(时间!$B$4+AS38,"上周无销量")</f>
        <v>43318</v>
      </c>
    </row>
    <row r="39" spans="1:46">
      <c r="A39" t="s">
        <v>383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25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25</v>
      </c>
      <c r="L39">
        <f>SUMIF('库存（子SKU）'!$C:$C,$A39,'库存（子SKU）'!N:N)</f>
        <v>0</v>
      </c>
      <c r="M39">
        <f>SUMIF('库存（子SKU）'!$C:$C,$A39,'库存（子SKU）'!O:O)</f>
        <v>25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1</v>
      </c>
      <c r="AI39">
        <f>SUMIF('库存（子SKU）'!$C:$C,$A39,'库存（子SKU）'!AK:AK)</f>
        <v>3</v>
      </c>
      <c r="AJ39">
        <f>SUMIF('库存（子SKU）'!$C:$C,$A39,'库存（子SKU）'!AL:AL)</f>
        <v>4</v>
      </c>
      <c r="AK39">
        <f>SUMIF('库存（子SKU）'!$C:$C,$A39,'库存（子SKU）'!AM:AM)</f>
        <v>3</v>
      </c>
      <c r="AL39" s="22">
        <f t="shared" si="6"/>
        <v>0</v>
      </c>
      <c r="AM39" s="22">
        <f t="shared" si="7"/>
        <v>0</v>
      </c>
      <c r="AN39" s="22">
        <f t="shared" si="8"/>
        <v>0</v>
      </c>
      <c r="AO39" s="22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25</v>
      </c>
      <c r="AS39" t="str">
        <f t="shared" si="13"/>
        <v>库存为25</v>
      </c>
      <c r="AT39" s="2" t="str">
        <f>IFERROR(时间!$B$4+AS39,"上周无销量")</f>
        <v>上周无销量</v>
      </c>
    </row>
    <row r="40" spans="1:46">
      <c r="A40" t="s">
        <v>387</v>
      </c>
      <c r="B40" s="5">
        <f>SUMIF('库存（子SKU）'!$C:$C,$A40,'库存（子SKU）'!D:D)</f>
        <v>1</v>
      </c>
      <c r="C40" s="5">
        <f>SUMIF('库存（子SKU）'!$C:$C,$A40,'库存（子SKU）'!E:E)</f>
        <v>0</v>
      </c>
      <c r="D40" s="5">
        <f>SUMIF('库存（子SKU）'!$C:$C,$A40,'库存（子SKU）'!F:F)</f>
        <v>1</v>
      </c>
      <c r="E40" s="5">
        <f>SUMIF('库存（子SKU）'!$C:$C,$A40,'库存（子SKU）'!G:G)</f>
        <v>0</v>
      </c>
      <c r="F40" s="6">
        <v>19.9</v>
      </c>
      <c r="G40">
        <f>SUMIF('库存（子SKU）'!$C:$C,$A40,'库存（子SKU）'!I:I)</f>
        <v>41</v>
      </c>
      <c r="H40">
        <f>SUMIF('库存（子SKU）'!$C:$C,$A40,'库存（子SKU）'!J:J)</f>
        <v>0</v>
      </c>
      <c r="I40">
        <f>SUMIF('库存（子SKU）'!$C:$C,$A40,'库存（子SKU）'!K:K)</f>
        <v>1</v>
      </c>
      <c r="J40">
        <f>SUMIF('库存（子SKU）'!$C:$C,$A40,'库存（子SKU）'!L:L)</f>
        <v>2</v>
      </c>
      <c r="K40">
        <f t="shared" si="0"/>
        <v>44</v>
      </c>
      <c r="L40">
        <f>SUMIF('库存（子SKU）'!$C:$C,$A40,'库存（子SKU）'!N:N)</f>
        <v>0</v>
      </c>
      <c r="M40">
        <f>SUMIF('库存（子SKU）'!$C:$C,$A40,'库存（子SKU）'!O:O)</f>
        <v>17</v>
      </c>
      <c r="N40">
        <f>SUMIF('库存（子SKU）'!$C:$C,$A40,'库存（子SKU）'!P:P)</f>
        <v>1181</v>
      </c>
      <c r="O40">
        <f>SUMIF('库存（子SKU）'!$C:$C,$A40,'库存（子SKU）'!Q:Q)</f>
        <v>1108</v>
      </c>
      <c r="P40">
        <f>SUMIF('库存（子SKU）'!$C:$C,$A40,'库存（子SKU）'!R:R)</f>
        <v>40</v>
      </c>
      <c r="Q40">
        <f>SUMIF('库存（子SKU）'!$C:$C,$A40,'库存（子SKU）'!S:S)</f>
        <v>0</v>
      </c>
      <c r="R40">
        <f>SUMIF('库存（子SKU）'!$C:$C,$A40,'库存（子SKU）'!T:T)</f>
        <v>4</v>
      </c>
      <c r="S40">
        <f>SUMIF('库存（子SKU）'!$C:$C,$A40,'库存（子SKU）'!U:U)</f>
        <v>3</v>
      </c>
      <c r="T40">
        <f>SUMIF('库存（子SKU）'!$C:$C,$A40,'库存（子SKU）'!V:V)</f>
        <v>1</v>
      </c>
      <c r="U40">
        <f>SUMIF('库存（子SKU）'!$C:$C,$A40,'库存（子SKU）'!W:W)</f>
        <v>0</v>
      </c>
      <c r="V40" s="22">
        <f t="shared" si="15"/>
        <v>0.00338696020321761</v>
      </c>
      <c r="W40" s="22">
        <f t="shared" si="16"/>
        <v>0.00270758122743682</v>
      </c>
      <c r="X40" s="22">
        <f t="shared" si="17"/>
        <v>0.025</v>
      </c>
      <c r="Y40" s="22" t="str">
        <f t="shared" si="18"/>
        <v/>
      </c>
      <c r="Z40">
        <f>SUMIF('库存（子SKU）'!$C:$C,$A40,'库存（子SKU）'!AB:AB)</f>
        <v>1.75</v>
      </c>
      <c r="AA40">
        <f>SUMIF('库存（子SKU）'!$C:$C,$A40,'库存（子SKU）'!AC:AC)</f>
        <v>1.35</v>
      </c>
      <c r="AB40">
        <f>SUMIF('库存（子SKU）'!$C:$C,$A40,'库存（子SKU）'!AD:AD)</f>
        <v>0.59</v>
      </c>
      <c r="AC40">
        <f>SUMIF('库存（子SKU）'!$C:$C,$A40,'库存（子SKU）'!AE:AE)</f>
        <v>0</v>
      </c>
      <c r="AD40" s="22">
        <f t="shared" si="2"/>
        <v>0.0879396984924623</v>
      </c>
      <c r="AE40" s="22" t="str">
        <f t="shared" si="3"/>
        <v>无销量广告费为1.35</v>
      </c>
      <c r="AF40" s="22">
        <f t="shared" si="4"/>
        <v>0.0296482412060302</v>
      </c>
      <c r="AG40" s="22" t="str">
        <f t="shared" si="5"/>
        <v/>
      </c>
      <c r="AH40">
        <f>SUMIF('库存（子SKU）'!$C:$C,$A40,'库存（子SKU）'!AJ:AJ)</f>
        <v>41</v>
      </c>
      <c r="AI40">
        <f>SUMIF('库存（子SKU）'!$C:$C,$A40,'库存（子SKU）'!AK:AK)</f>
        <v>33</v>
      </c>
      <c r="AJ40">
        <f>SUMIF('库存（子SKU）'!$C:$C,$A40,'库存（子SKU）'!AL:AL)</f>
        <v>44</v>
      </c>
      <c r="AK40">
        <f>SUMIF('库存（子SKU）'!$C:$C,$A40,'库存（子SKU）'!AM:AM)</f>
        <v>31</v>
      </c>
      <c r="AL40" s="22">
        <f t="shared" si="6"/>
        <v>0.024390243902439</v>
      </c>
      <c r="AM40" s="22">
        <f t="shared" si="7"/>
        <v>0</v>
      </c>
      <c r="AN40" s="22">
        <f t="shared" si="8"/>
        <v>0.0227272727272727</v>
      </c>
      <c r="AO40" s="22">
        <f t="shared" si="9"/>
        <v>0</v>
      </c>
      <c r="AP40" s="7">
        <f t="shared" si="10"/>
        <v>0.142857142857143</v>
      </c>
      <c r="AQ40" s="7">
        <f t="shared" si="11"/>
        <v>8.57142857142857</v>
      </c>
      <c r="AR40" s="7">
        <f t="shared" si="12"/>
        <v>35.4285714285714</v>
      </c>
      <c r="AS40">
        <f t="shared" si="13"/>
        <v>308</v>
      </c>
      <c r="AT40" s="2">
        <f>IFERROR(时间!$B$4+AS40,"上周无销量")</f>
        <v>43626</v>
      </c>
    </row>
    <row r="41" spans="1:46">
      <c r="A41" t="s">
        <v>415</v>
      </c>
      <c r="B41" s="5">
        <f>SUMIF('库存（子SKU）'!$C:$C,$A41,'库存（子SKU）'!D:D)</f>
        <v>0</v>
      </c>
      <c r="C41" s="5">
        <f>SUMIF('库存（子SKU）'!$C:$C,$A41,'库存（子SKU）'!E:E)</f>
        <v>1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>
        <v>23.9</v>
      </c>
      <c r="G41">
        <f>SUMIF('库存（子SKU）'!$C:$C,$A41,'库存（子SKU）'!I:I)</f>
        <v>25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25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71</v>
      </c>
      <c r="O41">
        <f>SUMIF('库存（子SKU）'!$C:$C,$A41,'库存（子SKU）'!Q:Q)</f>
        <v>135</v>
      </c>
      <c r="P41">
        <f>SUMIF('库存（子SKU）'!$C:$C,$A41,'库存（子SKU）'!R:R)</f>
        <v>154</v>
      </c>
      <c r="Q41">
        <f>SUMIF('库存（子SKU）'!$C:$C,$A41,'库存（子SKU）'!S:S)</f>
        <v>0</v>
      </c>
      <c r="R41">
        <f>SUMIF('库存（子SKU）'!$C:$C,$A41,'库存（子SKU）'!T:T)</f>
        <v>2</v>
      </c>
      <c r="S41">
        <f>SUMIF('库存（子SKU）'!$C:$C,$A41,'库存（子SKU）'!U:U)</f>
        <v>1</v>
      </c>
      <c r="T41">
        <f>SUMIF('库存（子SKU）'!$C:$C,$A41,'库存（子SKU）'!V:V)</f>
        <v>1</v>
      </c>
      <c r="U41">
        <f>SUMIF('库存（子SKU）'!$C:$C,$A41,'库存（子SKU）'!W:W)</f>
        <v>0</v>
      </c>
      <c r="V41" s="22">
        <f t="shared" si="15"/>
        <v>0.028169014084507</v>
      </c>
      <c r="W41" s="22">
        <f t="shared" si="16"/>
        <v>0.00740740740740741</v>
      </c>
      <c r="X41" s="22">
        <f t="shared" si="17"/>
        <v>0.00649350649350649</v>
      </c>
      <c r="Y41" s="22" t="str">
        <f t="shared" si="18"/>
        <v/>
      </c>
      <c r="Z41">
        <f>SUMIF('库存（子SKU）'!$C:$C,$A41,'库存（子SKU）'!AB:AB)</f>
        <v>1.24</v>
      </c>
      <c r="AA41">
        <f>SUMIF('库存（子SKU）'!$C:$C,$A41,'库存（子SKU）'!AC:AC)</f>
        <v>0.41</v>
      </c>
      <c r="AB41">
        <f>SUMIF('库存（子SKU）'!$C:$C,$A41,'库存（子SKU）'!AD:AD)</f>
        <v>0.37</v>
      </c>
      <c r="AC41">
        <f>SUMIF('库存（子SKU）'!$C:$C,$A41,'库存（子SKU）'!AE:AE)</f>
        <v>0</v>
      </c>
      <c r="AD41" s="22" t="str">
        <f t="shared" si="2"/>
        <v>无销量广告费为1.24</v>
      </c>
      <c r="AE41" s="22">
        <f t="shared" si="3"/>
        <v>0.0171548117154812</v>
      </c>
      <c r="AF41" s="22" t="str">
        <f t="shared" si="4"/>
        <v>无销量广告费为0.37</v>
      </c>
      <c r="AG41" s="22" t="str">
        <f t="shared" si="5"/>
        <v/>
      </c>
      <c r="AH41">
        <f>SUMIF('库存（子SKU）'!$C:$C,$A41,'库存（子SKU）'!AJ:AJ)</f>
        <v>30</v>
      </c>
      <c r="AI41">
        <f>SUMIF('库存（子SKU）'!$C:$C,$A41,'库存（子SKU）'!AK:AK)</f>
        <v>21</v>
      </c>
      <c r="AJ41">
        <f>SUMIF('库存（子SKU）'!$C:$C,$A41,'库存（子SKU）'!AL:AL)</f>
        <v>62</v>
      </c>
      <c r="AK41">
        <f>SUMIF('库存（子SKU）'!$C:$C,$A41,'库存（子SKU）'!AM:AM)</f>
        <v>25</v>
      </c>
      <c r="AL41" s="22">
        <f t="shared" si="6"/>
        <v>0</v>
      </c>
      <c r="AM41" s="22">
        <f t="shared" si="7"/>
        <v>0.0476190476190476</v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25</v>
      </c>
      <c r="AS41" t="str">
        <f t="shared" si="13"/>
        <v>库存为25</v>
      </c>
      <c r="AT41" s="2" t="str">
        <f>IFERROR(时间!$B$4+AS41,"上周无销量")</f>
        <v>上周无销量</v>
      </c>
    </row>
    <row r="42" spans="1:46">
      <c r="A42" t="s">
        <v>437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12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12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6</v>
      </c>
      <c r="AI42">
        <f>SUMIF('库存（子SKU）'!$C:$C,$A42,'库存（子SKU）'!AK:AK)</f>
        <v>13</v>
      </c>
      <c r="AJ42">
        <f>SUMIF('库存（子SKU）'!$C:$C,$A42,'库存（子SKU）'!AL:AL)</f>
        <v>24</v>
      </c>
      <c r="AK42">
        <f>SUMIF('库存（子SKU）'!$C:$C,$A42,'库存（子SKU）'!AM:AM)</f>
        <v>10</v>
      </c>
      <c r="AL42" s="22">
        <f t="shared" si="6"/>
        <v>0</v>
      </c>
      <c r="AM42" s="22">
        <f t="shared" si="7"/>
        <v>0</v>
      </c>
      <c r="AN42" s="22">
        <f t="shared" si="8"/>
        <v>0</v>
      </c>
      <c r="AO42" s="22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12</v>
      </c>
      <c r="AS42" t="str">
        <f t="shared" si="13"/>
        <v>库存为12</v>
      </c>
      <c r="AT42" s="2" t="str">
        <f>IFERROR(时间!$B$4+AS42,"上周无销量")</f>
        <v>上周无销量</v>
      </c>
    </row>
    <row r="43" spans="1:46">
      <c r="A43" t="s">
        <v>446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2" t="str">
        <f t="shared" si="6"/>
        <v/>
      </c>
      <c r="AM43" s="22" t="str">
        <f t="shared" si="7"/>
        <v/>
      </c>
      <c r="AN43" s="22" t="str">
        <f t="shared" si="8"/>
        <v/>
      </c>
      <c r="AO43" s="22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451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53</v>
      </c>
      <c r="G44">
        <f>SUMIF('库存（子SKU）'!$C:$C,$A44,'库存（子SKU）'!I:I)</f>
        <v>1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</v>
      </c>
      <c r="L44">
        <f>SUMIF('库存（子SKU）'!$C:$C,$A44,'库存（子SKU）'!N:N)</f>
        <v>0</v>
      </c>
      <c r="M44">
        <f>SUMIF('库存（子SKU）'!$C:$C,$A44,'库存（子SKU）'!O:O)</f>
        <v>1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3</v>
      </c>
      <c r="AI44">
        <f>SUMIF('库存（子SKU）'!$C:$C,$A44,'库存（子SKU）'!AK:AK)</f>
        <v>4</v>
      </c>
      <c r="AJ44">
        <f>SUMIF('库存（子SKU）'!$C:$C,$A44,'库存（子SKU）'!AL:AL)</f>
        <v>1</v>
      </c>
      <c r="AK44">
        <f>SUMIF('库存（子SKU）'!$C:$C,$A44,'库存（子SKU）'!AM:AM)</f>
        <v>2</v>
      </c>
      <c r="AL44" s="22">
        <f t="shared" si="6"/>
        <v>0</v>
      </c>
      <c r="AM44" s="22">
        <f t="shared" si="7"/>
        <v>0</v>
      </c>
      <c r="AN44" s="22">
        <f t="shared" si="8"/>
        <v>0</v>
      </c>
      <c r="AO44" s="22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1</v>
      </c>
      <c r="AS44" t="str">
        <f t="shared" si="13"/>
        <v>库存为1</v>
      </c>
      <c r="AT44" s="2" t="str">
        <f>IFERROR(时间!$B$4+AS44,"上周无销量")</f>
        <v>上周无销量</v>
      </c>
    </row>
    <row r="45" spans="1:46">
      <c r="A45" t="s">
        <v>455</v>
      </c>
      <c r="B45" s="5">
        <f>SUMIF('库存（子SKU）'!$C:$C,$A45,'库存（子SKU）'!D:D)</f>
        <v>10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>
        <v>9.495</v>
      </c>
      <c r="G45">
        <f>SUMIF('库存（子SKU）'!$C:$C,$A45,'库存（子SKU）'!I:I)</f>
        <v>0</v>
      </c>
      <c r="H45">
        <f>SUMIF('库存（子SKU）'!$C:$C,$A45,'库存（子SKU）'!J:J)</f>
        <v>10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10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>
        <f t="shared" si="2"/>
        <v>0</v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30</v>
      </c>
      <c r="AI45">
        <f>SUMIF('库存（子SKU）'!$C:$C,$A45,'库存（子SKU）'!AK:AK)</f>
        <v>37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>
        <f t="shared" si="6"/>
        <v>0.333333333333333</v>
      </c>
      <c r="AM45" s="22">
        <f t="shared" si="7"/>
        <v>0</v>
      </c>
      <c r="AN45" s="22" t="str">
        <f t="shared" si="8"/>
        <v/>
      </c>
      <c r="AO45" s="22" t="str">
        <f t="shared" si="9"/>
        <v/>
      </c>
      <c r="AP45" s="7">
        <f t="shared" si="10"/>
        <v>1.42857142857143</v>
      </c>
      <c r="AQ45" s="7">
        <f t="shared" si="11"/>
        <v>85.7142857142857</v>
      </c>
      <c r="AR45" s="7">
        <f t="shared" si="12"/>
        <v>-75.7142857142857</v>
      </c>
      <c r="AS45">
        <f t="shared" si="13"/>
        <v>7</v>
      </c>
      <c r="AT45" s="2">
        <f>IFERROR(时间!$B$4+AS45,"上周无销量")</f>
        <v>43325</v>
      </c>
    </row>
    <row r="46" spans="1:46">
      <c r="A46" t="s">
        <v>458</v>
      </c>
      <c r="B46" s="5">
        <f>SUMIF('库存（子SKU）'!$C:$C,$A46,'库存（子SKU）'!D:D)</f>
        <v>7</v>
      </c>
      <c r="C46" s="5">
        <f>SUMIF('库存（子SKU）'!$C:$C,$A46,'库存（子SKU）'!E:E)</f>
        <v>2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>
        <v>9.10222222222222</v>
      </c>
      <c r="G46">
        <f>SUMIF('库存（子SKU）'!$C:$C,$A46,'库存（子SKU）'!I:I)</f>
        <v>31</v>
      </c>
      <c r="H46">
        <f>SUMIF('库存（子SKU）'!$C:$C,$A46,'库存（子SKU）'!J:J)</f>
        <v>20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51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>
        <f t="shared" si="2"/>
        <v>0</v>
      </c>
      <c r="AE46" s="22">
        <f t="shared" si="3"/>
        <v>0</v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83</v>
      </c>
      <c r="AI46">
        <f>SUMIF('库存（子SKU）'!$C:$C,$A46,'库存（子SKU）'!AK:AK)</f>
        <v>47</v>
      </c>
      <c r="AJ46">
        <f>SUMIF('库存（子SKU）'!$C:$C,$A46,'库存（子SKU）'!AL:AL)</f>
        <v>0</v>
      </c>
      <c r="AK46">
        <f>SUMIF('库存（子SKU）'!$C:$C,$A46,'库存（子SKU）'!AM:AM)</f>
        <v>9</v>
      </c>
      <c r="AL46" s="22">
        <f t="shared" si="6"/>
        <v>0.0843373493975904</v>
      </c>
      <c r="AM46" s="22">
        <f t="shared" si="7"/>
        <v>0.0425531914893617</v>
      </c>
      <c r="AN46" s="22" t="str">
        <f t="shared" si="8"/>
        <v/>
      </c>
      <c r="AO46" s="22">
        <f t="shared" si="9"/>
        <v>0</v>
      </c>
      <c r="AP46" s="7">
        <f t="shared" si="10"/>
        <v>1</v>
      </c>
      <c r="AQ46" s="7">
        <f t="shared" si="11"/>
        <v>60</v>
      </c>
      <c r="AR46" s="7">
        <f t="shared" si="12"/>
        <v>-9</v>
      </c>
      <c r="AS46">
        <f t="shared" si="13"/>
        <v>51</v>
      </c>
      <c r="AT46" s="2">
        <f>IFERROR(时间!$B$4+AS46,"上周无销量")</f>
        <v>43369</v>
      </c>
    </row>
    <row r="47" spans="1:46">
      <c r="A47" t="s">
        <v>467</v>
      </c>
      <c r="B47" s="5">
        <f>SUMIF('库存（子SKU）'!$C:$C,$A47,'库存（子SKU）'!D:D)</f>
        <v>1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>
        <v>14.99</v>
      </c>
      <c r="G47">
        <f>SUMIF('库存（子SKU）'!$C:$C,$A47,'库存（子SKU）'!I:I)</f>
        <v>8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8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>
        <f t="shared" si="2"/>
        <v>0</v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16</v>
      </c>
      <c r="AI47">
        <f>SUMIF('库存（子SKU）'!$C:$C,$A47,'库存（子SKU）'!AK:AK)</f>
        <v>15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>
        <f t="shared" si="6"/>
        <v>0.0625</v>
      </c>
      <c r="AM47" s="22">
        <f t="shared" si="7"/>
        <v>0</v>
      </c>
      <c r="AN47" s="22" t="str">
        <f t="shared" si="8"/>
        <v/>
      </c>
      <c r="AO47" s="22" t="str">
        <f t="shared" si="9"/>
        <v/>
      </c>
      <c r="AP47" s="7">
        <f t="shared" si="10"/>
        <v>0.142857142857143</v>
      </c>
      <c r="AQ47" s="7">
        <f t="shared" si="11"/>
        <v>8.57142857142857</v>
      </c>
      <c r="AR47" s="7">
        <f t="shared" si="12"/>
        <v>-0.571428571428571</v>
      </c>
      <c r="AS47">
        <f t="shared" si="13"/>
        <v>56</v>
      </c>
      <c r="AT47" s="2">
        <f>IFERROR(时间!$B$4+AS47,"上周无销量")</f>
        <v>43374</v>
      </c>
    </row>
    <row r="48" spans="1:46">
      <c r="A48" t="s">
        <v>470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0</v>
      </c>
      <c r="H48">
        <f>SUMIF('库存（子SKU）'!$C:$C,$A48,'库存（子SKU）'!J:J)</f>
        <v>15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15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18</v>
      </c>
      <c r="AL48" s="22" t="str">
        <f t="shared" si="6"/>
        <v/>
      </c>
      <c r="AM48" s="22" t="str">
        <f t="shared" si="7"/>
        <v/>
      </c>
      <c r="AN48" s="22" t="str">
        <f t="shared" si="8"/>
        <v/>
      </c>
      <c r="AO48" s="22">
        <f t="shared" si="9"/>
        <v>0</v>
      </c>
      <c r="AP48" s="7">
        <f t="shared" si="10"/>
        <v>0</v>
      </c>
      <c r="AQ48" s="7">
        <f t="shared" si="11"/>
        <v>0</v>
      </c>
      <c r="AR48" s="7">
        <f t="shared" si="12"/>
        <v>15</v>
      </c>
      <c r="AS48" t="str">
        <f t="shared" si="13"/>
        <v>库存为15</v>
      </c>
      <c r="AT48" s="2" t="str">
        <f>IFERROR(时间!$B$4+AS48,"上周无销量")</f>
        <v>上周无销量</v>
      </c>
    </row>
    <row r="49" spans="1:46">
      <c r="A49" t="s">
        <v>481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1</v>
      </c>
      <c r="AL49" s="22" t="str">
        <f t="shared" si="6"/>
        <v/>
      </c>
      <c r="AM49" s="22" t="str">
        <f t="shared" si="7"/>
        <v/>
      </c>
      <c r="AN49" s="22" t="str">
        <f t="shared" si="8"/>
        <v/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484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4</v>
      </c>
      <c r="AL50" s="22" t="str">
        <f t="shared" si="6"/>
        <v/>
      </c>
      <c r="AM50" s="22" t="str">
        <f t="shared" si="7"/>
        <v/>
      </c>
      <c r="AN50" s="22" t="str">
        <f t="shared" si="8"/>
        <v/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493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5</v>
      </c>
      <c r="H51">
        <f>SUMIF('库存（子SKU）'!$C:$C,$A51,'库存（子SKU）'!J:J)</f>
        <v>5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39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7</v>
      </c>
      <c r="AL51" s="22">
        <f t="shared" si="6"/>
        <v>0</v>
      </c>
      <c r="AM51" s="22" t="str">
        <f t="shared" si="7"/>
        <v/>
      </c>
      <c r="AN51" s="22" t="str">
        <f t="shared" si="8"/>
        <v/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10</v>
      </c>
      <c r="AS51" t="str">
        <f t="shared" si="13"/>
        <v>库存为10</v>
      </c>
      <c r="AT51" s="2" t="str">
        <f>IFERROR(时间!$B$4+AS51,"上周无销量")</f>
        <v>上周无销量</v>
      </c>
    </row>
    <row r="52" spans="1:46">
      <c r="A52" t="s">
        <v>500</v>
      </c>
      <c r="B52" s="5">
        <f>SUMIF('库存（子SKU）'!$C:$C,$A52,'库存（子SKU）'!D:D)</f>
        <v>27</v>
      </c>
      <c r="C52" s="5">
        <f>SUMIF('库存（子SKU）'!$C:$C,$A52,'库存（子SKU）'!E:E)</f>
        <v>7</v>
      </c>
      <c r="D52" s="5">
        <f>SUMIF('库存（子SKU）'!$C:$C,$A52,'库存（子SKU）'!F:F)</f>
        <v>3</v>
      </c>
      <c r="E52" s="5">
        <f>SUMIF('库存（子SKU）'!$C:$C,$A52,'库存（子SKU）'!G:G)</f>
        <v>0</v>
      </c>
      <c r="F52" s="6">
        <v>15.99</v>
      </c>
      <c r="G52">
        <f>SUMIF('库存（子SKU）'!$C:$C,$A52,'库存（子SKU）'!I:I)</f>
        <v>7</v>
      </c>
      <c r="H52">
        <f>SUMIF('库存（子SKU）'!$C:$C,$A52,'库存（子SKU）'!J:J)</f>
        <v>6</v>
      </c>
      <c r="I52">
        <f>SUMIF('库存（子SKU）'!$C:$C,$A52,'库存（子SKU）'!K:K)</f>
        <v>0</v>
      </c>
      <c r="J52">
        <f>SUMIF('库存（子SKU）'!$C:$C,$A52,'库存（子SKU）'!L:L)</f>
        <v>2</v>
      </c>
      <c r="K52">
        <f t="shared" si="0"/>
        <v>15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>
        <f t="shared" si="2"/>
        <v>0</v>
      </c>
      <c r="AE52" s="22">
        <f t="shared" si="3"/>
        <v>0</v>
      </c>
      <c r="AF52" s="22">
        <f t="shared" si="4"/>
        <v>0</v>
      </c>
      <c r="AG52" s="22" t="str">
        <f t="shared" si="5"/>
        <v/>
      </c>
      <c r="AH52">
        <f>SUMIF('库存（子SKU）'!$C:$C,$A52,'库存（子SKU）'!AJ:AJ)</f>
        <v>113</v>
      </c>
      <c r="AI52">
        <f>SUMIF('库存（子SKU）'!$C:$C,$A52,'库存（子SKU）'!AK:AK)</f>
        <v>85</v>
      </c>
      <c r="AJ52">
        <f>SUMIF('库存（子SKU）'!$C:$C,$A52,'库存（子SKU）'!AL:AL)</f>
        <v>17</v>
      </c>
      <c r="AK52">
        <f>SUMIF('库存（子SKU）'!$C:$C,$A52,'库存（子SKU）'!AM:AM)</f>
        <v>38</v>
      </c>
      <c r="AL52" s="22">
        <f t="shared" si="6"/>
        <v>0.238938053097345</v>
      </c>
      <c r="AM52" s="22">
        <f t="shared" si="7"/>
        <v>0.0823529411764706</v>
      </c>
      <c r="AN52" s="22">
        <f t="shared" si="8"/>
        <v>0.176470588235294</v>
      </c>
      <c r="AO52" s="22">
        <f t="shared" si="9"/>
        <v>0</v>
      </c>
      <c r="AP52" s="7">
        <f t="shared" si="10"/>
        <v>3.85714285714286</v>
      </c>
      <c r="AQ52" s="7">
        <f t="shared" si="11"/>
        <v>231.428571428571</v>
      </c>
      <c r="AR52" s="7">
        <f t="shared" si="12"/>
        <v>-216.428571428571</v>
      </c>
      <c r="AS52">
        <f t="shared" si="13"/>
        <v>3</v>
      </c>
      <c r="AT52" s="2">
        <f>IFERROR(时间!$B$4+AS52,"上周无销量")</f>
        <v>43321</v>
      </c>
    </row>
    <row r="53" spans="1:46">
      <c r="A53" t="s">
        <v>508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20</v>
      </c>
      <c r="H53">
        <f>SUMIF('库存（子SKU）'!$C:$C,$A53,'库存（子SKU）'!J:J)</f>
        <v>5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25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27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10</v>
      </c>
      <c r="AL53" s="22">
        <f t="shared" si="6"/>
        <v>0</v>
      </c>
      <c r="AM53" s="22" t="str">
        <f t="shared" si="7"/>
        <v/>
      </c>
      <c r="AN53" s="22" t="str">
        <f t="shared" si="8"/>
        <v/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25</v>
      </c>
      <c r="AS53" t="str">
        <f t="shared" si="13"/>
        <v>库存为25</v>
      </c>
      <c r="AT53" s="2" t="str">
        <f>IFERROR(时间!$B$4+AS53,"上周无销量")</f>
        <v>上周无销量</v>
      </c>
    </row>
    <row r="54" spans="1:46">
      <c r="A54" t="s">
        <v>515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30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30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65</v>
      </c>
      <c r="AI54">
        <f>SUMIF('库存（子SKU）'!$C:$C,$A54,'库存（子SKU）'!AK:AK)</f>
        <v>24</v>
      </c>
      <c r="AJ54">
        <f>SUMIF('库存（子SKU）'!$C:$C,$A54,'库存（子SKU）'!AL:AL)</f>
        <v>0</v>
      </c>
      <c r="AK54">
        <f>SUMIF('库存（子SKU）'!$C:$C,$A54,'库存（子SKU）'!AM:AM)</f>
        <v>15</v>
      </c>
      <c r="AL54" s="22">
        <f t="shared" si="6"/>
        <v>0</v>
      </c>
      <c r="AM54" s="22">
        <f t="shared" si="7"/>
        <v>0</v>
      </c>
      <c r="AN54" s="22" t="str">
        <f t="shared" si="8"/>
        <v/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30</v>
      </c>
      <c r="AS54" t="str">
        <f t="shared" si="13"/>
        <v>库存为30</v>
      </c>
      <c r="AT54" s="2" t="str">
        <f>IFERROR(时间!$B$4+AS54,"上周无销量")</f>
        <v>上周无销量</v>
      </c>
    </row>
    <row r="55" spans="1:46">
      <c r="A55" t="s">
        <v>526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11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11</v>
      </c>
      <c r="L55">
        <f>SUMIF('库存（子SKU）'!$C:$C,$A55,'库存（子SKU）'!N:N)</f>
        <v>0</v>
      </c>
      <c r="M55">
        <f>SUMIF('库存（子SKU）'!$C:$C,$A55,'库存（子SKU）'!O:O)</f>
        <v>11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5</v>
      </c>
      <c r="AI55">
        <f>SUMIF('库存（子SKU）'!$C:$C,$A55,'库存（子SKU）'!AK:AK)</f>
        <v>9</v>
      </c>
      <c r="AJ55">
        <f>SUMIF('库存（子SKU）'!$C:$C,$A55,'库存（子SKU）'!AL:AL)</f>
        <v>2</v>
      </c>
      <c r="AK55">
        <f>SUMIF('库存（子SKU）'!$C:$C,$A55,'库存（子SKU）'!AM:AM)</f>
        <v>11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11</v>
      </c>
      <c r="AS55" t="str">
        <f t="shared" si="13"/>
        <v>库存为11</v>
      </c>
      <c r="AT55" s="2" t="str">
        <f>IFERROR(时间!$B$4+AS55,"上周无销量")</f>
        <v>上周无销量</v>
      </c>
    </row>
    <row r="56" spans="1:46">
      <c r="A56" t="s">
        <v>535</v>
      </c>
      <c r="B56" s="5">
        <f>SUMIF('库存（子SKU）'!$C:$C,$A56,'库存（子SKU）'!D:D)</f>
        <v>2</v>
      </c>
      <c r="C56" s="5">
        <f>SUMIF('库存（子SKU）'!$C:$C,$A56,'库存（子SKU）'!E:E)</f>
        <v>3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v>9.9</v>
      </c>
      <c r="G56">
        <f>SUMIF('库存（子SKU）'!$C:$C,$A56,'库存（子SKU）'!I:I)</f>
        <v>8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3</v>
      </c>
      <c r="K56">
        <f t="shared" si="0"/>
        <v>11</v>
      </c>
      <c r="L56">
        <f>SUMIF('库存（子SKU）'!$C:$C,$A56,'库存（子SKU）'!N:N)</f>
        <v>1</v>
      </c>
      <c r="M56">
        <f>SUMIF('库存（子SKU）'!$C:$C,$A56,'库存（子SKU）'!O:O)</f>
        <v>8</v>
      </c>
      <c r="N56">
        <f>SUMIF('库存（子SKU）'!$C:$C,$A56,'库存（子SKU）'!P:P)</f>
        <v>3208</v>
      </c>
      <c r="O56">
        <f>SUMIF('库存（子SKU）'!$C:$C,$A56,'库存（子SKU）'!Q:Q)</f>
        <v>7917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11</v>
      </c>
      <c r="S56">
        <f>SUMIF('库存（子SKU）'!$C:$C,$A56,'库存（子SKU）'!U:U)</f>
        <v>21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>
        <f t="shared" si="15"/>
        <v>0.003428927680798</v>
      </c>
      <c r="W56" s="22">
        <f t="shared" si="16"/>
        <v>0.0026525198938992</v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3.74</v>
      </c>
      <c r="AA56">
        <f>SUMIF('库存（子SKU）'!$C:$C,$A56,'库存（子SKU）'!AC:AC)</f>
        <v>6.66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>
        <f t="shared" si="2"/>
        <v>0.188888888888889</v>
      </c>
      <c r="AE56" s="22">
        <f t="shared" si="3"/>
        <v>0.224242424242424</v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2</v>
      </c>
      <c r="AI56">
        <f>SUMIF('库存（子SKU）'!$C:$C,$A56,'库存（子SKU）'!AK:AK)</f>
        <v>12</v>
      </c>
      <c r="AJ56">
        <f>SUMIF('库存（子SKU）'!$C:$C,$A56,'库存（子SKU）'!AL:AL)</f>
        <v>2</v>
      </c>
      <c r="AK56">
        <f>SUMIF('库存（子SKU）'!$C:$C,$A56,'库存（子SKU）'!AM:AM)</f>
        <v>3</v>
      </c>
      <c r="AL56" s="22">
        <f t="shared" si="6"/>
        <v>1</v>
      </c>
      <c r="AM56" s="22">
        <f t="shared" si="7"/>
        <v>0.25</v>
      </c>
      <c r="AN56" s="22">
        <f t="shared" si="8"/>
        <v>0</v>
      </c>
      <c r="AO56" s="22">
        <f t="shared" si="9"/>
        <v>0</v>
      </c>
      <c r="AP56" s="7">
        <f t="shared" si="10"/>
        <v>0.285714285714286</v>
      </c>
      <c r="AQ56" s="7">
        <f t="shared" si="11"/>
        <v>17.1428571428571</v>
      </c>
      <c r="AR56" s="7">
        <f t="shared" si="12"/>
        <v>-6.14285714285714</v>
      </c>
      <c r="AS56">
        <f t="shared" si="13"/>
        <v>38</v>
      </c>
      <c r="AT56" s="2">
        <f>IFERROR(时间!$B$4+AS56,"上周无销量")</f>
        <v>43356</v>
      </c>
    </row>
    <row r="57" spans="1:46">
      <c r="A57" t="s">
        <v>536</v>
      </c>
      <c r="B57" s="5">
        <f>SUMIF('库存（子SKU）'!$C:$C,$A57,'库存（子SKU）'!D:D)</f>
        <v>1</v>
      </c>
      <c r="C57" s="5">
        <f>SUMIF('库存（子SKU）'!$C:$C,$A57,'库存（子SKU）'!E:E)</f>
        <v>0</v>
      </c>
      <c r="D57" s="5">
        <f>SUMIF('库存（子SKU）'!$C:$C,$A57,'库存（子SKU）'!F:F)</f>
        <v>1</v>
      </c>
      <c r="E57" s="5">
        <f>SUMIF('库存（子SKU）'!$C:$C,$A57,'库存（子SKU）'!G:G)</f>
        <v>0</v>
      </c>
      <c r="F57" s="6">
        <v>9.99</v>
      </c>
      <c r="G57">
        <f>SUMIF('库存（子SKU）'!$C:$C,$A57,'库存（子SKU）'!I:I)</f>
        <v>27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27</v>
      </c>
      <c r="L57">
        <f>SUMIF('库存（子SKU）'!$C:$C,$A57,'库存（子SKU）'!N:N)</f>
        <v>0</v>
      </c>
      <c r="M57">
        <f>SUMIF('库存（子SKU）'!$C:$C,$A57,'库存（子SKU）'!O:O)</f>
        <v>27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>
        <f t="shared" si="2"/>
        <v>0</v>
      </c>
      <c r="AE57" s="22" t="str">
        <f t="shared" si="3"/>
        <v/>
      </c>
      <c r="AF57" s="22">
        <f t="shared" si="4"/>
        <v>0</v>
      </c>
      <c r="AG57" s="22" t="str">
        <f t="shared" si="5"/>
        <v/>
      </c>
      <c r="AH57">
        <f>SUMIF('库存（子SKU）'!$C:$C,$A57,'库存（子SKU）'!AJ:AJ)</f>
        <v>10</v>
      </c>
      <c r="AI57">
        <f>SUMIF('库存（子SKU）'!$C:$C,$A57,'库存（子SKU）'!AK:AK)</f>
        <v>10</v>
      </c>
      <c r="AJ57">
        <f>SUMIF('库存（子SKU）'!$C:$C,$A57,'库存（子SKU）'!AL:AL)</f>
        <v>10</v>
      </c>
      <c r="AK57">
        <f>SUMIF('库存（子SKU）'!$C:$C,$A57,'库存（子SKU）'!AM:AM)</f>
        <v>4</v>
      </c>
      <c r="AL57" s="22">
        <f t="shared" si="6"/>
        <v>0.1</v>
      </c>
      <c r="AM57" s="22">
        <f t="shared" si="7"/>
        <v>0</v>
      </c>
      <c r="AN57" s="22">
        <f t="shared" si="8"/>
        <v>0.1</v>
      </c>
      <c r="AO57" s="22">
        <f t="shared" si="9"/>
        <v>0</v>
      </c>
      <c r="AP57" s="7">
        <f t="shared" si="10"/>
        <v>0.142857142857143</v>
      </c>
      <c r="AQ57" s="7">
        <f t="shared" si="11"/>
        <v>8.57142857142857</v>
      </c>
      <c r="AR57" s="7">
        <f t="shared" si="12"/>
        <v>18.4285714285714</v>
      </c>
      <c r="AS57">
        <f t="shared" si="13"/>
        <v>189</v>
      </c>
      <c r="AT57" s="2">
        <f>IFERROR(时间!$B$4+AS57,"上周无销量")</f>
        <v>43507</v>
      </c>
    </row>
    <row r="58" spans="1:46">
      <c r="A58" t="s">
        <v>540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53</v>
      </c>
      <c r="G58">
        <f>SUMIF('库存（子SKU）'!$C:$C,$A58,'库存（子SKU）'!I:I)</f>
        <v>32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32</v>
      </c>
      <c r="L58">
        <f>SUMIF('库存（子SKU）'!$C:$C,$A58,'库存（子SKU）'!N:N)</f>
        <v>0</v>
      </c>
      <c r="M58">
        <f>SUMIF('库存（子SKU）'!$C:$C,$A58,'库存（子SKU）'!O:O)</f>
        <v>32</v>
      </c>
      <c r="N58">
        <f>SUMIF('库存（子SKU）'!$C:$C,$A58,'库存（子SKU）'!P:P)</f>
        <v>190</v>
      </c>
      <c r="O58">
        <f>SUMIF('库存（子SKU）'!$C:$C,$A58,'库存（子SKU）'!Q:Q)</f>
        <v>379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1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>
        <f t="shared" si="15"/>
        <v>0</v>
      </c>
      <c r="W58" s="22">
        <f t="shared" si="16"/>
        <v>0.00263852242744063</v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0.27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>无销量广告费为0.27</v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1</v>
      </c>
      <c r="AI58">
        <f>SUMIF('库存（子SKU）'!$C:$C,$A58,'库存（子SKU）'!AK:AK)</f>
        <v>6</v>
      </c>
      <c r="AJ58">
        <f>SUMIF('库存（子SKU）'!$C:$C,$A58,'库存（子SKU）'!AL:AL)</f>
        <v>5</v>
      </c>
      <c r="AK58">
        <f>SUMIF('库存（子SKU）'!$C:$C,$A58,'库存（子SKU）'!AM:AM)</f>
        <v>5</v>
      </c>
      <c r="AL58" s="22">
        <f t="shared" si="6"/>
        <v>0</v>
      </c>
      <c r="AM58" s="22">
        <f t="shared" si="7"/>
        <v>0</v>
      </c>
      <c r="AN58" s="22">
        <f t="shared" si="8"/>
        <v>0</v>
      </c>
      <c r="AO58" s="22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32</v>
      </c>
      <c r="AS58" t="str">
        <f t="shared" si="13"/>
        <v>库存为32</v>
      </c>
      <c r="AT58" s="2" t="str">
        <f>IFERROR(时间!$B$4+AS58,"上周无销量")</f>
        <v>上周无销量</v>
      </c>
    </row>
    <row r="59" spans="1:46">
      <c r="A59" t="s">
        <v>544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547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1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</v>
      </c>
      <c r="L60">
        <f>SUMIF('库存（子SKU）'!$C:$C,$A60,'库存（子SKU）'!N:N)</f>
        <v>0</v>
      </c>
      <c r="M60">
        <f>SUMIF('库存（子SKU）'!$C:$C,$A60,'库存（子SKU）'!O:O)</f>
        <v>1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7</v>
      </c>
      <c r="AL60" s="22" t="str">
        <f t="shared" si="6"/>
        <v/>
      </c>
      <c r="AM60" s="22" t="str">
        <f t="shared" si="7"/>
        <v/>
      </c>
      <c r="AN60" s="22" t="str">
        <f t="shared" si="8"/>
        <v/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</v>
      </c>
      <c r="AS60" t="str">
        <f t="shared" si="13"/>
        <v>库存为1</v>
      </c>
      <c r="AT60" s="2" t="str">
        <f>IFERROR(时间!$B$4+AS60,"上周无销量")</f>
        <v>上周无销量</v>
      </c>
    </row>
    <row r="61" spans="1:46">
      <c r="A61" t="s">
        <v>550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18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18</v>
      </c>
      <c r="L61">
        <f>SUMIF('库存（子SKU）'!$C:$C,$A61,'库存（子SKU）'!N:N)</f>
        <v>0</v>
      </c>
      <c r="M61">
        <f>SUMIF('库存（子SKU）'!$C:$C,$A61,'库存（子SKU）'!O:O)</f>
        <v>18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1</v>
      </c>
      <c r="AI61">
        <f>SUMIF('库存（子SKU）'!$C:$C,$A61,'库存（子SKU）'!AK:AK)</f>
        <v>5</v>
      </c>
      <c r="AJ61">
        <f>SUMIF('库存（子SKU）'!$C:$C,$A61,'库存（子SKU）'!AL:AL)</f>
        <v>5</v>
      </c>
      <c r="AK61">
        <f>SUMIF('库存（子SKU）'!$C:$C,$A61,'库存（子SKU）'!AM:AM)</f>
        <v>4</v>
      </c>
      <c r="AL61" s="22">
        <f t="shared" si="6"/>
        <v>0</v>
      </c>
      <c r="AM61" s="22">
        <f t="shared" si="7"/>
        <v>0</v>
      </c>
      <c r="AN61" s="22">
        <f t="shared" si="8"/>
        <v>0</v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18</v>
      </c>
      <c r="AS61" t="str">
        <f t="shared" si="13"/>
        <v>库存为18</v>
      </c>
      <c r="AT61" s="2" t="str">
        <f>IFERROR(时间!$B$4+AS61,"上周无销量")</f>
        <v>上周无销量</v>
      </c>
    </row>
    <row r="62" spans="1:46">
      <c r="A62" t="s">
        <v>553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10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10</v>
      </c>
      <c r="L62">
        <f>SUMIF('库存（子SKU）'!$C:$C,$A62,'库存（子SKU）'!N:N)</f>
        <v>0</v>
      </c>
      <c r="M62">
        <f>SUMIF('库存（子SKU）'!$C:$C,$A62,'库存（子SKU）'!O:O)</f>
        <v>9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2</v>
      </c>
      <c r="AI62">
        <f>SUMIF('库存（子SKU）'!$C:$C,$A62,'库存（子SKU）'!AK:AK)</f>
        <v>4</v>
      </c>
      <c r="AJ62">
        <f>SUMIF('库存（子SKU）'!$C:$C,$A62,'库存（子SKU）'!AL:AL)</f>
        <v>6</v>
      </c>
      <c r="AK62">
        <f>SUMIF('库存（子SKU）'!$C:$C,$A62,'库存（子SKU）'!AM:AM)</f>
        <v>4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10</v>
      </c>
      <c r="AS62" t="str">
        <f t="shared" si="13"/>
        <v>库存为10</v>
      </c>
      <c r="AT62" s="2" t="str">
        <f>IFERROR(时间!$B$4+AS62,"上周无销量")</f>
        <v>上周无销量</v>
      </c>
    </row>
    <row r="63" spans="1:46">
      <c r="A63" t="s">
        <v>560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53</v>
      </c>
      <c r="G63">
        <f>SUMIF('库存（子SKU）'!$C:$C,$A63,'库存（子SKU）'!I:I)</f>
        <v>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9</v>
      </c>
      <c r="L63">
        <f>SUMIF('库存（子SKU）'!$C:$C,$A63,'库存（子SKU）'!N:N)</f>
        <v>0</v>
      </c>
      <c r="M63">
        <f>SUMIF('库存（子SKU）'!$C:$C,$A63,'库存（子SKU）'!O:O)</f>
        <v>9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4</v>
      </c>
      <c r="AI63">
        <f>SUMIF('库存（子SKU）'!$C:$C,$A63,'库存（子SKU）'!AK:AK)</f>
        <v>8</v>
      </c>
      <c r="AJ63">
        <f>SUMIF('库存（子SKU）'!$C:$C,$A63,'库存（子SKU）'!AL:AL)</f>
        <v>11</v>
      </c>
      <c r="AK63">
        <f>SUMIF('库存（子SKU）'!$C:$C,$A63,'库存（子SKU）'!AM:AM)</f>
        <v>10</v>
      </c>
      <c r="AL63" s="22">
        <f t="shared" si="6"/>
        <v>0</v>
      </c>
      <c r="AM63" s="22">
        <f t="shared" si="7"/>
        <v>0</v>
      </c>
      <c r="AN63" s="22">
        <f t="shared" si="8"/>
        <v>0</v>
      </c>
      <c r="AO63" s="22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9</v>
      </c>
      <c r="AS63" t="str">
        <f t="shared" si="13"/>
        <v>库存为9</v>
      </c>
      <c r="AT63" s="2" t="str">
        <f>IFERROR(时间!$B$4+AS63,"上周无销量")</f>
        <v>上周无销量</v>
      </c>
    </row>
    <row r="64" spans="1:46">
      <c r="A64" t="s">
        <v>567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19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19</v>
      </c>
      <c r="L64">
        <f>SUMIF('库存（子SKU）'!$C:$C,$A64,'库存（子SKU）'!N:N)</f>
        <v>0</v>
      </c>
      <c r="M64">
        <f>SUMIF('库存（子SKU）'!$C:$C,$A64,'库存（子SKU）'!O:O)</f>
        <v>19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2</v>
      </c>
      <c r="AI64">
        <f>SUMIF('库存（子SKU）'!$C:$C,$A64,'库存（子SKU）'!AK:AK)</f>
        <v>8</v>
      </c>
      <c r="AJ64">
        <f>SUMIF('库存（子SKU）'!$C:$C,$A64,'库存（子SKU）'!AL:AL)</f>
        <v>12</v>
      </c>
      <c r="AK64">
        <f>SUMIF('库存（子SKU）'!$C:$C,$A64,'库存（子SKU）'!AM:AM)</f>
        <v>14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19</v>
      </c>
      <c r="AS64" t="str">
        <f t="shared" si="13"/>
        <v>库存为19</v>
      </c>
      <c r="AT64" s="2" t="str">
        <f>IFERROR(时间!$B$4+AS64,"上周无销量")</f>
        <v>上周无销量</v>
      </c>
    </row>
    <row r="65" spans="1:46">
      <c r="A65" t="s">
        <v>572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53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53</v>
      </c>
      <c r="L65">
        <f>SUMIF('库存（子SKU）'!$C:$C,$A65,'库存（子SKU）'!N:N)</f>
        <v>0</v>
      </c>
      <c r="M65">
        <f>SUMIF('库存（子SKU）'!$C:$C,$A65,'库存（子SKU）'!O:O)</f>
        <v>53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62</v>
      </c>
      <c r="AI65">
        <f>SUMIF('库存（子SKU）'!$C:$C,$A65,'库存（子SKU）'!AK:AK)</f>
        <v>97</v>
      </c>
      <c r="AJ65">
        <f>SUMIF('库存（子SKU）'!$C:$C,$A65,'库存（子SKU）'!AL:AL)</f>
        <v>33</v>
      </c>
      <c r="AK65">
        <f>SUMIF('库存（子SKU）'!$C:$C,$A65,'库存（子SKU）'!AM:AM)</f>
        <v>54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53</v>
      </c>
      <c r="AS65" t="str">
        <f t="shared" si="13"/>
        <v>库存为53</v>
      </c>
      <c r="AT65" s="2" t="str">
        <f>IFERROR(时间!$B$4+AS65,"上周无销量")</f>
        <v>上周无销量</v>
      </c>
    </row>
    <row r="66" spans="1:46">
      <c r="A66" t="s">
        <v>623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53</v>
      </c>
      <c r="G66">
        <f>SUMIF('库存（子SKU）'!$C:$C,$A66,'库存（子SKU）'!I:I)</f>
        <v>13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13</v>
      </c>
      <c r="L66">
        <f>SUMIF('库存（子SKU）'!$C:$C,$A66,'库存（子SKU）'!N:N)</f>
        <v>0</v>
      </c>
      <c r="M66">
        <f>SUMIF('库存（子SKU）'!$C:$C,$A66,'库存（子SKU）'!O:O)</f>
        <v>13</v>
      </c>
      <c r="N66">
        <f>SUMIF('库存（子SKU）'!$C:$C,$A66,'库存（子SKU）'!P:P)</f>
        <v>452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2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>
        <f t="shared" si="15"/>
        <v>0.00442477876106195</v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1.18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>无销量广告费为1.18</v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1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2">
        <f t="shared" si="6"/>
        <v>0</v>
      </c>
      <c r="AM66" s="22" t="str">
        <f t="shared" si="7"/>
        <v/>
      </c>
      <c r="AN66" s="22" t="str">
        <f t="shared" si="8"/>
        <v/>
      </c>
      <c r="AO66" s="22" t="str">
        <f t="shared" si="9"/>
        <v/>
      </c>
      <c r="AP66" s="7">
        <f t="shared" si="10"/>
        <v>0</v>
      </c>
      <c r="AQ66" s="7">
        <f t="shared" si="11"/>
        <v>0</v>
      </c>
      <c r="AR66" s="7">
        <f t="shared" si="12"/>
        <v>13</v>
      </c>
      <c r="AS66" t="str">
        <f t="shared" si="13"/>
        <v>库存为13</v>
      </c>
      <c r="AT66" s="2" t="str">
        <f>IFERROR(时间!$B$4+AS66,"上周无销量")</f>
        <v>上周无销量</v>
      </c>
    </row>
    <row r="67" spans="1:46">
      <c r="A67" t="s">
        <v>628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1</v>
      </c>
      <c r="F67" s="6">
        <v>20.99</v>
      </c>
      <c r="G67">
        <f>SUMIF('库存（子SKU）'!$C:$C,$A67,'库存（子SKU）'!I:I)</f>
        <v>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4</v>
      </c>
      <c r="L67">
        <f>SUMIF('库存（子SKU）'!$C:$C,$A67,'库存（子SKU）'!N:N)</f>
        <v>0</v>
      </c>
      <c r="M67">
        <f>SUMIF('库存（子SKU）'!$C:$C,$A67,'库存（子SKU）'!O:O)</f>
        <v>3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>
        <f t="shared" si="5"/>
        <v>0</v>
      </c>
      <c r="AH67">
        <f>SUMIF('库存（子SKU）'!$C:$C,$A67,'库存（子SKU）'!AJ:AJ)</f>
        <v>2</v>
      </c>
      <c r="AI67">
        <f>SUMIF('库存（子SKU）'!$C:$C,$A67,'库存（子SKU）'!AK:AK)</f>
        <v>0</v>
      </c>
      <c r="AJ67">
        <f>SUMIF('库存（子SKU）'!$C:$C,$A67,'库存（子SKU）'!AL:AL)</f>
        <v>2</v>
      </c>
      <c r="AK67">
        <f>SUMIF('库存（子SKU）'!$C:$C,$A67,'库存（子SKU）'!AM:AM)</f>
        <v>5</v>
      </c>
      <c r="AL67" s="22">
        <f t="shared" si="6"/>
        <v>0</v>
      </c>
      <c r="AM67" s="22" t="str">
        <f t="shared" si="7"/>
        <v/>
      </c>
      <c r="AN67" s="22">
        <f t="shared" si="8"/>
        <v>0</v>
      </c>
      <c r="AO67" s="22">
        <f t="shared" si="9"/>
        <v>0.2</v>
      </c>
      <c r="AP67" s="7">
        <f t="shared" si="10"/>
        <v>0</v>
      </c>
      <c r="AQ67" s="7">
        <f t="shared" si="11"/>
        <v>0</v>
      </c>
      <c r="AR67" s="7">
        <f t="shared" si="12"/>
        <v>4</v>
      </c>
      <c r="AS67" t="str">
        <f t="shared" si="13"/>
        <v>库存为4</v>
      </c>
      <c r="AT67" s="2" t="str">
        <f>IFERROR(时间!$B$4+AS67,"上周无销量")</f>
        <v>上周无销量</v>
      </c>
    </row>
    <row r="68" spans="1:46">
      <c r="A68" t="s">
        <v>641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53</v>
      </c>
      <c r="G68">
        <f>SUMIF('库存（子SKU）'!$C:$C,$A68,'库存（子SKU）'!I:I)</f>
        <v>27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27</v>
      </c>
      <c r="L68">
        <f>SUMIF('库存（子SKU）'!$C:$C,$A68,'库存（子SKU）'!N:N)</f>
        <v>0</v>
      </c>
      <c r="M68">
        <f>SUMIF('库存（子SKU）'!$C:$C,$A68,'库存（子SKU）'!O:O)</f>
        <v>27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10</v>
      </c>
      <c r="AI68">
        <f>SUMIF('库存（子SKU）'!$C:$C,$A68,'库存（子SKU）'!AK:AK)</f>
        <v>31</v>
      </c>
      <c r="AJ68">
        <f>SUMIF('库存（子SKU）'!$C:$C,$A68,'库存（子SKU）'!AL:AL)</f>
        <v>15</v>
      </c>
      <c r="AK68">
        <f>SUMIF('库存（子SKU）'!$C:$C,$A68,'库存（子SKU）'!AM:AM)</f>
        <v>25</v>
      </c>
      <c r="AL68" s="22">
        <f t="shared" si="6"/>
        <v>0</v>
      </c>
      <c r="AM68" s="22">
        <f t="shared" si="7"/>
        <v>0</v>
      </c>
      <c r="AN68" s="22">
        <f t="shared" si="8"/>
        <v>0</v>
      </c>
      <c r="AO68" s="22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27</v>
      </c>
      <c r="AS68" t="str">
        <f t="shared" si="13"/>
        <v>库存为27</v>
      </c>
      <c r="AT68" s="2" t="str">
        <f>IFERROR(时间!$B$4+AS68,"上周无销量")</f>
        <v>上周无销量</v>
      </c>
    </row>
    <row r="69" spans="1:46">
      <c r="A69" t="s">
        <v>672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53</v>
      </c>
      <c r="G69">
        <f>SUMIF('库存（子SKU）'!$C:$C,$A69,'库存（子SKU）'!I:I)</f>
        <v>12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12</v>
      </c>
      <c r="L69">
        <f>SUMIF('库存（子SKU）'!$C:$C,$A69,'库存（子SKU）'!N:N)</f>
        <v>0</v>
      </c>
      <c r="M69">
        <f>SUMIF('库存（子SKU）'!$C:$C,$A69,'库存（子SKU）'!O:O)</f>
        <v>11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14</v>
      </c>
      <c r="AI69">
        <f>SUMIF('库存（子SKU）'!$C:$C,$A69,'库存（子SKU）'!AK:AK)</f>
        <v>19</v>
      </c>
      <c r="AJ69">
        <f>SUMIF('库存（子SKU）'!$C:$C,$A69,'库存（子SKU）'!AL:AL)</f>
        <v>18</v>
      </c>
      <c r="AK69">
        <f>SUMIF('库存（子SKU）'!$C:$C,$A69,'库存（子SKU）'!AM:AM)</f>
        <v>13</v>
      </c>
      <c r="AL69" s="22">
        <f t="shared" ref="AL69:AL132" si="24">IFERROR(B69/AH69,"")</f>
        <v>0</v>
      </c>
      <c r="AM69" s="22">
        <f t="shared" ref="AM69:AM132" si="25">IFERROR(C69/AI69,"")</f>
        <v>0</v>
      </c>
      <c r="AN69" s="22">
        <f t="shared" ref="AN69:AN132" si="26">IFERROR(D69/AJ69,"")</f>
        <v>0</v>
      </c>
      <c r="AO69" s="22">
        <f t="shared" ref="AO69:AO132" si="27">IFERROR(E69/AK69,"")</f>
        <v>0</v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12</v>
      </c>
      <c r="AS69" t="str">
        <f t="shared" ref="AS69:AS132" si="31">IF(AP69=0,"库存为"&amp;K69,INT(K69/AP69))</f>
        <v>库存为12</v>
      </c>
      <c r="AT69" s="2" t="str">
        <f>IFERROR(时间!$B$4+AS69,"上周无销量")</f>
        <v>上周无销量</v>
      </c>
    </row>
    <row r="70" spans="1:46">
      <c r="A70" t="s">
        <v>685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">
        <v>53</v>
      </c>
      <c r="G70">
        <f>SUMIF('库存（子SKU）'!$C:$C,$A70,'库存（子SKU）'!I:I)</f>
        <v>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2</v>
      </c>
      <c r="L70">
        <f>SUMIF('库存（子SKU）'!$C:$C,$A70,'库存（子SKU）'!N:N)</f>
        <v>0</v>
      </c>
      <c r="M70">
        <f>SUMIF('库存（子SKU）'!$C:$C,$A70,'库存（子SKU）'!O:O)</f>
        <v>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 t="str">
        <f t="shared" si="22"/>
        <v/>
      </c>
      <c r="AG70" s="22" t="str">
        <f t="shared" si="23"/>
        <v/>
      </c>
      <c r="AH70">
        <f>SUMIF('库存（子SKU）'!$C:$C,$A70,'库存（子SKU）'!AJ:AJ)</f>
        <v>9</v>
      </c>
      <c r="AI70">
        <f>SUMIF('库存（子SKU）'!$C:$C,$A70,'库存（子SKU）'!AK:AK)</f>
        <v>7</v>
      </c>
      <c r="AJ70">
        <f>SUMIF('库存（子SKU）'!$C:$C,$A70,'库存（子SKU）'!AL:AL)</f>
        <v>6</v>
      </c>
      <c r="AK70">
        <f>SUMIF('库存（子SKU）'!$C:$C,$A70,'库存（子SKU）'!AM:AM)</f>
        <v>3</v>
      </c>
      <c r="AL70" s="22">
        <f t="shared" si="24"/>
        <v>0</v>
      </c>
      <c r="AM70" s="22">
        <f t="shared" si="25"/>
        <v>0</v>
      </c>
      <c r="AN70" s="22">
        <f t="shared" si="26"/>
        <v>0</v>
      </c>
      <c r="AO70" s="22">
        <f t="shared" si="27"/>
        <v>0</v>
      </c>
      <c r="AP70" s="7">
        <f t="shared" si="28"/>
        <v>0</v>
      </c>
      <c r="AQ70" s="7">
        <f t="shared" si="29"/>
        <v>0</v>
      </c>
      <c r="AR70" s="7">
        <f t="shared" si="30"/>
        <v>2</v>
      </c>
      <c r="AS70" t="str">
        <f t="shared" si="31"/>
        <v>库存为2</v>
      </c>
      <c r="AT70" s="2" t="str">
        <f>IFERROR(时间!$B$4+AS70,"上周无销量")</f>
        <v>上周无销量</v>
      </c>
    </row>
    <row r="71" spans="1:46">
      <c r="A71" t="s">
        <v>688</v>
      </c>
      <c r="B71" s="5">
        <f>SUMIF('库存（子SKU）'!$C:$C,$A71,'库存（子SKU）'!D:D)</f>
        <v>6</v>
      </c>
      <c r="C71" s="5">
        <f>SUMIF('库存（子SKU）'!$C:$C,$A71,'库存（子SKU）'!E:E)</f>
        <v>2</v>
      </c>
      <c r="D71" s="5">
        <f>SUMIF('库存（子SKU）'!$C:$C,$A71,'库存（子SKU）'!F:F)</f>
        <v>1</v>
      </c>
      <c r="E71" s="5">
        <f>SUMIF('库存（子SKU）'!$C:$C,$A71,'库存（子SKU）'!G:G)</f>
        <v>0</v>
      </c>
      <c r="F71" s="6">
        <v>9.9</v>
      </c>
      <c r="G71">
        <f>SUMIF('库存（子SKU）'!$C:$C,$A71,'库存（子SKU）'!I:I)</f>
        <v>6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6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>
        <f t="shared" si="20"/>
        <v>0</v>
      </c>
      <c r="AE71" s="22">
        <f t="shared" si="21"/>
        <v>0</v>
      </c>
      <c r="AF71" s="22">
        <f t="shared" si="22"/>
        <v>0</v>
      </c>
      <c r="AG71" s="22" t="str">
        <f t="shared" si="23"/>
        <v/>
      </c>
      <c r="AH71">
        <f>SUMIF('库存（子SKU）'!$C:$C,$A71,'库存（子SKU）'!AJ:AJ)</f>
        <v>28</v>
      </c>
      <c r="AI71">
        <f>SUMIF('库存（子SKU）'!$C:$C,$A71,'库存（子SKU）'!AK:AK)</f>
        <v>21</v>
      </c>
      <c r="AJ71">
        <f>SUMIF('库存（子SKU）'!$C:$C,$A71,'库存（子SKU）'!AL:AL)</f>
        <v>22</v>
      </c>
      <c r="AK71">
        <f>SUMIF('库存（子SKU）'!$C:$C,$A71,'库存（子SKU）'!AM:AM)</f>
        <v>22</v>
      </c>
      <c r="AL71" s="22">
        <f t="shared" si="24"/>
        <v>0.214285714285714</v>
      </c>
      <c r="AM71" s="22">
        <f t="shared" si="25"/>
        <v>0.0952380952380952</v>
      </c>
      <c r="AN71" s="22">
        <f t="shared" si="26"/>
        <v>0.0454545454545455</v>
      </c>
      <c r="AO71" s="22">
        <f t="shared" si="27"/>
        <v>0</v>
      </c>
      <c r="AP71" s="7">
        <f t="shared" si="28"/>
        <v>0.857142857142857</v>
      </c>
      <c r="AQ71" s="7">
        <f t="shared" si="29"/>
        <v>51.4285714285714</v>
      </c>
      <c r="AR71" s="7">
        <f t="shared" si="30"/>
        <v>-45.4285714285714</v>
      </c>
      <c r="AS71">
        <f t="shared" si="31"/>
        <v>7</v>
      </c>
      <c r="AT71" s="2">
        <f>IFERROR(时间!$B$4+AS71,"上周无销量")</f>
        <v>43325</v>
      </c>
    </row>
    <row r="72" spans="1:46">
      <c r="A72" t="s">
        <v>693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2" t="str">
        <f t="shared" si="24"/>
        <v/>
      </c>
      <c r="AM72" s="22" t="str">
        <f t="shared" si="25"/>
        <v/>
      </c>
      <c r="AN72" s="22" t="str">
        <f t="shared" si="26"/>
        <v/>
      </c>
      <c r="AO72" s="22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696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1</v>
      </c>
      <c r="E73" s="5">
        <f>SUMIF('库存（子SKU）'!$C:$C,$A73,'库存（子SKU）'!G:G)</f>
        <v>1</v>
      </c>
      <c r="F73" s="6">
        <v>29.9</v>
      </c>
      <c r="G73">
        <f>SUMIF('库存（子SKU）'!$C:$C,$A73,'库存（子SKU）'!I:I)</f>
        <v>19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19</v>
      </c>
      <c r="L73">
        <f>SUMIF('库存（子SKU）'!$C:$C,$A73,'库存（子SKU）'!N:N)</f>
        <v>0</v>
      </c>
      <c r="M73">
        <f>SUMIF('库存（子SKU）'!$C:$C,$A73,'库存（子SKU）'!O:O)</f>
        <v>18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>
        <f t="shared" si="22"/>
        <v>0</v>
      </c>
      <c r="AG73" s="22">
        <f t="shared" si="23"/>
        <v>0</v>
      </c>
      <c r="AH73">
        <f>SUMIF('库存（子SKU）'!$C:$C,$A73,'库存（子SKU）'!AJ:AJ)</f>
        <v>34</v>
      </c>
      <c r="AI73">
        <f>SUMIF('库存（子SKU）'!$C:$C,$A73,'库存（子SKU）'!AK:AK)</f>
        <v>23</v>
      </c>
      <c r="AJ73">
        <f>SUMIF('库存（子SKU）'!$C:$C,$A73,'库存（子SKU）'!AL:AL)</f>
        <v>25</v>
      </c>
      <c r="AK73">
        <f>SUMIF('库存（子SKU）'!$C:$C,$A73,'库存（子SKU）'!AM:AM)</f>
        <v>18</v>
      </c>
      <c r="AL73" s="22">
        <f t="shared" si="24"/>
        <v>0</v>
      </c>
      <c r="AM73" s="22">
        <f t="shared" si="25"/>
        <v>0</v>
      </c>
      <c r="AN73" s="22">
        <f t="shared" si="26"/>
        <v>0.04</v>
      </c>
      <c r="AO73" s="22">
        <f t="shared" si="27"/>
        <v>0.0555555555555556</v>
      </c>
      <c r="AP73" s="7">
        <f t="shared" si="28"/>
        <v>0</v>
      </c>
      <c r="AQ73" s="7">
        <f t="shared" si="29"/>
        <v>0</v>
      </c>
      <c r="AR73" s="7">
        <f t="shared" si="30"/>
        <v>19</v>
      </c>
      <c r="AS73" t="str">
        <f t="shared" si="31"/>
        <v>库存为19</v>
      </c>
      <c r="AT73" s="2" t="str">
        <f>IFERROR(时间!$B$4+AS73,"上周无销量")</f>
        <v>上周无销量</v>
      </c>
    </row>
    <row r="74" spans="1:46">
      <c r="A74" t="s">
        <v>705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2" t="str">
        <f t="shared" si="24"/>
        <v/>
      </c>
      <c r="AM74" s="22" t="str">
        <f t="shared" si="25"/>
        <v/>
      </c>
      <c r="AN74" s="22" t="str">
        <f t="shared" si="26"/>
        <v/>
      </c>
      <c r="AO74" s="22" t="str">
        <f t="shared" si="27"/>
        <v/>
      </c>
      <c r="AP74" s="7">
        <f t="shared" si="28"/>
        <v>0</v>
      </c>
      <c r="AQ74" s="7">
        <f t="shared" si="29"/>
        <v>0</v>
      </c>
      <c r="AR74" s="7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708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 t="s">
        <v>53</v>
      </c>
      <c r="G75">
        <f>SUMIF('库存（子SKU）'!$C:$C,$A75,'库存（子SKU）'!I:I)</f>
        <v>17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17</v>
      </c>
      <c r="L75">
        <f>SUMIF('库存（子SKU）'!$C:$C,$A75,'库存（子SKU）'!N:N)</f>
        <v>0</v>
      </c>
      <c r="M75">
        <f>SUMIF('库存（子SKU）'!$C:$C,$A75,'库存（子SKU）'!O:O)</f>
        <v>17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 t="str">
        <f t="shared" si="22"/>
        <v/>
      </c>
      <c r="AG75" s="22" t="str">
        <f t="shared" si="23"/>
        <v/>
      </c>
      <c r="AH75">
        <f>SUMIF('库存（子SKU）'!$C:$C,$A75,'库存（子SKU）'!AJ:AJ)</f>
        <v>6</v>
      </c>
      <c r="AI75">
        <f>SUMIF('库存（子SKU）'!$C:$C,$A75,'库存（子SKU）'!AK:AK)</f>
        <v>5</v>
      </c>
      <c r="AJ75">
        <f>SUMIF('库存（子SKU）'!$C:$C,$A75,'库存（子SKU）'!AL:AL)</f>
        <v>14</v>
      </c>
      <c r="AK75">
        <f>SUMIF('库存（子SKU）'!$C:$C,$A75,'库存（子SKU）'!AM:AM)</f>
        <v>6</v>
      </c>
      <c r="AL75" s="22">
        <f t="shared" si="24"/>
        <v>0</v>
      </c>
      <c r="AM75" s="22">
        <f t="shared" si="25"/>
        <v>0</v>
      </c>
      <c r="AN75" s="22">
        <f t="shared" si="26"/>
        <v>0</v>
      </c>
      <c r="AO75" s="22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17</v>
      </c>
      <c r="AS75" t="str">
        <f t="shared" si="31"/>
        <v>库存为17</v>
      </c>
      <c r="AT75" s="2" t="str">
        <f>IFERROR(时间!$B$4+AS75,"上周无销量")</f>
        <v>上周无销量</v>
      </c>
    </row>
    <row r="76" spans="1:46">
      <c r="A76" t="s">
        <v>713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">
        <v>53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22" t="str">
        <f t="shared" si="24"/>
        <v/>
      </c>
      <c r="AM76" s="22" t="str">
        <f t="shared" si="25"/>
        <v/>
      </c>
      <c r="AN76" s="22" t="str">
        <f t="shared" si="26"/>
        <v/>
      </c>
      <c r="AO76" s="22" t="str">
        <f t="shared" si="27"/>
        <v/>
      </c>
      <c r="AP76" s="7">
        <f t="shared" si="28"/>
        <v>0</v>
      </c>
      <c r="AQ76" s="7">
        <f t="shared" si="29"/>
        <v>0</v>
      </c>
      <c r="AR76" s="7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718</v>
      </c>
      <c r="B77" s="5">
        <f>SUMIF('库存（子SKU）'!$C:$C,$A77,'库存（子SKU）'!D:D)</f>
        <v>2</v>
      </c>
      <c r="C77" s="5">
        <f>SUMIF('库存（子SKU）'!$C:$C,$A77,'库存（子SKU）'!E:E)</f>
        <v>1</v>
      </c>
      <c r="D77" s="5">
        <f>SUMIF('库存（子SKU）'!$C:$C,$A77,'库存（子SKU）'!F:F)</f>
        <v>0</v>
      </c>
      <c r="E77" s="5">
        <f>SUMIF('库存（子SKU）'!$C:$C,$A77,'库存（子SKU）'!G:G)</f>
        <v>1</v>
      </c>
      <c r="F77" s="6">
        <v>22.7</v>
      </c>
      <c r="G77">
        <f>SUMIF('库存（子SKU）'!$C:$C,$A77,'库存（子SKU）'!I:I)</f>
        <v>11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11</v>
      </c>
      <c r="L77">
        <f>SUMIF('库存（子SKU）'!$C:$C,$A77,'库存（子SKU）'!N:N)</f>
        <v>0</v>
      </c>
      <c r="M77">
        <f>SUMIF('库存（子SKU）'!$C:$C,$A77,'库存（子SKU）'!O:O)</f>
        <v>8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>
        <f t="shared" si="20"/>
        <v>0</v>
      </c>
      <c r="AE77" s="22">
        <f t="shared" si="21"/>
        <v>0</v>
      </c>
      <c r="AF77" s="22" t="str">
        <f t="shared" si="22"/>
        <v/>
      </c>
      <c r="AG77" s="22">
        <f t="shared" si="23"/>
        <v>0</v>
      </c>
      <c r="AH77">
        <f>SUMIF('库存（子SKU）'!$C:$C,$A77,'库存（子SKU）'!AJ:AJ)</f>
        <v>27</v>
      </c>
      <c r="AI77">
        <f>SUMIF('库存（子SKU）'!$C:$C,$A77,'库存（子SKU）'!AK:AK)</f>
        <v>38</v>
      </c>
      <c r="AJ77">
        <f>SUMIF('库存（子SKU）'!$C:$C,$A77,'库存（子SKU）'!AL:AL)</f>
        <v>19</v>
      </c>
      <c r="AK77">
        <f>SUMIF('库存（子SKU）'!$C:$C,$A77,'库存（子SKU）'!AM:AM)</f>
        <v>37</v>
      </c>
      <c r="AL77" s="22">
        <f t="shared" si="24"/>
        <v>0.0740740740740741</v>
      </c>
      <c r="AM77" s="22">
        <f t="shared" si="25"/>
        <v>0.0263157894736842</v>
      </c>
      <c r="AN77" s="22">
        <f t="shared" si="26"/>
        <v>0</v>
      </c>
      <c r="AO77" s="22">
        <f t="shared" si="27"/>
        <v>0.027027027027027</v>
      </c>
      <c r="AP77" s="7">
        <f t="shared" si="28"/>
        <v>0.285714285714286</v>
      </c>
      <c r="AQ77" s="7">
        <f t="shared" si="29"/>
        <v>17.1428571428571</v>
      </c>
      <c r="AR77" s="7">
        <f t="shared" si="30"/>
        <v>-6.14285714285714</v>
      </c>
      <c r="AS77">
        <f t="shared" si="31"/>
        <v>38</v>
      </c>
      <c r="AT77" s="2">
        <f>IFERROR(时间!$B$4+AS77,"上周无销量")</f>
        <v>43356</v>
      </c>
    </row>
    <row r="78" spans="1:46">
      <c r="A78" t="s">
        <v>731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53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22" t="str">
        <f t="shared" si="24"/>
        <v/>
      </c>
      <c r="AM78" s="22" t="str">
        <f t="shared" si="25"/>
        <v/>
      </c>
      <c r="AN78" s="22" t="str">
        <f t="shared" si="26"/>
        <v/>
      </c>
      <c r="AO78" s="22" t="str">
        <f t="shared" si="27"/>
        <v/>
      </c>
      <c r="AP78" s="7">
        <f t="shared" si="28"/>
        <v>0</v>
      </c>
      <c r="AQ78" s="7">
        <f t="shared" si="29"/>
        <v>0</v>
      </c>
      <c r="AR78" s="7">
        <f t="shared" si="30"/>
        <v>0</v>
      </c>
      <c r="AS78" t="str">
        <f t="shared" si="31"/>
        <v>库存为0</v>
      </c>
      <c r="AT78" s="2" t="str">
        <f>IFERROR(时间!$B$4+AS78,"上周无销量")</f>
        <v>上周无销量</v>
      </c>
    </row>
    <row r="79" spans="1:46">
      <c r="A79" t="s">
        <v>732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6" t="s">
        <v>53</v>
      </c>
      <c r="G79">
        <f>SUMIF('库存（子SKU）'!$C:$C,$A79,'库存（子SKU）'!I:I)</f>
        <v>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</v>
      </c>
      <c r="L79">
        <f>SUMIF('库存（子SKU）'!$C:$C,$A79,'库存（子SKU）'!N:N)</f>
        <v>0</v>
      </c>
      <c r="M79">
        <f>SUMIF('库存（子SKU）'!$C:$C,$A79,'库存（子SKU）'!O:O)</f>
        <v>4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 t="str">
        <f t="shared" si="22"/>
        <v/>
      </c>
      <c r="AG79" s="22" t="str">
        <f t="shared" si="23"/>
        <v/>
      </c>
      <c r="AH79">
        <f>SUMIF('库存（子SKU）'!$C:$C,$A79,'库存（子SKU）'!AJ:AJ)</f>
        <v>1</v>
      </c>
      <c r="AI79">
        <f>SUMIF('库存（子SKU）'!$C:$C,$A79,'库存（子SKU）'!AK:AK)</f>
        <v>4</v>
      </c>
      <c r="AJ79">
        <f>SUMIF('库存（子SKU）'!$C:$C,$A79,'库存（子SKU）'!AL:AL)</f>
        <v>2</v>
      </c>
      <c r="AK79">
        <f>SUMIF('库存（子SKU）'!$C:$C,$A79,'库存（子SKU）'!AM:AM)</f>
        <v>5</v>
      </c>
      <c r="AL79" s="22">
        <f t="shared" si="24"/>
        <v>0</v>
      </c>
      <c r="AM79" s="22">
        <f t="shared" si="25"/>
        <v>0</v>
      </c>
      <c r="AN79" s="22">
        <f t="shared" si="26"/>
        <v>0</v>
      </c>
      <c r="AO79" s="22">
        <f t="shared" si="27"/>
        <v>0</v>
      </c>
      <c r="AP79" s="7">
        <f t="shared" si="28"/>
        <v>0</v>
      </c>
      <c r="AQ79" s="7">
        <f t="shared" si="29"/>
        <v>0</v>
      </c>
      <c r="AR79" s="7">
        <f t="shared" si="30"/>
        <v>4</v>
      </c>
      <c r="AS79" t="str">
        <f t="shared" si="31"/>
        <v>库存为4</v>
      </c>
      <c r="AT79" s="2" t="str">
        <f>IFERROR(时间!$B$4+AS79,"上周无销量")</f>
        <v>上周无销量</v>
      </c>
    </row>
    <row r="80" spans="1:46">
      <c r="A80" t="s">
        <v>734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6" t="s">
        <v>53</v>
      </c>
      <c r="G80">
        <f>SUMIF('库存（子SKU）'!$C:$C,$A80,'库存（子SKU）'!I:I)</f>
        <v>1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1</v>
      </c>
      <c r="L80">
        <f>SUMIF('库存（子SKU）'!$C:$C,$A80,'库存（子SKU）'!N:N)</f>
        <v>0</v>
      </c>
      <c r="M80">
        <f>SUMIF('库存（子SKU）'!$C:$C,$A80,'库存（子SKU）'!O:O)</f>
        <v>1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 t="str">
        <f t="shared" si="20"/>
        <v/>
      </c>
      <c r="AE80" s="22" t="str">
        <f t="shared" si="21"/>
        <v/>
      </c>
      <c r="AF80" s="22" t="str">
        <f t="shared" si="22"/>
        <v/>
      </c>
      <c r="AG80" s="22" t="str">
        <f t="shared" si="23"/>
        <v/>
      </c>
      <c r="AH80">
        <f>SUMIF('库存（子SKU）'!$C:$C,$A80,'库存（子SKU）'!AJ:AJ)</f>
        <v>3</v>
      </c>
      <c r="AI80">
        <f>SUMIF('库存（子SKU）'!$C:$C,$A80,'库存（子SKU）'!AK:AK)</f>
        <v>5</v>
      </c>
      <c r="AJ80">
        <f>SUMIF('库存（子SKU）'!$C:$C,$A80,'库存（子SKU）'!AL:AL)</f>
        <v>4</v>
      </c>
      <c r="AK80">
        <f>SUMIF('库存（子SKU）'!$C:$C,$A80,'库存（子SKU）'!AM:AM)</f>
        <v>6</v>
      </c>
      <c r="AL80" s="22">
        <f t="shared" si="24"/>
        <v>0</v>
      </c>
      <c r="AM80" s="22">
        <f t="shared" si="25"/>
        <v>0</v>
      </c>
      <c r="AN80" s="22">
        <f t="shared" si="26"/>
        <v>0</v>
      </c>
      <c r="AO80" s="22">
        <f t="shared" si="27"/>
        <v>0</v>
      </c>
      <c r="AP80" s="7">
        <f t="shared" si="28"/>
        <v>0</v>
      </c>
      <c r="AQ80" s="7">
        <f t="shared" si="29"/>
        <v>0</v>
      </c>
      <c r="AR80" s="7">
        <f t="shared" si="30"/>
        <v>1</v>
      </c>
      <c r="AS80" t="str">
        <f t="shared" si="31"/>
        <v>库存为1</v>
      </c>
      <c r="AT80" s="2" t="str">
        <f>IFERROR(时间!$B$4+AS80,"上周无销量")</f>
        <v>上周无销量</v>
      </c>
    </row>
    <row r="81" spans="1:46">
      <c r="A81" t="s">
        <v>738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">
        <v>53</v>
      </c>
      <c r="G81">
        <f>SUMIF('库存（子SKU）'!$C:$C,$A81,'库存（子SKU）'!I:I)</f>
        <v>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4</v>
      </c>
      <c r="L81">
        <f>SUMIF('库存（子SKU）'!$C:$C,$A81,'库存（子SKU）'!N:N)</f>
        <v>0</v>
      </c>
      <c r="M81">
        <f>SUMIF('库存（子SKU）'!$C:$C,$A81,'库存（子SKU）'!O:O)</f>
        <v>4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6</v>
      </c>
      <c r="AI81">
        <f>SUMIF('库存（子SKU）'!$C:$C,$A81,'库存（子SKU）'!AK:AK)</f>
        <v>5</v>
      </c>
      <c r="AJ81">
        <f>SUMIF('库存（子SKU）'!$C:$C,$A81,'库存（子SKU）'!AL:AL)</f>
        <v>3</v>
      </c>
      <c r="AK81">
        <f>SUMIF('库存（子SKU）'!$C:$C,$A81,'库存（子SKU）'!AM:AM)</f>
        <v>5</v>
      </c>
      <c r="AL81" s="22">
        <f t="shared" si="24"/>
        <v>0</v>
      </c>
      <c r="AM81" s="22">
        <f t="shared" si="25"/>
        <v>0</v>
      </c>
      <c r="AN81" s="22">
        <f t="shared" si="26"/>
        <v>0</v>
      </c>
      <c r="AO81" s="22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4</v>
      </c>
      <c r="AS81" t="str">
        <f t="shared" si="31"/>
        <v>库存为4</v>
      </c>
      <c r="AT81" s="2" t="str">
        <f>IFERROR(时间!$B$4+AS81,"上周无销量")</f>
        <v>上周无销量</v>
      </c>
    </row>
    <row r="82" spans="1:46">
      <c r="A82" t="s">
        <v>739</v>
      </c>
      <c r="B82" s="5">
        <f>SUMIF('库存（子SKU）'!$C:$C,$A82,'库存（子SKU）'!D:D)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 t="s">
        <v>53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 t="str">
        <f t="shared" si="20"/>
        <v/>
      </c>
      <c r="AE82" s="22" t="str">
        <f t="shared" si="21"/>
        <v/>
      </c>
      <c r="AF82" s="22" t="str">
        <f t="shared" si="22"/>
        <v/>
      </c>
      <c r="AG82" s="22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2" t="str">
        <f t="shared" si="24"/>
        <v/>
      </c>
      <c r="AM82" s="22" t="str">
        <f t="shared" si="25"/>
        <v/>
      </c>
      <c r="AN82" s="22" t="str">
        <f t="shared" si="26"/>
        <v/>
      </c>
      <c r="AO82" s="22" t="str">
        <f t="shared" si="27"/>
        <v/>
      </c>
      <c r="AP82" s="7">
        <f t="shared" si="28"/>
        <v>0</v>
      </c>
      <c r="AQ82" s="7">
        <f t="shared" si="29"/>
        <v>0</v>
      </c>
      <c r="AR82" s="7">
        <f t="shared" si="30"/>
        <v>0</v>
      </c>
      <c r="AS82" t="str">
        <f t="shared" si="31"/>
        <v>库存为0</v>
      </c>
      <c r="AT82" s="2" t="str">
        <f>IFERROR(时间!$B$4+AS82,"上周无销量")</f>
        <v>上周无销量</v>
      </c>
    </row>
    <row r="83" spans="1:46">
      <c r="A83" t="s">
        <v>743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1</v>
      </c>
      <c r="E83" s="5">
        <f>SUMIF('库存（子SKU）'!$C:$C,$A83,'库存（子SKU）'!G:G)</f>
        <v>0</v>
      </c>
      <c r="F83" s="6">
        <v>10.99</v>
      </c>
      <c r="G83">
        <f>SUMIF('库存（子SKU）'!$C:$C,$A83,'库存（子SKU）'!I:I)</f>
        <v>13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13</v>
      </c>
      <c r="L83">
        <f>SUMIF('库存（子SKU）'!$C:$C,$A83,'库存（子SKU）'!N:N)</f>
        <v>0</v>
      </c>
      <c r="M83">
        <f>SUMIF('库存（子SKU）'!$C:$C,$A83,'库存（子SKU）'!O:O)</f>
        <v>13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>
        <f t="shared" si="22"/>
        <v>0</v>
      </c>
      <c r="AG83" s="22" t="str">
        <f t="shared" si="23"/>
        <v/>
      </c>
      <c r="AH83">
        <f>SUMIF('库存（子SKU）'!$C:$C,$A83,'库存（子SKU）'!AJ:AJ)</f>
        <v>11</v>
      </c>
      <c r="AI83">
        <f>SUMIF('库存（子SKU）'!$C:$C,$A83,'库存（子SKU）'!AK:AK)</f>
        <v>10</v>
      </c>
      <c r="AJ83">
        <f>SUMIF('库存（子SKU）'!$C:$C,$A83,'库存（子SKU）'!AL:AL)</f>
        <v>7</v>
      </c>
      <c r="AK83">
        <f>SUMIF('库存（子SKU）'!$C:$C,$A83,'库存（子SKU）'!AM:AM)</f>
        <v>13</v>
      </c>
      <c r="AL83" s="22">
        <f t="shared" si="24"/>
        <v>0</v>
      </c>
      <c r="AM83" s="22">
        <f t="shared" si="25"/>
        <v>0</v>
      </c>
      <c r="AN83" s="22">
        <f t="shared" si="26"/>
        <v>0.142857142857143</v>
      </c>
      <c r="AO83" s="22">
        <f t="shared" si="27"/>
        <v>0</v>
      </c>
      <c r="AP83" s="7">
        <f t="shared" si="28"/>
        <v>0</v>
      </c>
      <c r="AQ83" s="7">
        <f t="shared" si="29"/>
        <v>0</v>
      </c>
      <c r="AR83" s="7">
        <f t="shared" si="30"/>
        <v>13</v>
      </c>
      <c r="AS83" t="str">
        <f t="shared" si="31"/>
        <v>库存为13</v>
      </c>
      <c r="AT83" s="2" t="str">
        <f>IFERROR(时间!$B$4+AS83,"上周无销量")</f>
        <v>上周无销量</v>
      </c>
    </row>
    <row r="84" spans="1:46">
      <c r="A84" t="s">
        <v>748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53</v>
      </c>
      <c r="G84">
        <f>SUMIF('库存（子SKU）'!$C:$C,$A84,'库存（子SKU）'!I:I)</f>
        <v>89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89</v>
      </c>
      <c r="L84">
        <f>SUMIF('库存（子SKU）'!$C:$C,$A84,'库存（子SKU）'!N:N)</f>
        <v>0</v>
      </c>
      <c r="M84">
        <f>SUMIF('库存（子SKU）'!$C:$C,$A84,'库存（子SKU）'!O:O)</f>
        <v>75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19</v>
      </c>
      <c r="AI84">
        <f>SUMIF('库存（子SKU）'!$C:$C,$A84,'库存（子SKU）'!AK:AK)</f>
        <v>16</v>
      </c>
      <c r="AJ84">
        <f>SUMIF('库存（子SKU）'!$C:$C,$A84,'库存（子SKU）'!AL:AL)</f>
        <v>18</v>
      </c>
      <c r="AK84">
        <f>SUMIF('库存（子SKU）'!$C:$C,$A84,'库存（子SKU）'!AM:AM)</f>
        <v>20</v>
      </c>
      <c r="AL84" s="22">
        <f t="shared" si="24"/>
        <v>0</v>
      </c>
      <c r="AM84" s="22">
        <f t="shared" si="25"/>
        <v>0</v>
      </c>
      <c r="AN84" s="22">
        <f t="shared" si="26"/>
        <v>0</v>
      </c>
      <c r="AO84" s="22">
        <f t="shared" si="27"/>
        <v>0</v>
      </c>
      <c r="AP84" s="7">
        <f t="shared" si="28"/>
        <v>0</v>
      </c>
      <c r="AQ84" s="7">
        <f t="shared" si="29"/>
        <v>0</v>
      </c>
      <c r="AR84" s="7">
        <f t="shared" si="30"/>
        <v>89</v>
      </c>
      <c r="AS84" t="str">
        <f t="shared" si="31"/>
        <v>库存为89</v>
      </c>
      <c r="AT84" s="2" t="str">
        <f>IFERROR(时间!$B$4+AS84,"上周无销量")</f>
        <v>上周无销量</v>
      </c>
    </row>
    <row r="85" spans="1:46">
      <c r="A85" t="s">
        <v>759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53</v>
      </c>
      <c r="G85">
        <f>SUMIF('库存（子SKU）'!$C:$C,$A85,'库存（子SKU）'!I:I)</f>
        <v>9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9</v>
      </c>
      <c r="L85">
        <f>SUMIF('库存（子SKU）'!$C:$C,$A85,'库存（子SKU）'!N:N)</f>
        <v>0</v>
      </c>
      <c r="M85">
        <f>SUMIF('库存（子SKU）'!$C:$C,$A85,'库存（子SKU）'!O:O)</f>
        <v>9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2</v>
      </c>
      <c r="AI85">
        <f>SUMIF('库存（子SKU）'!$C:$C,$A85,'库存（子SKU）'!AK:AK)</f>
        <v>5</v>
      </c>
      <c r="AJ85">
        <f>SUMIF('库存（子SKU）'!$C:$C,$A85,'库存（子SKU）'!AL:AL)</f>
        <v>4</v>
      </c>
      <c r="AK85">
        <f>SUMIF('库存（子SKU）'!$C:$C,$A85,'库存（子SKU）'!AM:AM)</f>
        <v>7</v>
      </c>
      <c r="AL85" s="22">
        <f t="shared" si="24"/>
        <v>0</v>
      </c>
      <c r="AM85" s="22">
        <f t="shared" si="25"/>
        <v>0</v>
      </c>
      <c r="AN85" s="22">
        <f t="shared" si="26"/>
        <v>0</v>
      </c>
      <c r="AO85" s="22">
        <f t="shared" si="27"/>
        <v>0</v>
      </c>
      <c r="AP85" s="7">
        <f t="shared" si="28"/>
        <v>0</v>
      </c>
      <c r="AQ85" s="7">
        <f t="shared" si="29"/>
        <v>0</v>
      </c>
      <c r="AR85" s="7">
        <f t="shared" si="30"/>
        <v>9</v>
      </c>
      <c r="AS85" t="str">
        <f t="shared" si="31"/>
        <v>库存为9</v>
      </c>
      <c r="AT85" s="2" t="str">
        <f>IFERROR(时间!$B$4+AS85,"上周无销量")</f>
        <v>上周无销量</v>
      </c>
    </row>
    <row r="86" spans="1:46">
      <c r="A86" t="s">
        <v>764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 t="str">
        <f t="shared" si="24"/>
        <v/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0</v>
      </c>
      <c r="AS86" t="str">
        <f t="shared" si="31"/>
        <v>库存为0</v>
      </c>
      <c r="AT86" s="2" t="str">
        <f>IFERROR(时间!$B$4+AS86,"上周无销量")</f>
        <v>上周无销量</v>
      </c>
    </row>
    <row r="87" spans="1:46">
      <c r="A87" t="s">
        <v>769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">
        <v>53</v>
      </c>
      <c r="G87">
        <f>SUMIF('库存（子SKU）'!$C:$C,$A87,'库存（子SKU）'!I:I)</f>
        <v>13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13</v>
      </c>
      <c r="L87">
        <f>SUMIF('库存（子SKU）'!$C:$C,$A87,'库存（子SKU）'!N:N)</f>
        <v>0</v>
      </c>
      <c r="M87">
        <f>SUMIF('库存（子SKU）'!$C:$C,$A87,'库存（子SKU）'!O:O)</f>
        <v>13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4</v>
      </c>
      <c r="AI87">
        <f>SUMIF('库存（子SKU）'!$C:$C,$A87,'库存（子SKU）'!AK:AK)</f>
        <v>6</v>
      </c>
      <c r="AJ87">
        <f>SUMIF('库存（子SKU）'!$C:$C,$A87,'库存（子SKU）'!AL:AL)</f>
        <v>4</v>
      </c>
      <c r="AK87">
        <f>SUMIF('库存（子SKU）'!$C:$C,$A87,'库存（子SKU）'!AM:AM)</f>
        <v>7</v>
      </c>
      <c r="AL87" s="22">
        <f t="shared" si="24"/>
        <v>0</v>
      </c>
      <c r="AM87" s="22">
        <f t="shared" si="25"/>
        <v>0</v>
      </c>
      <c r="AN87" s="22">
        <f t="shared" si="26"/>
        <v>0</v>
      </c>
      <c r="AO87" s="22">
        <f t="shared" si="27"/>
        <v>0</v>
      </c>
      <c r="AP87" s="7">
        <f t="shared" si="28"/>
        <v>0</v>
      </c>
      <c r="AQ87" s="7">
        <f t="shared" si="29"/>
        <v>0</v>
      </c>
      <c r="AR87" s="7">
        <f t="shared" si="30"/>
        <v>13</v>
      </c>
      <c r="AS87" t="str">
        <f t="shared" si="31"/>
        <v>库存为13</v>
      </c>
      <c r="AT87" s="2" t="str">
        <f>IFERROR(时间!$B$4+AS87,"上周无销量")</f>
        <v>上周无销量</v>
      </c>
    </row>
    <row r="88" spans="1:46">
      <c r="A88" t="s">
        <v>780</v>
      </c>
      <c r="B88" s="5">
        <f>SUMIF('库存（子SKU）'!$C:$C,$A88,'库存（子SKU）'!D:D)</f>
        <v>8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>
        <v>15.99</v>
      </c>
      <c r="G88">
        <f>SUMIF('库存（子SKU）'!$C:$C,$A88,'库存（子SKU）'!I:I)</f>
        <v>21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21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909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2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>
        <f t="shared" si="32"/>
        <v>0.0022002200220022</v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0.74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>
        <f t="shared" si="20"/>
        <v>0.0057848655409631</v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21</v>
      </c>
      <c r="AI88">
        <f>SUMIF('库存（子SKU）'!$C:$C,$A88,'库存（子SKU）'!AK:AK)</f>
        <v>4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>
        <f t="shared" si="24"/>
        <v>0.380952380952381</v>
      </c>
      <c r="AM88" s="22">
        <f t="shared" si="25"/>
        <v>0</v>
      </c>
      <c r="AN88" s="22" t="str">
        <f t="shared" si="26"/>
        <v/>
      </c>
      <c r="AO88" s="22" t="str">
        <f t="shared" si="27"/>
        <v/>
      </c>
      <c r="AP88" s="7">
        <f t="shared" si="28"/>
        <v>1.14285714285714</v>
      </c>
      <c r="AQ88" s="7">
        <f t="shared" si="29"/>
        <v>68.5714285714286</v>
      </c>
      <c r="AR88" s="7">
        <f t="shared" si="30"/>
        <v>-47.5714285714286</v>
      </c>
      <c r="AS88">
        <f t="shared" si="31"/>
        <v>18</v>
      </c>
      <c r="AT88" s="2">
        <f>IFERROR(时间!$B$4+AS88,"上周无销量")</f>
        <v>43336</v>
      </c>
    </row>
    <row r="89" spans="1:46">
      <c r="A89" t="s">
        <v>793</v>
      </c>
      <c r="B89" s="5">
        <f>SUMIF('库存（子SKU）'!$C:$C,$A89,'库存（子SKU）'!D:D)</f>
        <v>3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>
        <v>16.99</v>
      </c>
      <c r="G89">
        <f>SUMIF('库存（子SKU）'!$C:$C,$A89,'库存（子SKU）'!I:I)</f>
        <v>40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40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418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>
        <f t="shared" si="32"/>
        <v>0</v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>
        <f t="shared" si="20"/>
        <v>0</v>
      </c>
      <c r="AE89" s="22" t="str">
        <f t="shared" si="21"/>
        <v/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13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2">
        <f t="shared" si="24"/>
        <v>0.230769230769231</v>
      </c>
      <c r="AM89" s="22" t="str">
        <f t="shared" si="25"/>
        <v/>
      </c>
      <c r="AN89" s="22" t="str">
        <f t="shared" si="26"/>
        <v/>
      </c>
      <c r="AO89" s="22" t="str">
        <f t="shared" si="27"/>
        <v/>
      </c>
      <c r="AP89" s="7">
        <f t="shared" si="28"/>
        <v>0.428571428571429</v>
      </c>
      <c r="AQ89" s="7">
        <f t="shared" si="29"/>
        <v>25.7142857142857</v>
      </c>
      <c r="AR89" s="7">
        <f t="shared" si="30"/>
        <v>14.2857142857143</v>
      </c>
      <c r="AS89">
        <f t="shared" si="31"/>
        <v>93</v>
      </c>
      <c r="AT89" s="2">
        <f>IFERROR(时间!$B$4+AS89,"上周无销量")</f>
        <v>43411</v>
      </c>
    </row>
    <row r="90" spans="1:46">
      <c r="A90" t="s">
        <v>812</v>
      </c>
      <c r="B90" s="5">
        <f>SUMIF('库存（子SKU）'!$C:$C,$A90,'库存（子SKU）'!D:D)</f>
        <v>3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>
        <v>15.99</v>
      </c>
      <c r="G90">
        <f>SUMIF('库存（子SKU）'!$C:$C,$A90,'库存（子SKU）'!I:I)</f>
        <v>42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42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3581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5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>
        <f t="shared" si="32"/>
        <v>0.00139625802848366</v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1.77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>
        <f t="shared" si="20"/>
        <v>0.0368980612883052</v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13</v>
      </c>
      <c r="AI90">
        <f>SUMIF('库存（子SKU）'!$C:$C,$A90,'库存（子SKU）'!AK:AK)</f>
        <v>1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2">
        <f t="shared" si="24"/>
        <v>0.230769230769231</v>
      </c>
      <c r="AM90" s="22">
        <f t="shared" si="25"/>
        <v>0</v>
      </c>
      <c r="AN90" s="22" t="str">
        <f t="shared" si="26"/>
        <v/>
      </c>
      <c r="AO90" s="22" t="str">
        <f t="shared" si="27"/>
        <v/>
      </c>
      <c r="AP90" s="7">
        <f t="shared" si="28"/>
        <v>0.428571428571429</v>
      </c>
      <c r="AQ90" s="7">
        <f t="shared" si="29"/>
        <v>25.7142857142857</v>
      </c>
      <c r="AR90" s="7">
        <f t="shared" si="30"/>
        <v>16.2857142857143</v>
      </c>
      <c r="AS90">
        <f t="shared" si="31"/>
        <v>98</v>
      </c>
      <c r="AT90" s="2">
        <f>IFERROR(时间!$B$4+AS90,"上周无销量")</f>
        <v>43416</v>
      </c>
    </row>
    <row r="91" spans="1:46">
      <c r="A91" t="s">
        <v>832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">
        <v>53</v>
      </c>
      <c r="G91">
        <f>SUMIF('库存（子SKU）'!$C:$C,$A91,'库存（子SKU）'!I:I)</f>
        <v>59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59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102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>
        <f t="shared" si="32"/>
        <v>0</v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 t="str">
        <f t="shared" si="20"/>
        <v/>
      </c>
      <c r="AE91" s="22" t="str">
        <f t="shared" si="21"/>
        <v/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14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2">
        <f t="shared" si="24"/>
        <v>0</v>
      </c>
      <c r="AM91" s="22" t="str">
        <f t="shared" si="25"/>
        <v/>
      </c>
      <c r="AN91" s="22" t="str">
        <f t="shared" si="26"/>
        <v/>
      </c>
      <c r="AO91" s="22" t="str">
        <f t="shared" si="27"/>
        <v/>
      </c>
      <c r="AP91" s="7">
        <f t="shared" si="28"/>
        <v>0</v>
      </c>
      <c r="AQ91" s="7">
        <f t="shared" si="29"/>
        <v>0</v>
      </c>
      <c r="AR91" s="7">
        <f t="shared" si="30"/>
        <v>59</v>
      </c>
      <c r="AS91" t="str">
        <f t="shared" si="31"/>
        <v>库存为59</v>
      </c>
      <c r="AT91" s="2" t="str">
        <f>IFERROR(时间!$B$4+AS91,"上周无销量")</f>
        <v>上周无销量</v>
      </c>
    </row>
    <row r="92" spans="1:46">
      <c r="A92" t="s">
        <v>857</v>
      </c>
      <c r="B92" s="5">
        <f>SUMIF('库存（子SKU）'!$C:$C,$A92,'库存（子SKU）'!D:D)</f>
        <v>1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>
        <v>11.99</v>
      </c>
      <c r="G92">
        <f>SUMIF('库存（子SKU）'!$C:$C,$A92,'库存（子SKU）'!I:I)</f>
        <v>29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29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4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>
        <f t="shared" si="32"/>
        <v>0</v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>
        <f t="shared" si="20"/>
        <v>0</v>
      </c>
      <c r="AE92" s="22" t="str">
        <f t="shared" si="21"/>
        <v/>
      </c>
      <c r="AF92" s="22" t="str">
        <f t="shared" si="22"/>
        <v/>
      </c>
      <c r="AG92" s="22" t="str">
        <f t="shared" si="23"/>
        <v/>
      </c>
      <c r="AH92">
        <f>SUMIF('库存（子SKU）'!$C:$C,$A92,'库存（子SKU）'!AJ:AJ)</f>
        <v>11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2">
        <f t="shared" si="24"/>
        <v>0.0909090909090909</v>
      </c>
      <c r="AM92" s="22" t="str">
        <f t="shared" si="25"/>
        <v/>
      </c>
      <c r="AN92" s="22" t="str">
        <f t="shared" si="26"/>
        <v/>
      </c>
      <c r="AO92" s="22" t="str">
        <f t="shared" si="27"/>
        <v/>
      </c>
      <c r="AP92" s="7">
        <f t="shared" si="28"/>
        <v>0.142857142857143</v>
      </c>
      <c r="AQ92" s="7">
        <f t="shared" si="29"/>
        <v>8.57142857142857</v>
      </c>
      <c r="AR92" s="7">
        <f t="shared" si="30"/>
        <v>20.4285714285714</v>
      </c>
      <c r="AS92">
        <f t="shared" si="31"/>
        <v>203</v>
      </c>
      <c r="AT92" s="2">
        <f>IFERROR(时间!$B$4+AS92,"上周无销量")</f>
        <v>43521</v>
      </c>
    </row>
    <row r="93" spans="1:46">
      <c r="A93" t="s">
        <v>870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 t="s">
        <v>53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 t="str">
        <f t="shared" si="32"/>
        <v/>
      </c>
      <c r="W93" s="22" t="str">
        <f t="shared" si="33"/>
        <v/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/>
      </c>
      <c r="AE93" s="22" t="str">
        <f t="shared" si="21"/>
        <v/>
      </c>
      <c r="AF93" s="22" t="str">
        <f t="shared" si="22"/>
        <v/>
      </c>
      <c r="AG93" s="22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2" t="str">
        <f t="shared" si="24"/>
        <v/>
      </c>
      <c r="AM93" s="22" t="str">
        <f t="shared" si="25"/>
        <v/>
      </c>
      <c r="AN93" s="22" t="str">
        <f t="shared" si="26"/>
        <v/>
      </c>
      <c r="AO93" s="22" t="str">
        <f t="shared" si="27"/>
        <v/>
      </c>
      <c r="AP93" s="7">
        <f t="shared" si="28"/>
        <v>0</v>
      </c>
      <c r="AQ93" s="7">
        <f t="shared" si="29"/>
        <v>0</v>
      </c>
      <c r="AR93" s="7">
        <f t="shared" si="30"/>
        <v>0</v>
      </c>
      <c r="AS93" t="str">
        <f t="shared" si="31"/>
        <v>库存为0</v>
      </c>
      <c r="AT93" s="2" t="str">
        <f>IFERROR(时间!$B$4+AS93,"上周无销量")</f>
        <v>上周无销量</v>
      </c>
    </row>
    <row r="94" spans="1:46">
      <c r="A94" t="s">
        <v>873</v>
      </c>
      <c r="B94" s="5">
        <f>SUMIF('库存（子SKU）'!$C:$C,$A94,'库存（子SKU）'!D:D)</f>
        <v>2</v>
      </c>
      <c r="C94" s="5">
        <f>SUMIF('库存（子SKU）'!$C:$C,$A94,'库存（子SKU）'!E:E)</f>
        <v>1</v>
      </c>
      <c r="D94" s="5">
        <f>SUMIF('库存（子SKU）'!$C:$C,$A94,'库存（子SKU）'!F:F)</f>
        <v>3</v>
      </c>
      <c r="E94" s="5">
        <f>SUMIF('库存（子SKU）'!$C:$C,$A94,'库存（子SKU）'!G:G)</f>
        <v>4</v>
      </c>
      <c r="F94" s="6">
        <v>25.48</v>
      </c>
      <c r="G94">
        <f>SUMIF('库存（子SKU）'!$C:$C,$A94,'库存（子SKU）'!I:I)</f>
        <v>36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36</v>
      </c>
      <c r="L94">
        <f>SUMIF('库存（子SKU）'!$C:$C,$A94,'库存（子SKU）'!N:N)</f>
        <v>0</v>
      </c>
      <c r="M94">
        <f>SUMIF('库存（子SKU）'!$C:$C,$A94,'库存（子SKU）'!O:O)</f>
        <v>5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>
        <f t="shared" si="20"/>
        <v>0</v>
      </c>
      <c r="AE94" s="22">
        <f t="shared" si="21"/>
        <v>0</v>
      </c>
      <c r="AF94" s="22">
        <f t="shared" si="22"/>
        <v>0</v>
      </c>
      <c r="AG94" s="22">
        <f t="shared" si="23"/>
        <v>0</v>
      </c>
      <c r="AH94">
        <f>SUMIF('库存（子SKU）'!$C:$C,$A94,'库存（子SKU）'!AJ:AJ)</f>
        <v>66</v>
      </c>
      <c r="AI94">
        <f>SUMIF('库存（子SKU）'!$C:$C,$A94,'库存（子SKU）'!AK:AK)</f>
        <v>86</v>
      </c>
      <c r="AJ94">
        <f>SUMIF('库存（子SKU）'!$C:$C,$A94,'库存（子SKU）'!AL:AL)</f>
        <v>91</v>
      </c>
      <c r="AK94">
        <f>SUMIF('库存（子SKU）'!$C:$C,$A94,'库存（子SKU）'!AM:AM)</f>
        <v>81</v>
      </c>
      <c r="AL94" s="22">
        <f t="shared" si="24"/>
        <v>0.0303030303030303</v>
      </c>
      <c r="AM94" s="22">
        <f t="shared" si="25"/>
        <v>0.0116279069767442</v>
      </c>
      <c r="AN94" s="22">
        <f t="shared" si="26"/>
        <v>0.032967032967033</v>
      </c>
      <c r="AO94" s="22">
        <f t="shared" si="27"/>
        <v>0.0493827160493827</v>
      </c>
      <c r="AP94" s="7">
        <f t="shared" si="28"/>
        <v>0.285714285714286</v>
      </c>
      <c r="AQ94" s="7">
        <f t="shared" si="29"/>
        <v>17.1428571428571</v>
      </c>
      <c r="AR94" s="7">
        <f t="shared" si="30"/>
        <v>18.8571428571429</v>
      </c>
      <c r="AS94">
        <f t="shared" si="31"/>
        <v>126</v>
      </c>
      <c r="AT94" s="2">
        <f>IFERROR(时间!$B$4+AS94,"上周无销量")</f>
        <v>43444</v>
      </c>
    </row>
    <row r="95" spans="1:46">
      <c r="A95" t="s">
        <v>886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1</v>
      </c>
      <c r="E95" s="5">
        <f>SUMIF('库存（子SKU）'!$C:$C,$A95,'库存（子SKU）'!G:G)</f>
        <v>0</v>
      </c>
      <c r="F95" s="6">
        <v>20</v>
      </c>
      <c r="G95">
        <f>SUMIF('库存（子SKU）'!$C:$C,$A95,'库存（子SKU）'!I:I)</f>
        <v>50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1</v>
      </c>
      <c r="K95">
        <f t="shared" si="19"/>
        <v>51</v>
      </c>
      <c r="L95">
        <f>SUMIF('库存（子SKU）'!$C:$C,$A95,'库存（子SKU）'!N:N)</f>
        <v>0</v>
      </c>
      <c r="M95">
        <f>SUMIF('库存（子SKU）'!$C:$C,$A95,'库存（子SKU）'!O:O)</f>
        <v>51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 t="str">
        <f t="shared" si="20"/>
        <v/>
      </c>
      <c r="AE95" s="22" t="str">
        <f t="shared" si="21"/>
        <v/>
      </c>
      <c r="AF95" s="22">
        <f t="shared" si="22"/>
        <v>0</v>
      </c>
      <c r="AG95" s="22" t="str">
        <f t="shared" si="23"/>
        <v/>
      </c>
      <c r="AH95">
        <f>SUMIF('库存（子SKU）'!$C:$C,$A95,'库存（子SKU）'!AJ:AJ)</f>
        <v>44</v>
      </c>
      <c r="AI95">
        <f>SUMIF('库存（子SKU）'!$C:$C,$A95,'库存（子SKU）'!AK:AK)</f>
        <v>31</v>
      </c>
      <c r="AJ95">
        <f>SUMIF('库存（子SKU）'!$C:$C,$A95,'库存（子SKU）'!AL:AL)</f>
        <v>31</v>
      </c>
      <c r="AK95">
        <f>SUMIF('库存（子SKU）'!$C:$C,$A95,'库存（子SKU）'!AM:AM)</f>
        <v>32</v>
      </c>
      <c r="AL95" s="22">
        <f t="shared" si="24"/>
        <v>0</v>
      </c>
      <c r="AM95" s="22">
        <f t="shared" si="25"/>
        <v>0</v>
      </c>
      <c r="AN95" s="22">
        <f t="shared" si="26"/>
        <v>0.032258064516129</v>
      </c>
      <c r="AO95" s="22">
        <f t="shared" si="27"/>
        <v>0</v>
      </c>
      <c r="AP95" s="7">
        <f t="shared" si="28"/>
        <v>0</v>
      </c>
      <c r="AQ95" s="7">
        <f t="shared" si="29"/>
        <v>0</v>
      </c>
      <c r="AR95" s="7">
        <f t="shared" si="30"/>
        <v>51</v>
      </c>
      <c r="AS95" t="str">
        <f t="shared" si="31"/>
        <v>库存为51</v>
      </c>
      <c r="AT95" s="2" t="str">
        <f>IFERROR(时间!$B$4+AS95,"上周无销量")</f>
        <v>上周无销量</v>
      </c>
    </row>
    <row r="96" spans="1:46">
      <c r="A96" t="s">
        <v>901</v>
      </c>
      <c r="B96" s="5">
        <f>SUMIF('库存（子SKU）'!$C:$C,$A96,'库存（子SKU）'!D:D)</f>
        <v>1</v>
      </c>
      <c r="C96" s="5">
        <f>SUMIF('库存（子SKU）'!$C:$C,$A96,'库存（子SKU）'!E:E)</f>
        <v>0</v>
      </c>
      <c r="D96" s="5">
        <f>SUMIF('库存（子SKU）'!$C:$C,$A96,'库存（子SKU）'!F:F)</f>
        <v>1</v>
      </c>
      <c r="E96" s="5">
        <f>SUMIF('库存（子SKU）'!$C:$C,$A96,'库存（子SKU）'!G:G)</f>
        <v>0</v>
      </c>
      <c r="F96" s="6">
        <v>23.9</v>
      </c>
      <c r="G96">
        <f>SUMIF('库存（子SKU）'!$C:$C,$A96,'库存（子SKU）'!I:I)</f>
        <v>2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2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>
        <f t="shared" si="20"/>
        <v>0</v>
      </c>
      <c r="AE96" s="22" t="str">
        <f t="shared" si="21"/>
        <v/>
      </c>
      <c r="AF96" s="22">
        <f t="shared" si="22"/>
        <v>0</v>
      </c>
      <c r="AG96" s="22" t="str">
        <f t="shared" si="23"/>
        <v/>
      </c>
      <c r="AH96">
        <f>SUMIF('库存（子SKU）'!$C:$C,$A96,'库存（子SKU）'!AJ:AJ)</f>
        <v>4</v>
      </c>
      <c r="AI96">
        <f>SUMIF('库存（子SKU）'!$C:$C,$A96,'库存（子SKU）'!AK:AK)</f>
        <v>12</v>
      </c>
      <c r="AJ96">
        <f>SUMIF('库存（子SKU）'!$C:$C,$A96,'库存（子SKU）'!AL:AL)</f>
        <v>13</v>
      </c>
      <c r="AK96">
        <f>SUMIF('库存（子SKU）'!$C:$C,$A96,'库存（子SKU）'!AM:AM)</f>
        <v>7</v>
      </c>
      <c r="AL96" s="22">
        <f t="shared" si="24"/>
        <v>0.25</v>
      </c>
      <c r="AM96" s="22">
        <f t="shared" si="25"/>
        <v>0</v>
      </c>
      <c r="AN96" s="22">
        <f t="shared" si="26"/>
        <v>0.0769230769230769</v>
      </c>
      <c r="AO96" s="22">
        <f t="shared" si="27"/>
        <v>0</v>
      </c>
      <c r="AP96" s="7">
        <f t="shared" si="28"/>
        <v>0.142857142857143</v>
      </c>
      <c r="AQ96" s="7">
        <f t="shared" si="29"/>
        <v>8.57142857142857</v>
      </c>
      <c r="AR96" s="7">
        <f t="shared" si="30"/>
        <v>-6.57142857142857</v>
      </c>
      <c r="AS96">
        <f t="shared" si="31"/>
        <v>14</v>
      </c>
      <c r="AT96" s="2">
        <f>IFERROR(时间!$B$4+AS96,"上周无销量")</f>
        <v>43332</v>
      </c>
    </row>
    <row r="97" spans="1:46">
      <c r="A97" t="s">
        <v>904</v>
      </c>
      <c r="B97" s="5">
        <f>SUMIF('库存（子SKU）'!$C:$C,$A97,'库存（子SKU）'!D:D)</f>
        <v>47</v>
      </c>
      <c r="C97" s="5">
        <f>SUMIF('库存（子SKU）'!$C:$C,$A97,'库存（子SKU）'!E:E)</f>
        <v>86</v>
      </c>
      <c r="D97" s="5">
        <f>SUMIF('库存（子SKU）'!$C:$C,$A97,'库存（子SKU）'!F:F)</f>
        <v>71</v>
      </c>
      <c r="E97" s="5">
        <f>SUMIF('库存（子SKU）'!$C:$C,$A97,'库存（子SKU）'!G:G)</f>
        <v>44</v>
      </c>
      <c r="F97" s="6">
        <v>19.4592741935484</v>
      </c>
      <c r="G97">
        <f>SUMIF('库存（子SKU）'!$C:$C,$A97,'库存（子SKU）'!I:I)</f>
        <v>283</v>
      </c>
      <c r="H97">
        <f>SUMIF('库存（子SKU）'!$C:$C,$A97,'库存（子SKU）'!J:J)</f>
        <v>234</v>
      </c>
      <c r="I97">
        <f>SUMIF('库存（子SKU）'!$C:$C,$A97,'库存（子SKU）'!K:K)</f>
        <v>0</v>
      </c>
      <c r="J97">
        <f>SUMIF('库存（子SKU）'!$C:$C,$A97,'库存（子SKU）'!L:L)</f>
        <v>34</v>
      </c>
      <c r="K97">
        <f t="shared" si="19"/>
        <v>551</v>
      </c>
      <c r="L97">
        <f>SUMIF('库存（子SKU）'!$C:$C,$A97,'库存（子SKU）'!N:N)</f>
        <v>1</v>
      </c>
      <c r="M97">
        <f>SUMIF('库存（子SKU）'!$C:$C,$A97,'库存（子SKU）'!O:O)</f>
        <v>107</v>
      </c>
      <c r="N97">
        <f>SUMIF('库存（子SKU）'!$C:$C,$A97,'库存（子SKU）'!P:P)</f>
        <v>31757</v>
      </c>
      <c r="O97">
        <f>SUMIF('库存（子SKU）'!$C:$C,$A97,'库存（子SKU）'!Q:Q)</f>
        <v>63625</v>
      </c>
      <c r="P97">
        <f>SUMIF('库存（子SKU）'!$C:$C,$A97,'库存（子SKU）'!R:R)</f>
        <v>80116</v>
      </c>
      <c r="Q97">
        <f>SUMIF('库存（子SKU）'!$C:$C,$A97,'库存（子SKU）'!S:S)</f>
        <v>80706</v>
      </c>
      <c r="R97">
        <f>SUMIF('库存（子SKU）'!$C:$C,$A97,'库存（子SKU）'!T:T)</f>
        <v>211</v>
      </c>
      <c r="S97">
        <f>SUMIF('库存（子SKU）'!$C:$C,$A97,'库存（子SKU）'!U:U)</f>
        <v>348</v>
      </c>
      <c r="T97">
        <f>SUMIF('库存（子SKU）'!$C:$C,$A97,'库存（子SKU）'!V:V)</f>
        <v>370</v>
      </c>
      <c r="U97">
        <f>SUMIF('库存（子SKU）'!$C:$C,$A97,'库存（子SKU）'!W:W)</f>
        <v>293</v>
      </c>
      <c r="V97" s="22">
        <f t="shared" si="32"/>
        <v>0.00664420442737034</v>
      </c>
      <c r="W97" s="22">
        <f t="shared" si="33"/>
        <v>0.00546954813359529</v>
      </c>
      <c r="X97" s="22">
        <f t="shared" si="34"/>
        <v>0.00461830345998302</v>
      </c>
      <c r="Y97" s="22">
        <f t="shared" si="35"/>
        <v>0.00363046118008574</v>
      </c>
      <c r="Z97">
        <f>SUMIF('库存（子SKU）'!$C:$C,$A97,'库存（子SKU）'!AB:AB)</f>
        <v>115.27</v>
      </c>
      <c r="AA97">
        <f>SUMIF('库存（子SKU）'!$C:$C,$A97,'库存（子SKU）'!AC:AC)</f>
        <v>175.37</v>
      </c>
      <c r="AB97">
        <f>SUMIF('库存（子SKU）'!$C:$C,$A97,'库存（子SKU）'!AD:AD)</f>
        <v>198.97</v>
      </c>
      <c r="AC97">
        <f>SUMIF('库存（子SKU）'!$C:$C,$A97,'库存（子SKU）'!AE:AE)</f>
        <v>152.44</v>
      </c>
      <c r="AD97" s="22">
        <f t="shared" si="20"/>
        <v>0.126035183383278</v>
      </c>
      <c r="AE97" s="22">
        <f t="shared" si="21"/>
        <v>0.104792502856438</v>
      </c>
      <c r="AF97" s="22">
        <f t="shared" si="22"/>
        <v>0.144013303801757</v>
      </c>
      <c r="AG97" s="22">
        <f t="shared" si="23"/>
        <v>0.178040836471388</v>
      </c>
      <c r="AH97">
        <f>SUMIF('库存（子SKU）'!$C:$C,$A97,'库存（子SKU）'!AJ:AJ)</f>
        <v>793</v>
      </c>
      <c r="AI97">
        <f>SUMIF('库存（子SKU）'!$C:$C,$A97,'库存（子SKU）'!AK:AK)</f>
        <v>1096</v>
      </c>
      <c r="AJ97">
        <f>SUMIF('库存（子SKU）'!$C:$C,$A97,'库存（子SKU）'!AL:AL)</f>
        <v>934</v>
      </c>
      <c r="AK97">
        <f>SUMIF('库存（子SKU）'!$C:$C,$A97,'库存（子SKU）'!AM:AM)</f>
        <v>636</v>
      </c>
      <c r="AL97" s="22">
        <f t="shared" si="24"/>
        <v>0.0592686002522068</v>
      </c>
      <c r="AM97" s="22">
        <f t="shared" si="25"/>
        <v>0.0784671532846715</v>
      </c>
      <c r="AN97" s="22">
        <f t="shared" si="26"/>
        <v>0.076017130620985</v>
      </c>
      <c r="AO97" s="22">
        <f t="shared" si="27"/>
        <v>0.0691823899371069</v>
      </c>
      <c r="AP97" s="7">
        <f t="shared" si="28"/>
        <v>6.71428571428571</v>
      </c>
      <c r="AQ97" s="7">
        <f t="shared" si="29"/>
        <v>402.857142857143</v>
      </c>
      <c r="AR97" s="7">
        <f t="shared" si="30"/>
        <v>148.142857142857</v>
      </c>
      <c r="AS97">
        <f t="shared" si="31"/>
        <v>82</v>
      </c>
      <c r="AT97" s="2">
        <f>IFERROR(时间!$B$4+AS97,"上周无销量")</f>
        <v>43400</v>
      </c>
    </row>
    <row r="98" spans="1:46">
      <c r="A98" t="s">
        <v>939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6" t="s">
        <v>53</v>
      </c>
      <c r="G98">
        <f>SUMIF('库存（子SKU）'!$C:$C,$A98,'库存（子SKU）'!I:I)</f>
        <v>11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11</v>
      </c>
      <c r="L98">
        <f>SUMIF('库存（子SKU）'!$C:$C,$A98,'库存（子SKU）'!N:N)</f>
        <v>0</v>
      </c>
      <c r="M98">
        <f>SUMIF('库存（子SKU）'!$C:$C,$A98,'库存（子SKU）'!O:O)</f>
        <v>11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/>
      </c>
      <c r="AE98" s="22" t="str">
        <f t="shared" si="21"/>
        <v/>
      </c>
      <c r="AF98" s="22" t="str">
        <f t="shared" si="22"/>
        <v/>
      </c>
      <c r="AG98" s="22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2" t="str">
        <f t="shared" si="24"/>
        <v/>
      </c>
      <c r="AM98" s="22" t="str">
        <f t="shared" si="25"/>
        <v/>
      </c>
      <c r="AN98" s="22" t="str">
        <f t="shared" si="26"/>
        <v/>
      </c>
      <c r="AO98" s="22" t="str">
        <f t="shared" si="27"/>
        <v/>
      </c>
      <c r="AP98" s="7">
        <f t="shared" si="28"/>
        <v>0</v>
      </c>
      <c r="AQ98" s="7">
        <f t="shared" si="29"/>
        <v>0</v>
      </c>
      <c r="AR98" s="7">
        <f t="shared" si="30"/>
        <v>11</v>
      </c>
      <c r="AS98" t="str">
        <f t="shared" si="31"/>
        <v>库存为11</v>
      </c>
      <c r="AT98" s="2" t="str">
        <f>IFERROR(时间!$B$4+AS98,"上周无销量")</f>
        <v>上周无销量</v>
      </c>
    </row>
    <row r="99" spans="1:46">
      <c r="A99" t="s">
        <v>944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">
        <v>53</v>
      </c>
      <c r="G99">
        <f>SUMIF('库存（子SKU）'!$C:$C,$A99,'库存（子SKU）'!I:I)</f>
        <v>21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21</v>
      </c>
      <c r="L99">
        <f>SUMIF('库存（子SKU）'!$C:$C,$A99,'库存（子SKU）'!N:N)</f>
        <v>0</v>
      </c>
      <c r="M99">
        <f>SUMIF('库存（子SKU）'!$C:$C,$A99,'库存（子SKU）'!O:O)</f>
        <v>21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2" t="str">
        <f t="shared" si="32"/>
        <v/>
      </c>
      <c r="W99" s="22" t="str">
        <f t="shared" si="33"/>
        <v/>
      </c>
      <c r="X99" s="22" t="str">
        <f t="shared" si="34"/>
        <v/>
      </c>
      <c r="Y99" s="22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2" t="str">
        <f t="shared" si="20"/>
        <v/>
      </c>
      <c r="AE99" s="22" t="str">
        <f t="shared" si="21"/>
        <v/>
      </c>
      <c r="AF99" s="22" t="str">
        <f t="shared" si="22"/>
        <v/>
      </c>
      <c r="AG99" s="22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2" t="str">
        <f t="shared" si="24"/>
        <v/>
      </c>
      <c r="AM99" s="22" t="str">
        <f t="shared" si="25"/>
        <v/>
      </c>
      <c r="AN99" s="22" t="str">
        <f t="shared" si="26"/>
        <v/>
      </c>
      <c r="AO99" s="22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21</v>
      </c>
      <c r="AS99" t="str">
        <f t="shared" si="31"/>
        <v>库存为21</v>
      </c>
      <c r="AT99" s="2" t="str">
        <f>IFERROR(时间!$B$4+AS99,"上周无销量")</f>
        <v>上周无销量</v>
      </c>
    </row>
    <row r="100" spans="1:46">
      <c r="A100" t="s">
        <v>951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53</v>
      </c>
      <c r="G100">
        <f>SUMIF('库存（子SKU）'!$C:$C,$A100,'库存（子SKU）'!I:I)</f>
        <v>199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199</v>
      </c>
      <c r="L100">
        <f>SUMIF('库存（子SKU）'!$C:$C,$A100,'库存（子SKU）'!N:N)</f>
        <v>0</v>
      </c>
      <c r="M100">
        <f>SUMIF('库存（子SKU）'!$C:$C,$A100,'库存（子SKU）'!O:O)</f>
        <v>199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 t="str">
        <f t="shared" si="22"/>
        <v/>
      </c>
      <c r="AG100" s="22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2" t="str">
        <f t="shared" si="24"/>
        <v/>
      </c>
      <c r="AM100" s="22" t="str">
        <f t="shared" si="25"/>
        <v/>
      </c>
      <c r="AN100" s="22" t="str">
        <f t="shared" si="26"/>
        <v/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199</v>
      </c>
      <c r="AS100" t="str">
        <f t="shared" si="31"/>
        <v>库存为199</v>
      </c>
      <c r="AT100" s="2" t="str">
        <f>IFERROR(时间!$B$4+AS100,"上周无销量")</f>
        <v>上周无销量</v>
      </c>
    </row>
    <row r="101" spans="1:46">
      <c r="A101" t="s">
        <v>982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 t="s">
        <v>53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 t="str">
        <f t="shared" si="20"/>
        <v/>
      </c>
      <c r="AE101" s="22" t="str">
        <f t="shared" si="21"/>
        <v/>
      </c>
      <c r="AF101" s="22" t="str">
        <f t="shared" si="22"/>
        <v/>
      </c>
      <c r="AG101" s="22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2" t="str">
        <f t="shared" si="24"/>
        <v/>
      </c>
      <c r="AM101" s="22" t="str">
        <f t="shared" si="25"/>
        <v/>
      </c>
      <c r="AN101" s="22" t="str">
        <f t="shared" si="26"/>
        <v/>
      </c>
      <c r="AO101" s="22" t="str">
        <f t="shared" si="27"/>
        <v/>
      </c>
      <c r="AP101" s="7">
        <f t="shared" si="28"/>
        <v>0</v>
      </c>
      <c r="AQ101" s="7">
        <f t="shared" si="29"/>
        <v>0</v>
      </c>
      <c r="AR101" s="7">
        <f t="shared" si="30"/>
        <v>0</v>
      </c>
      <c r="AS101" t="str">
        <f t="shared" si="31"/>
        <v>库存为0</v>
      </c>
      <c r="AT101" s="2" t="str">
        <f>IFERROR(时间!$B$4+AS101,"上周无销量")</f>
        <v>上周无销量</v>
      </c>
    </row>
    <row r="102" spans="1:46">
      <c r="A102" t="s">
        <v>985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">
        <v>53</v>
      </c>
      <c r="G102">
        <f>SUMIF('库存（子SKU）'!$C:$C,$A102,'库存（子SKU）'!I:I)</f>
        <v>2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2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 t="str">
        <f t="shared" si="32"/>
        <v/>
      </c>
      <c r="W102" s="22" t="str">
        <f t="shared" si="33"/>
        <v/>
      </c>
      <c r="X102" s="22" t="str">
        <f t="shared" si="34"/>
        <v/>
      </c>
      <c r="Y102" s="22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 t="str">
        <f t="shared" si="20"/>
        <v/>
      </c>
      <c r="AE102" s="22" t="str">
        <f t="shared" si="21"/>
        <v/>
      </c>
      <c r="AF102" s="22" t="str">
        <f t="shared" si="22"/>
        <v/>
      </c>
      <c r="AG102" s="22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2" t="str">
        <f t="shared" si="24"/>
        <v/>
      </c>
      <c r="AM102" s="22" t="str">
        <f t="shared" si="25"/>
        <v/>
      </c>
      <c r="AN102" s="22" t="str">
        <f t="shared" si="26"/>
        <v/>
      </c>
      <c r="AO102" s="22" t="str">
        <f t="shared" si="27"/>
        <v/>
      </c>
      <c r="AP102" s="7">
        <f t="shared" si="28"/>
        <v>0</v>
      </c>
      <c r="AQ102" s="7">
        <f t="shared" si="29"/>
        <v>0</v>
      </c>
      <c r="AR102" s="7">
        <f t="shared" si="30"/>
        <v>2</v>
      </c>
      <c r="AS102" t="str">
        <f t="shared" si="31"/>
        <v>库存为2</v>
      </c>
      <c r="AT102" s="2" t="str">
        <f>IFERROR(时间!$B$4+AS102,"上周无销量")</f>
        <v>上周无销量</v>
      </c>
    </row>
    <row r="103" spans="1:46">
      <c r="A103" t="s">
        <v>988</v>
      </c>
      <c r="B103" s="5">
        <f>SUMIF('库存（子SKU）'!$C:$C,$A103,'库存（子SKU）'!D:D)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6" t="s">
        <v>53</v>
      </c>
      <c r="G103">
        <f>SUMIF('库存（子SKU）'!$C:$C,$A103,'库存（子SKU）'!I:I)</f>
        <v>10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10</v>
      </c>
      <c r="L103">
        <f>SUMIF('库存（子SKU）'!$C:$C,$A103,'库存（子SKU）'!N:N)</f>
        <v>0</v>
      </c>
      <c r="M103">
        <f>SUMIF('库存（子SKU）'!$C:$C,$A103,'库存（子SKU）'!O:O)</f>
        <v>10</v>
      </c>
      <c r="N103">
        <f>SUMIF('库存（子SKU）'!$C:$C,$A103,'库存（子SKU）'!P:P)</f>
        <v>937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2">
        <f t="shared" si="32"/>
        <v>0</v>
      </c>
      <c r="W103" s="22" t="str">
        <f t="shared" si="33"/>
        <v/>
      </c>
      <c r="X103" s="22" t="str">
        <f t="shared" si="34"/>
        <v/>
      </c>
      <c r="Y103" s="22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2" t="str">
        <f t="shared" si="20"/>
        <v/>
      </c>
      <c r="AE103" s="22" t="str">
        <f t="shared" si="21"/>
        <v/>
      </c>
      <c r="AF103" s="22" t="str">
        <f t="shared" si="22"/>
        <v/>
      </c>
      <c r="AG103" s="22" t="str">
        <f t="shared" si="23"/>
        <v/>
      </c>
      <c r="AH103">
        <f>SUMIF('库存（子SKU）'!$C:$C,$A103,'库存（子SKU）'!AJ:AJ)</f>
        <v>2</v>
      </c>
      <c r="AI103">
        <f>SUMIF('库存（子SKU）'!$C:$C,$A103,'库存（子SKU）'!AK:AK)</f>
        <v>1</v>
      </c>
      <c r="AJ103">
        <f>SUMIF('库存（子SKU）'!$C:$C,$A103,'库存（子SKU）'!AL:AL)</f>
        <v>2</v>
      </c>
      <c r="AK103">
        <f>SUMIF('库存（子SKU）'!$C:$C,$A103,'库存（子SKU）'!AM:AM)</f>
        <v>2</v>
      </c>
      <c r="AL103" s="22">
        <f t="shared" si="24"/>
        <v>0</v>
      </c>
      <c r="AM103" s="22">
        <f t="shared" si="25"/>
        <v>0</v>
      </c>
      <c r="AN103" s="22">
        <f t="shared" si="26"/>
        <v>0</v>
      </c>
      <c r="AO103" s="22">
        <f t="shared" si="27"/>
        <v>0</v>
      </c>
      <c r="AP103" s="7">
        <f t="shared" si="28"/>
        <v>0</v>
      </c>
      <c r="AQ103" s="7">
        <f t="shared" si="29"/>
        <v>0</v>
      </c>
      <c r="AR103" s="7">
        <f t="shared" si="30"/>
        <v>10</v>
      </c>
      <c r="AS103" t="str">
        <f t="shared" si="31"/>
        <v>库存为10</v>
      </c>
      <c r="AT103" s="2" t="str">
        <f>IFERROR(时间!$B$4+AS103,"上周无销量")</f>
        <v>上周无销量</v>
      </c>
    </row>
    <row r="104" spans="1:46">
      <c r="A104" t="s">
        <v>991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53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6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2" t="str">
        <f t="shared" si="24"/>
        <v/>
      </c>
      <c r="AM104" s="22" t="str">
        <f t="shared" si="25"/>
        <v/>
      </c>
      <c r="AN104" s="22" t="str">
        <f t="shared" si="26"/>
        <v/>
      </c>
      <c r="AO104" s="22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996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">
        <v>53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45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 t="str">
        <f t="shared" si="20"/>
        <v/>
      </c>
      <c r="AE105" s="22" t="str">
        <f t="shared" si="21"/>
        <v/>
      </c>
      <c r="AF105" s="22" t="str">
        <f t="shared" si="22"/>
        <v/>
      </c>
      <c r="AG105" s="22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2" t="str">
        <f t="shared" si="24"/>
        <v/>
      </c>
      <c r="AM105" s="22" t="str">
        <f t="shared" si="25"/>
        <v/>
      </c>
      <c r="AN105" s="22" t="str">
        <f t="shared" si="26"/>
        <v/>
      </c>
      <c r="AO105" s="22" t="str">
        <f t="shared" si="27"/>
        <v/>
      </c>
      <c r="AP105" s="7">
        <f t="shared" si="28"/>
        <v>0</v>
      </c>
      <c r="AQ105" s="7">
        <f t="shared" si="29"/>
        <v>0</v>
      </c>
      <c r="AR105" s="7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1005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">
        <v>53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 t="str">
        <f t="shared" si="20"/>
        <v/>
      </c>
      <c r="AE106" s="22" t="str">
        <f t="shared" si="21"/>
        <v/>
      </c>
      <c r="AF106" s="22" t="str">
        <f t="shared" si="22"/>
        <v/>
      </c>
      <c r="AG106" s="22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2" t="str">
        <f t="shared" si="24"/>
        <v/>
      </c>
      <c r="AM106" s="22" t="str">
        <f t="shared" si="25"/>
        <v/>
      </c>
      <c r="AN106" s="22" t="str">
        <f t="shared" si="26"/>
        <v/>
      </c>
      <c r="AO106" s="22" t="str">
        <f t="shared" si="27"/>
        <v/>
      </c>
      <c r="AP106" s="7">
        <f t="shared" si="28"/>
        <v>0</v>
      </c>
      <c r="AQ106" s="7">
        <f t="shared" si="29"/>
        <v>0</v>
      </c>
      <c r="AR106" s="7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1010</v>
      </c>
      <c r="B107" s="5">
        <f>SUMIF('库存（子SKU）'!$C:$C,$A107,'库存（子SKU）'!D:D)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 t="s">
        <v>53</v>
      </c>
      <c r="G107">
        <f>SUMIF('库存（子SKU）'!$C:$C,$A107,'库存（子SKU）'!I:I)</f>
        <v>1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2" t="str">
        <f t="shared" si="32"/>
        <v/>
      </c>
      <c r="W107" s="22" t="str">
        <f t="shared" si="33"/>
        <v/>
      </c>
      <c r="X107" s="22" t="str">
        <f t="shared" si="34"/>
        <v/>
      </c>
      <c r="Y107" s="22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2" t="str">
        <f t="shared" si="20"/>
        <v/>
      </c>
      <c r="AE107" s="22" t="str">
        <f t="shared" si="21"/>
        <v/>
      </c>
      <c r="AF107" s="22" t="str">
        <f t="shared" si="22"/>
        <v/>
      </c>
      <c r="AG107" s="22" t="str">
        <f t="shared" si="23"/>
        <v/>
      </c>
      <c r="AH107">
        <f>SUMIF('库存（子SKU）'!$C:$C,$A107,'库存（子SKU）'!AJ:AJ)</f>
        <v>23</v>
      </c>
      <c r="AI107">
        <f>SUMIF('库存（子SKU）'!$C:$C,$A107,'库存（子SKU）'!AK:AK)</f>
        <v>15</v>
      </c>
      <c r="AJ107">
        <f>SUMIF('库存（子SKU）'!$C:$C,$A107,'库存（子SKU）'!AL:AL)</f>
        <v>15</v>
      </c>
      <c r="AK107">
        <f>SUMIF('库存（子SKU）'!$C:$C,$A107,'库存（子SKU）'!AM:AM)</f>
        <v>6</v>
      </c>
      <c r="AL107" s="22">
        <f t="shared" si="24"/>
        <v>0</v>
      </c>
      <c r="AM107" s="22">
        <f t="shared" si="25"/>
        <v>0</v>
      </c>
      <c r="AN107" s="22">
        <f t="shared" si="26"/>
        <v>0</v>
      </c>
      <c r="AO107" s="22">
        <f t="shared" si="27"/>
        <v>0</v>
      </c>
      <c r="AP107" s="7">
        <f t="shared" si="28"/>
        <v>0</v>
      </c>
      <c r="AQ107" s="7">
        <f t="shared" si="29"/>
        <v>0</v>
      </c>
      <c r="AR107" s="7">
        <f t="shared" si="30"/>
        <v>1</v>
      </c>
      <c r="AS107" t="str">
        <f t="shared" si="31"/>
        <v>库存为1</v>
      </c>
      <c r="AT107" s="2" t="str">
        <f>IFERROR(时间!$B$4+AS107,"上周无销量")</f>
        <v>上周无销量</v>
      </c>
    </row>
    <row r="108" spans="1:46">
      <c r="A108" t="s">
        <v>1013</v>
      </c>
      <c r="B108" s="5">
        <f>SUMIF('库存（子SKU）'!$C:$C,$A108,'库存（子SKU）'!D:D)</f>
        <v>4</v>
      </c>
      <c r="C108" s="5">
        <f>SUMIF('库存（子SKU）'!$C:$C,$A108,'库存（子SKU）'!E:E)</f>
        <v>5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>
        <v>13.7677777777778</v>
      </c>
      <c r="G108">
        <f>SUMIF('库存（子SKU）'!$C:$C,$A108,'库存（子SKU）'!I:I)</f>
        <v>21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21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>
        <f t="shared" si="20"/>
        <v>0</v>
      </c>
      <c r="AE108" s="22">
        <f t="shared" si="21"/>
        <v>0</v>
      </c>
      <c r="AF108" s="22" t="str">
        <f t="shared" si="22"/>
        <v/>
      </c>
      <c r="AG108" s="22" t="str">
        <f t="shared" si="23"/>
        <v/>
      </c>
      <c r="AH108">
        <f>SUMIF('库存（子SKU）'!$C:$C,$A108,'库存（子SKU）'!AJ:AJ)</f>
        <v>99</v>
      </c>
      <c r="AI108">
        <f>SUMIF('库存（子SKU）'!$C:$C,$A108,'库存（子SKU）'!AK:AK)</f>
        <v>50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2">
        <f t="shared" si="24"/>
        <v>0.0404040404040404</v>
      </c>
      <c r="AM108" s="22">
        <f t="shared" si="25"/>
        <v>0.1</v>
      </c>
      <c r="AN108" s="22" t="str">
        <f t="shared" si="26"/>
        <v/>
      </c>
      <c r="AO108" s="22" t="str">
        <f t="shared" si="27"/>
        <v/>
      </c>
      <c r="AP108" s="7">
        <f t="shared" si="28"/>
        <v>0.571428571428571</v>
      </c>
      <c r="AQ108" s="7">
        <f t="shared" si="29"/>
        <v>34.2857142857143</v>
      </c>
      <c r="AR108" s="7">
        <f t="shared" si="30"/>
        <v>-13.2857142857143</v>
      </c>
      <c r="AS108">
        <f t="shared" si="31"/>
        <v>36</v>
      </c>
      <c r="AT108" s="2">
        <f>IFERROR(时间!$B$4+AS108,"上周无销量")</f>
        <v>43354</v>
      </c>
    </row>
    <row r="109" spans="1:46">
      <c r="A109" t="s">
        <v>1020</v>
      </c>
      <c r="B109" s="5">
        <f>SUMIF('库存（子SKU）'!$C:$C,$A109,'库存（子SKU）'!D:D)</f>
        <v>0</v>
      </c>
      <c r="C109" s="5">
        <f>SUMIF('库存（子SKU）'!$C:$C,$A109,'库存（子SKU）'!E:E)</f>
        <v>2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6">
        <v>11.99</v>
      </c>
      <c r="G109">
        <f>SUMIF('库存（子SKU）'!$C:$C,$A109,'库存（子SKU）'!I:I)</f>
        <v>8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8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 t="str">
        <f t="shared" si="20"/>
        <v/>
      </c>
      <c r="AE109" s="22">
        <f t="shared" si="21"/>
        <v>0</v>
      </c>
      <c r="AF109" s="22" t="str">
        <f t="shared" si="22"/>
        <v/>
      </c>
      <c r="AG109" s="22" t="str">
        <f t="shared" si="23"/>
        <v/>
      </c>
      <c r="AH109">
        <f>SUMIF('库存（子SKU）'!$C:$C,$A109,'库存（子SKU）'!AJ:AJ)</f>
        <v>21</v>
      </c>
      <c r="AI109">
        <f>SUMIF('库存（子SKU）'!$C:$C,$A109,'库存（子SKU）'!AK:AK)</f>
        <v>11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2">
        <f t="shared" si="24"/>
        <v>0</v>
      </c>
      <c r="AM109" s="22">
        <f t="shared" si="25"/>
        <v>0.181818181818182</v>
      </c>
      <c r="AN109" s="22" t="str">
        <f t="shared" si="26"/>
        <v/>
      </c>
      <c r="AO109" s="22" t="str">
        <f t="shared" si="27"/>
        <v/>
      </c>
      <c r="AP109" s="7">
        <f t="shared" si="28"/>
        <v>0</v>
      </c>
      <c r="AQ109" s="7">
        <f t="shared" si="29"/>
        <v>0</v>
      </c>
      <c r="AR109" s="7">
        <f t="shared" si="30"/>
        <v>8</v>
      </c>
      <c r="AS109" t="str">
        <f t="shared" si="31"/>
        <v>库存为8</v>
      </c>
      <c r="AT109" s="2" t="str">
        <f>IFERROR(时间!$B$4+AS109,"上周无销量")</f>
        <v>上周无销量</v>
      </c>
    </row>
    <row r="110" spans="1:46">
      <c r="A110" t="s">
        <v>1023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6" t="s">
        <v>53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 t="str">
        <f t="shared" si="20"/>
        <v/>
      </c>
      <c r="AE110" s="22" t="str">
        <f t="shared" si="21"/>
        <v/>
      </c>
      <c r="AF110" s="22" t="str">
        <f t="shared" si="22"/>
        <v/>
      </c>
      <c r="AG110" s="22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2" t="str">
        <f t="shared" si="24"/>
        <v/>
      </c>
      <c r="AM110" s="22" t="str">
        <f t="shared" si="25"/>
        <v/>
      </c>
      <c r="AN110" s="22" t="str">
        <f t="shared" si="26"/>
        <v/>
      </c>
      <c r="AO110" s="22" t="str">
        <f t="shared" si="27"/>
        <v/>
      </c>
      <c r="AP110" s="7">
        <f t="shared" si="28"/>
        <v>0</v>
      </c>
      <c r="AQ110" s="7">
        <f t="shared" si="29"/>
        <v>0</v>
      </c>
      <c r="AR110" s="7">
        <f t="shared" si="30"/>
        <v>0</v>
      </c>
      <c r="AS110" t="str">
        <f t="shared" si="31"/>
        <v>库存为0</v>
      </c>
      <c r="AT110" s="2" t="str">
        <f>IFERROR(时间!$B$4+AS110,"上周无销量")</f>
        <v>上周无销量</v>
      </c>
    </row>
    <row r="111" spans="1:46">
      <c r="A111" t="s">
        <v>1026</v>
      </c>
      <c r="B111" s="5">
        <f>SUMIF('库存（子SKU）'!$C:$C,$A111,'库存（子SKU）'!D:D)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 t="s">
        <v>53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 t="str">
        <f t="shared" si="20"/>
        <v/>
      </c>
      <c r="AE111" s="22" t="str">
        <f t="shared" si="21"/>
        <v/>
      </c>
      <c r="AF111" s="22" t="str">
        <f t="shared" si="22"/>
        <v/>
      </c>
      <c r="AG111" s="22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2" t="str">
        <f t="shared" si="24"/>
        <v/>
      </c>
      <c r="AM111" s="22" t="str">
        <f t="shared" si="25"/>
        <v/>
      </c>
      <c r="AN111" s="22" t="str">
        <f t="shared" si="26"/>
        <v/>
      </c>
      <c r="AO111" s="22" t="str">
        <f t="shared" si="27"/>
        <v/>
      </c>
      <c r="AP111" s="7">
        <f t="shared" si="28"/>
        <v>0</v>
      </c>
      <c r="AQ111" s="7">
        <f t="shared" si="29"/>
        <v>0</v>
      </c>
      <c r="AR111" s="7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1029</v>
      </c>
      <c r="B112" s="5">
        <f>SUMIF('库存（子SKU）'!$C:$C,$A112,'库存（子SKU）'!D:D)</f>
        <v>2</v>
      </c>
      <c r="C112" s="5">
        <f>SUMIF('库存（子SKU）'!$C:$C,$A112,'库存（子SKU）'!E:E)</f>
        <v>6</v>
      </c>
      <c r="D112" s="5">
        <f>SUMIF('库存（子SKU）'!$C:$C,$A112,'库存（子SKU）'!F:F)</f>
        <v>3</v>
      </c>
      <c r="E112" s="5">
        <f>SUMIF('库存（子SKU）'!$C:$C,$A112,'库存（子SKU）'!G:G)</f>
        <v>3</v>
      </c>
      <c r="F112" s="6">
        <v>24.7042857142857</v>
      </c>
      <c r="G112">
        <f>SUMIF('库存（子SKU）'!$C:$C,$A112,'库存（子SKU）'!I:I)</f>
        <v>18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18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477</v>
      </c>
      <c r="O112">
        <f>SUMIF('库存（子SKU）'!$C:$C,$A112,'库存（子SKU）'!Q:Q)</f>
        <v>1083</v>
      </c>
      <c r="P112">
        <f>SUMIF('库存（子SKU）'!$C:$C,$A112,'库存（子SKU）'!R:R)</f>
        <v>1161</v>
      </c>
      <c r="Q112">
        <f>SUMIF('库存（子SKU）'!$C:$C,$A112,'库存（子SKU）'!S:S)</f>
        <v>216</v>
      </c>
      <c r="R112">
        <f>SUMIF('库存（子SKU）'!$C:$C,$A112,'库存（子SKU）'!T:T)</f>
        <v>2</v>
      </c>
      <c r="S112">
        <f>SUMIF('库存（子SKU）'!$C:$C,$A112,'库存（子SKU）'!U:U)</f>
        <v>8</v>
      </c>
      <c r="T112">
        <f>SUMIF('库存（子SKU）'!$C:$C,$A112,'库存（子SKU）'!V:V)</f>
        <v>11</v>
      </c>
      <c r="U112">
        <f>SUMIF('库存（子SKU）'!$C:$C,$A112,'库存（子SKU）'!W:W)</f>
        <v>5</v>
      </c>
      <c r="V112" s="22">
        <f t="shared" si="32"/>
        <v>0.00419287211740042</v>
      </c>
      <c r="W112" s="22">
        <f t="shared" si="33"/>
        <v>0.00738688827331487</v>
      </c>
      <c r="X112" s="22">
        <f t="shared" si="34"/>
        <v>0.00947459086993971</v>
      </c>
      <c r="Y112" s="22">
        <f t="shared" si="35"/>
        <v>0.0231481481481481</v>
      </c>
      <c r="Z112">
        <f>SUMIF('库存（子SKU）'!$C:$C,$A112,'库存（子SKU）'!AB:AB)</f>
        <v>0.44</v>
      </c>
      <c r="AA112">
        <f>SUMIF('库存（子SKU）'!$C:$C,$A112,'库存（子SKU）'!AC:AC)</f>
        <v>4.03</v>
      </c>
      <c r="AB112">
        <f>SUMIF('库存（子SKU）'!$C:$C,$A112,'库存（子SKU）'!AD:AD)</f>
        <v>5.22</v>
      </c>
      <c r="AC112">
        <f>SUMIF('库存（子SKU）'!$C:$C,$A112,'库存（子SKU）'!AE:AE)</f>
        <v>0.93</v>
      </c>
      <c r="AD112" s="22">
        <f t="shared" si="20"/>
        <v>0.00890533741976523</v>
      </c>
      <c r="AE112" s="22">
        <f t="shared" si="21"/>
        <v>0.0271882650012529</v>
      </c>
      <c r="AF112" s="22">
        <f t="shared" si="22"/>
        <v>0.0704331232290523</v>
      </c>
      <c r="AG112" s="22">
        <f t="shared" si="23"/>
        <v>0.0125484300005783</v>
      </c>
      <c r="AH112">
        <f>SUMIF('库存（子SKU）'!$C:$C,$A112,'库存（子SKU）'!AJ:AJ)</f>
        <v>93</v>
      </c>
      <c r="AI112">
        <f>SUMIF('库存（子SKU）'!$C:$C,$A112,'库存（子SKU）'!AK:AK)</f>
        <v>93</v>
      </c>
      <c r="AJ112">
        <f>SUMIF('库存（子SKU）'!$C:$C,$A112,'库存（子SKU）'!AL:AL)</f>
        <v>66</v>
      </c>
      <c r="AK112">
        <f>SUMIF('库存（子SKU）'!$C:$C,$A112,'库存（子SKU）'!AM:AM)</f>
        <v>52</v>
      </c>
      <c r="AL112" s="22">
        <f t="shared" si="24"/>
        <v>0.021505376344086</v>
      </c>
      <c r="AM112" s="22">
        <f t="shared" si="25"/>
        <v>0.0645161290322581</v>
      </c>
      <c r="AN112" s="22">
        <f t="shared" si="26"/>
        <v>0.0454545454545455</v>
      </c>
      <c r="AO112" s="22">
        <f t="shared" si="27"/>
        <v>0.0576923076923077</v>
      </c>
      <c r="AP112" s="7">
        <f t="shared" si="28"/>
        <v>0.285714285714286</v>
      </c>
      <c r="AQ112" s="7">
        <f t="shared" si="29"/>
        <v>17.1428571428571</v>
      </c>
      <c r="AR112" s="7">
        <f t="shared" si="30"/>
        <v>0.857142857142858</v>
      </c>
      <c r="AS112">
        <f t="shared" si="31"/>
        <v>63</v>
      </c>
      <c r="AT112" s="2">
        <f>IFERROR(时间!$B$4+AS112,"上周无销量")</f>
        <v>43381</v>
      </c>
    </row>
    <row r="113" spans="1:46">
      <c r="A113" t="s">
        <v>1032</v>
      </c>
      <c r="B113" s="5">
        <f>SUMIF('库存（子SKU）'!$C:$C,$A113,'库存（子SKU）'!D:D)</f>
        <v>1</v>
      </c>
      <c r="C113" s="5">
        <f>SUMIF('库存（子SKU）'!$C:$C,$A113,'库存（子SKU）'!E:E)</f>
        <v>1</v>
      </c>
      <c r="D113" s="5">
        <f>SUMIF('库存（子SKU）'!$C:$C,$A113,'库存（子SKU）'!F:F)</f>
        <v>6</v>
      </c>
      <c r="E113" s="5">
        <f>SUMIF('库存（子SKU）'!$C:$C,$A113,'库存（子SKU）'!G:G)</f>
        <v>0</v>
      </c>
      <c r="F113" s="6">
        <v>13.4375</v>
      </c>
      <c r="G113">
        <f>SUMIF('库存（子SKU）'!$C:$C,$A113,'库存（子SKU）'!I:I)</f>
        <v>21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2</v>
      </c>
      <c r="K113">
        <f t="shared" si="19"/>
        <v>23</v>
      </c>
      <c r="L113">
        <f>SUMIF('库存（子SKU）'!$C:$C,$A113,'库存（子SKU）'!N:N)</f>
        <v>0</v>
      </c>
      <c r="M113">
        <f>SUMIF('库存（子SKU）'!$C:$C,$A113,'库存（子SKU）'!O:O)</f>
        <v>20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2" t="str">
        <f t="shared" si="32"/>
        <v/>
      </c>
      <c r="W113" s="22" t="str">
        <f t="shared" si="33"/>
        <v/>
      </c>
      <c r="X113" s="22" t="str">
        <f t="shared" si="34"/>
        <v/>
      </c>
      <c r="Y113" s="22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2">
        <f t="shared" si="20"/>
        <v>0</v>
      </c>
      <c r="AE113" s="22">
        <f t="shared" si="21"/>
        <v>0</v>
      </c>
      <c r="AF113" s="22">
        <f t="shared" si="22"/>
        <v>0</v>
      </c>
      <c r="AG113" s="22" t="str">
        <f t="shared" si="23"/>
        <v/>
      </c>
      <c r="AH113">
        <f>SUMIF('库存（子SKU）'!$C:$C,$A113,'库存（子SKU）'!AJ:AJ)</f>
        <v>8</v>
      </c>
      <c r="AI113">
        <f>SUMIF('库存（子SKU）'!$C:$C,$A113,'库存（子SKU）'!AK:AK)</f>
        <v>25</v>
      </c>
      <c r="AJ113">
        <f>SUMIF('库存（子SKU）'!$C:$C,$A113,'库存（子SKU）'!AL:AL)</f>
        <v>13</v>
      </c>
      <c r="AK113">
        <f>SUMIF('库存（子SKU）'!$C:$C,$A113,'库存（子SKU）'!AM:AM)</f>
        <v>13</v>
      </c>
      <c r="AL113" s="22">
        <f t="shared" si="24"/>
        <v>0.125</v>
      </c>
      <c r="AM113" s="22">
        <f t="shared" si="25"/>
        <v>0.04</v>
      </c>
      <c r="AN113" s="22">
        <f t="shared" si="26"/>
        <v>0.461538461538462</v>
      </c>
      <c r="AO113" s="22">
        <f t="shared" si="27"/>
        <v>0</v>
      </c>
      <c r="AP113" s="7">
        <f t="shared" si="28"/>
        <v>0.142857142857143</v>
      </c>
      <c r="AQ113" s="7">
        <f t="shared" si="29"/>
        <v>8.57142857142857</v>
      </c>
      <c r="AR113" s="7">
        <f t="shared" si="30"/>
        <v>14.4285714285714</v>
      </c>
      <c r="AS113">
        <f t="shared" si="31"/>
        <v>161</v>
      </c>
      <c r="AT113" s="2">
        <f>IFERROR(时间!$B$4+AS113,"上周无销量")</f>
        <v>43479</v>
      </c>
    </row>
    <row r="114" spans="1:46">
      <c r="A114" t="s">
        <v>1049</v>
      </c>
      <c r="B114" s="5">
        <f>SUMIF('库存（子SKU）'!$C:$C,$A114,'库存（子SKU）'!D:D)</f>
        <v>2</v>
      </c>
      <c r="C114" s="5">
        <f>SUMIF('库存（子SKU）'!$C:$C,$A114,'库存（子SKU）'!E:E)</f>
        <v>1</v>
      </c>
      <c r="D114" s="5">
        <f>SUMIF('库存（子SKU）'!$C:$C,$A114,'库存（子SKU）'!F:F)</f>
        <v>1</v>
      </c>
      <c r="E114" s="5">
        <f>SUMIF('库存（子SKU）'!$C:$C,$A114,'库存（子SKU）'!G:G)</f>
        <v>1</v>
      </c>
      <c r="F114" s="6">
        <v>8.99</v>
      </c>
      <c r="G114">
        <f>SUMIF('库存（子SKU）'!$C:$C,$A114,'库存（子SKU）'!I:I)</f>
        <v>23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23</v>
      </c>
      <c r="L114">
        <f>SUMIF('库存（子SKU）'!$C:$C,$A114,'库存（子SKU）'!N:N)</f>
        <v>0</v>
      </c>
      <c r="M114">
        <f>SUMIF('库存（子SKU）'!$C:$C,$A114,'库存（子SKU）'!O:O)</f>
        <v>16</v>
      </c>
      <c r="N114">
        <f>SUMIF('库存（子SKU）'!$C:$C,$A114,'库存（子SKU）'!P:P)</f>
        <v>0</v>
      </c>
      <c r="O114">
        <f>SUMIF('库存（子SKU）'!$C:$C,$A114,'库存（子SKU）'!Q:Q)</f>
        <v>56</v>
      </c>
      <c r="P114">
        <f>SUMIF('库存（子SKU）'!$C:$C,$A114,'库存（子SKU）'!R:R)</f>
        <v>341</v>
      </c>
      <c r="Q114">
        <f>SUMIF('库存（子SKU）'!$C:$C,$A114,'库存（子SKU）'!S:S)</f>
        <v>257</v>
      </c>
      <c r="R114">
        <f>SUMIF('库存（子SKU）'!$C:$C,$A114,'库存（子SKU）'!T:T)</f>
        <v>0</v>
      </c>
      <c r="S114">
        <f>SUMIF('库存（子SKU）'!$C:$C,$A114,'库存（子SKU）'!U:U)</f>
        <v>1</v>
      </c>
      <c r="T114">
        <f>SUMIF('库存（子SKU）'!$C:$C,$A114,'库存（子SKU）'!V:V)</f>
        <v>1</v>
      </c>
      <c r="U114">
        <f>SUMIF('库存（子SKU）'!$C:$C,$A114,'库存（子SKU）'!W:W)</f>
        <v>5</v>
      </c>
      <c r="V114" s="22" t="str">
        <f t="shared" si="32"/>
        <v/>
      </c>
      <c r="W114" s="22">
        <f t="shared" si="33"/>
        <v>0.0178571428571429</v>
      </c>
      <c r="X114" s="22">
        <f t="shared" si="34"/>
        <v>0.00293255131964809</v>
      </c>
      <c r="Y114" s="22">
        <f t="shared" si="35"/>
        <v>0.0194552529182879</v>
      </c>
      <c r="Z114">
        <f>SUMIF('库存（子SKU）'!$C:$C,$A114,'库存（子SKU）'!AB:AB)</f>
        <v>0</v>
      </c>
      <c r="AA114">
        <f>SUMIF('库存（子SKU）'!$C:$C,$A114,'库存（子SKU）'!AC:AC)</f>
        <v>0.08</v>
      </c>
      <c r="AB114">
        <f>SUMIF('库存（子SKU）'!$C:$C,$A114,'库存（子SKU）'!AD:AD)</f>
        <v>0.09</v>
      </c>
      <c r="AC114">
        <f>SUMIF('库存（子SKU）'!$C:$C,$A114,'库存（子SKU）'!AE:AE)</f>
        <v>0.39</v>
      </c>
      <c r="AD114" s="22">
        <f t="shared" si="20"/>
        <v>0</v>
      </c>
      <c r="AE114" s="22">
        <f t="shared" si="21"/>
        <v>0.00889877641824249</v>
      </c>
      <c r="AF114" s="22">
        <f t="shared" si="22"/>
        <v>0.0100111234705228</v>
      </c>
      <c r="AG114" s="22">
        <f t="shared" si="23"/>
        <v>0.0433815350389321</v>
      </c>
      <c r="AH114">
        <f>SUMIF('库存（子SKU）'!$C:$C,$A114,'库存（子SKU）'!AJ:AJ)</f>
        <v>17</v>
      </c>
      <c r="AI114">
        <f>SUMIF('库存（子SKU）'!$C:$C,$A114,'库存（子SKU）'!AK:AK)</f>
        <v>24</v>
      </c>
      <c r="AJ114">
        <f>SUMIF('库存（子SKU）'!$C:$C,$A114,'库存（子SKU）'!AL:AL)</f>
        <v>15</v>
      </c>
      <c r="AK114">
        <f>SUMIF('库存（子SKU）'!$C:$C,$A114,'库存（子SKU）'!AM:AM)</f>
        <v>15</v>
      </c>
      <c r="AL114" s="22">
        <f t="shared" si="24"/>
        <v>0.117647058823529</v>
      </c>
      <c r="AM114" s="22">
        <f t="shared" si="25"/>
        <v>0.0416666666666667</v>
      </c>
      <c r="AN114" s="22">
        <f t="shared" si="26"/>
        <v>0.0666666666666667</v>
      </c>
      <c r="AO114" s="22">
        <f t="shared" si="27"/>
        <v>0.0666666666666667</v>
      </c>
      <c r="AP114" s="7">
        <f t="shared" si="28"/>
        <v>0.285714285714286</v>
      </c>
      <c r="AQ114" s="7">
        <f t="shared" si="29"/>
        <v>17.1428571428571</v>
      </c>
      <c r="AR114" s="7">
        <f t="shared" si="30"/>
        <v>5.85714285714286</v>
      </c>
      <c r="AS114">
        <f t="shared" si="31"/>
        <v>80</v>
      </c>
      <c r="AT114" s="2">
        <f>IFERROR(时间!$B$4+AS114,"上周无销量")</f>
        <v>43398</v>
      </c>
    </row>
    <row r="115" spans="1:46">
      <c r="A115" t="s">
        <v>1061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1</v>
      </c>
      <c r="E115" s="5">
        <f>SUMIF('库存（子SKU）'!$C:$C,$A115,'库存（子SKU）'!G:G)</f>
        <v>0</v>
      </c>
      <c r="F115" s="6">
        <v>11.99</v>
      </c>
      <c r="G115">
        <f>SUMIF('库存（子SKU）'!$C:$C,$A115,'库存（子SKU）'!I:I)</f>
        <v>40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40</v>
      </c>
      <c r="L115">
        <f>SUMIF('库存（子SKU）'!$C:$C,$A115,'库存（子SKU）'!N:N)</f>
        <v>0</v>
      </c>
      <c r="M115">
        <f>SUMIF('库存（子SKU）'!$C:$C,$A115,'库存（子SKU）'!O:O)</f>
        <v>40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>
        <f t="shared" si="22"/>
        <v>0</v>
      </c>
      <c r="AG115" s="22" t="str">
        <f t="shared" si="23"/>
        <v/>
      </c>
      <c r="AH115">
        <f>SUMIF('库存（子SKU）'!$C:$C,$A115,'库存（子SKU）'!AJ:AJ)</f>
        <v>18</v>
      </c>
      <c r="AI115">
        <f>SUMIF('库存（子SKU）'!$C:$C,$A115,'库存（子SKU）'!AK:AK)</f>
        <v>35</v>
      </c>
      <c r="AJ115">
        <f>SUMIF('库存（子SKU）'!$C:$C,$A115,'库存（子SKU）'!AL:AL)</f>
        <v>65</v>
      </c>
      <c r="AK115">
        <f>SUMIF('库存（子SKU）'!$C:$C,$A115,'库存（子SKU）'!AM:AM)</f>
        <v>27</v>
      </c>
      <c r="AL115" s="22">
        <f t="shared" si="24"/>
        <v>0</v>
      </c>
      <c r="AM115" s="22">
        <f t="shared" si="25"/>
        <v>0</v>
      </c>
      <c r="AN115" s="22">
        <f t="shared" si="26"/>
        <v>0.0153846153846154</v>
      </c>
      <c r="AO115" s="22">
        <f t="shared" si="27"/>
        <v>0</v>
      </c>
      <c r="AP115" s="7">
        <f t="shared" si="28"/>
        <v>0</v>
      </c>
      <c r="AQ115" s="7">
        <f t="shared" si="29"/>
        <v>0</v>
      </c>
      <c r="AR115" s="7">
        <f t="shared" si="30"/>
        <v>40</v>
      </c>
      <c r="AS115" t="str">
        <f t="shared" si="31"/>
        <v>库存为40</v>
      </c>
      <c r="AT115" s="2" t="str">
        <f>IFERROR(时间!$B$4+AS115,"上周无销量")</f>
        <v>上周无销量</v>
      </c>
    </row>
    <row r="116" spans="1:46">
      <c r="A116" t="s">
        <v>1080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">
        <v>53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3</v>
      </c>
      <c r="K116">
        <f t="shared" si="19"/>
        <v>3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3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>
        <f t="shared" si="27"/>
        <v>0</v>
      </c>
      <c r="AP116" s="7">
        <f t="shared" si="28"/>
        <v>0</v>
      </c>
      <c r="AQ116" s="7">
        <f t="shared" si="29"/>
        <v>0</v>
      </c>
      <c r="AR116" s="7">
        <f t="shared" si="30"/>
        <v>3</v>
      </c>
      <c r="AS116" t="str">
        <f t="shared" si="31"/>
        <v>库存为3</v>
      </c>
      <c r="AT116" s="2" t="str">
        <f>IFERROR(时间!$B$4+AS116,"上周无销量")</f>
        <v>上周无销量</v>
      </c>
    </row>
    <row r="117" spans="1:46">
      <c r="A117" t="s">
        <v>1083</v>
      </c>
      <c r="B117" s="5">
        <f>SUMIF('库存（子SKU）'!$C:$C,$A117,'库存（子SKU）'!D:D)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 t="s">
        <v>53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2" t="str">
        <f t="shared" si="32"/>
        <v/>
      </c>
      <c r="W117" s="22" t="str">
        <f t="shared" si="33"/>
        <v/>
      </c>
      <c r="X117" s="22" t="str">
        <f t="shared" si="34"/>
        <v/>
      </c>
      <c r="Y117" s="22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2" t="str">
        <f t="shared" si="20"/>
        <v/>
      </c>
      <c r="AE117" s="22" t="str">
        <f t="shared" si="21"/>
        <v/>
      </c>
      <c r="AF117" s="22" t="str">
        <f t="shared" si="22"/>
        <v/>
      </c>
      <c r="AG117" s="22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2" t="str">
        <f t="shared" si="24"/>
        <v/>
      </c>
      <c r="AM117" s="22" t="str">
        <f t="shared" si="25"/>
        <v/>
      </c>
      <c r="AN117" s="22" t="str">
        <f t="shared" si="26"/>
        <v/>
      </c>
      <c r="AO117" s="22" t="str">
        <f t="shared" si="27"/>
        <v/>
      </c>
      <c r="AP117" s="7">
        <f t="shared" si="28"/>
        <v>0</v>
      </c>
      <c r="AQ117" s="7">
        <f t="shared" si="29"/>
        <v>0</v>
      </c>
      <c r="AR117" s="7">
        <f t="shared" si="30"/>
        <v>0</v>
      </c>
      <c r="AS117" t="str">
        <f t="shared" si="31"/>
        <v>库存为0</v>
      </c>
      <c r="AT117" s="2" t="str">
        <f>IFERROR(时间!$B$4+AS117,"上周无销量")</f>
        <v>上周无销量</v>
      </c>
    </row>
    <row r="118" spans="1:46">
      <c r="A118" t="s">
        <v>1088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53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2" t="str">
        <f t="shared" si="24"/>
        <v/>
      </c>
      <c r="AM118" s="22" t="str">
        <f t="shared" si="25"/>
        <v/>
      </c>
      <c r="AN118" s="22" t="str">
        <f t="shared" si="26"/>
        <v/>
      </c>
      <c r="AO118" s="22" t="str">
        <f t="shared" si="27"/>
        <v/>
      </c>
      <c r="AP118" s="7">
        <f t="shared" si="28"/>
        <v>0</v>
      </c>
      <c r="AQ118" s="7">
        <f t="shared" si="29"/>
        <v>0</v>
      </c>
      <c r="AR118" s="7">
        <f t="shared" si="30"/>
        <v>0</v>
      </c>
      <c r="AS118" t="str">
        <f t="shared" si="31"/>
        <v>库存为0</v>
      </c>
      <c r="AT118" s="2" t="str">
        <f>IFERROR(时间!$B$4+AS118,"上周无销量")</f>
        <v>上周无销量</v>
      </c>
    </row>
    <row r="119" spans="1:46">
      <c r="A119" t="s">
        <v>1097</v>
      </c>
      <c r="B119" s="5">
        <f>SUMIF('库存（子SKU）'!$C:$C,$A119,'库存（子SKU）'!D:D)</f>
        <v>3</v>
      </c>
      <c r="C119" s="5">
        <f>SUMIF('库存（子SKU）'!$C:$C,$A119,'库存（子SKU）'!E:E)</f>
        <v>2</v>
      </c>
      <c r="D119" s="5">
        <f>SUMIF('库存（子SKU）'!$C:$C,$A119,'库存（子SKU）'!F:F)</f>
        <v>0</v>
      </c>
      <c r="E119" s="5">
        <f>SUMIF('库存（子SKU）'!$C:$C,$A119,'库存（子SKU）'!G:G)</f>
        <v>1</v>
      </c>
      <c r="F119" s="6">
        <v>11.3233333333333</v>
      </c>
      <c r="G119">
        <f>SUMIF('库存（子SKU）'!$C:$C,$A119,'库存（子SKU）'!I:I)</f>
        <v>243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243</v>
      </c>
      <c r="L119">
        <f>SUMIF('库存（子SKU）'!$C:$C,$A119,'库存（子SKU）'!N:N)</f>
        <v>0</v>
      </c>
      <c r="M119">
        <f>SUMIF('库存（子SKU）'!$C:$C,$A119,'库存（子SKU）'!O:O)</f>
        <v>239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2" t="str">
        <f t="shared" si="32"/>
        <v/>
      </c>
      <c r="W119" s="22" t="str">
        <f t="shared" si="33"/>
        <v/>
      </c>
      <c r="X119" s="22" t="str">
        <f t="shared" si="34"/>
        <v/>
      </c>
      <c r="Y119" s="22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2">
        <f t="shared" si="20"/>
        <v>0</v>
      </c>
      <c r="AE119" s="22">
        <f t="shared" si="21"/>
        <v>0</v>
      </c>
      <c r="AF119" s="22" t="str">
        <f t="shared" si="22"/>
        <v/>
      </c>
      <c r="AG119" s="22">
        <f t="shared" si="23"/>
        <v>0</v>
      </c>
      <c r="AH119">
        <f>SUMIF('库存（子SKU）'!$C:$C,$A119,'库存（子SKU）'!AJ:AJ)</f>
        <v>61</v>
      </c>
      <c r="AI119">
        <f>SUMIF('库存（子SKU）'!$C:$C,$A119,'库存（子SKU）'!AK:AK)</f>
        <v>83</v>
      </c>
      <c r="AJ119">
        <f>SUMIF('库存（子SKU）'!$C:$C,$A119,'库存（子SKU）'!AL:AL)</f>
        <v>52</v>
      </c>
      <c r="AK119">
        <f>SUMIF('库存（子SKU）'!$C:$C,$A119,'库存（子SKU）'!AM:AM)</f>
        <v>101</v>
      </c>
      <c r="AL119" s="22">
        <f t="shared" si="24"/>
        <v>0.0491803278688525</v>
      </c>
      <c r="AM119" s="22">
        <f t="shared" si="25"/>
        <v>0.0240963855421687</v>
      </c>
      <c r="AN119" s="22">
        <f t="shared" si="26"/>
        <v>0</v>
      </c>
      <c r="AO119" s="22">
        <f t="shared" si="27"/>
        <v>0.0099009900990099</v>
      </c>
      <c r="AP119" s="7">
        <f t="shared" si="28"/>
        <v>0.428571428571429</v>
      </c>
      <c r="AQ119" s="7">
        <f t="shared" si="29"/>
        <v>25.7142857142857</v>
      </c>
      <c r="AR119" s="7">
        <f t="shared" si="30"/>
        <v>217.285714285714</v>
      </c>
      <c r="AS119">
        <f t="shared" si="31"/>
        <v>567</v>
      </c>
      <c r="AT119" s="2">
        <f>IFERROR(时间!$B$4+AS119,"上周无销量")</f>
        <v>43885</v>
      </c>
    </row>
    <row r="120" spans="1:46">
      <c r="A120" t="s">
        <v>1146</v>
      </c>
      <c r="B120" s="5">
        <f>SUMIF('库存（子SKU）'!$C:$C,$A120,'库存（子SKU）'!D:D)</f>
        <v>10</v>
      </c>
      <c r="C120" s="5">
        <f>SUMIF('库存（子SKU）'!$C:$C,$A120,'库存（子SKU）'!E:E)</f>
        <v>23</v>
      </c>
      <c r="D120" s="5">
        <f>SUMIF('库存（子SKU）'!$C:$C,$A120,'库存（子SKU）'!F:F)</f>
        <v>18</v>
      </c>
      <c r="E120" s="5">
        <f>SUMIF('库存（子SKU）'!$C:$C,$A120,'库存（子SKU）'!G:G)</f>
        <v>3</v>
      </c>
      <c r="F120" s="6">
        <v>13.99</v>
      </c>
      <c r="G120">
        <f>SUMIF('库存（子SKU）'!$C:$C,$A120,'库存（子SKU）'!I:I)</f>
        <v>133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10</v>
      </c>
      <c r="K120">
        <f t="shared" si="19"/>
        <v>143</v>
      </c>
      <c r="L120">
        <f>SUMIF('库存（子SKU）'!$C:$C,$A120,'库存（子SKU）'!N:N)</f>
        <v>8</v>
      </c>
      <c r="M120">
        <f>SUMIF('库存（子SKU）'!$C:$C,$A120,'库存（子SKU）'!O:O)</f>
        <v>16</v>
      </c>
      <c r="N120">
        <f>SUMIF('库存（子SKU）'!$C:$C,$A120,'库存（子SKU）'!P:P)</f>
        <v>351</v>
      </c>
      <c r="O120">
        <f>SUMIF('库存（子SKU）'!$C:$C,$A120,'库存（子SKU）'!Q:Q)</f>
        <v>1217</v>
      </c>
      <c r="P120">
        <f>SUMIF('库存（子SKU）'!$C:$C,$A120,'库存（子SKU）'!R:R)</f>
        <v>6110</v>
      </c>
      <c r="Q120">
        <f>SUMIF('库存（子SKU）'!$C:$C,$A120,'库存（子SKU）'!S:S)</f>
        <v>2114</v>
      </c>
      <c r="R120">
        <f>SUMIF('库存（子SKU）'!$C:$C,$A120,'库存（子SKU）'!T:T)</f>
        <v>4</v>
      </c>
      <c r="S120">
        <f>SUMIF('库存（子SKU）'!$C:$C,$A120,'库存（子SKU）'!U:U)</f>
        <v>2</v>
      </c>
      <c r="T120">
        <f>SUMIF('库存（子SKU）'!$C:$C,$A120,'库存（子SKU）'!V:V)</f>
        <v>17</v>
      </c>
      <c r="U120">
        <f>SUMIF('库存（子SKU）'!$C:$C,$A120,'库存（子SKU）'!W:W)</f>
        <v>5</v>
      </c>
      <c r="V120" s="22">
        <f t="shared" si="32"/>
        <v>0.0113960113960114</v>
      </c>
      <c r="W120" s="22">
        <f t="shared" si="33"/>
        <v>0.00164338537387017</v>
      </c>
      <c r="X120" s="22">
        <f t="shared" si="34"/>
        <v>0.0027823240589198</v>
      </c>
      <c r="Y120" s="22">
        <f t="shared" si="35"/>
        <v>0.00236518448438978</v>
      </c>
      <c r="Z120">
        <f>SUMIF('库存（子SKU）'!$C:$C,$A120,'库存（子SKU）'!AB:AB)</f>
        <v>0.76</v>
      </c>
      <c r="AA120">
        <f>SUMIF('库存（子SKU）'!$C:$C,$A120,'库存（子SKU）'!AC:AC)</f>
        <v>0.43</v>
      </c>
      <c r="AB120">
        <f>SUMIF('库存（子SKU）'!$C:$C,$A120,'库存（子SKU）'!AD:AD)</f>
        <v>4.26</v>
      </c>
      <c r="AC120">
        <f>SUMIF('库存（子SKU）'!$C:$C,$A120,'库存（子SKU）'!AE:AE)</f>
        <v>0.97</v>
      </c>
      <c r="AD120" s="22">
        <f t="shared" si="20"/>
        <v>0.00543245175125089</v>
      </c>
      <c r="AE120" s="22">
        <f t="shared" si="21"/>
        <v>0.00133635826832831</v>
      </c>
      <c r="AF120" s="22">
        <f t="shared" si="22"/>
        <v>0.0169168453657374</v>
      </c>
      <c r="AG120" s="22">
        <f t="shared" si="23"/>
        <v>0.0231117464855849</v>
      </c>
      <c r="AH120">
        <f>SUMIF('库存（子SKU）'!$C:$C,$A120,'库存（子SKU）'!AJ:AJ)</f>
        <v>120</v>
      </c>
      <c r="AI120">
        <f>SUMIF('库存（子SKU）'!$C:$C,$A120,'库存（子SKU）'!AK:AK)</f>
        <v>175</v>
      </c>
      <c r="AJ120">
        <f>SUMIF('库存（子SKU）'!$C:$C,$A120,'库存（子SKU）'!AL:AL)</f>
        <v>178</v>
      </c>
      <c r="AK120">
        <f>SUMIF('库存（子SKU）'!$C:$C,$A120,'库存（子SKU）'!AM:AM)</f>
        <v>108</v>
      </c>
      <c r="AL120" s="22">
        <f t="shared" si="24"/>
        <v>0.0833333333333333</v>
      </c>
      <c r="AM120" s="22">
        <f t="shared" si="25"/>
        <v>0.131428571428571</v>
      </c>
      <c r="AN120" s="22">
        <f t="shared" si="26"/>
        <v>0.101123595505618</v>
      </c>
      <c r="AO120" s="22">
        <f t="shared" si="27"/>
        <v>0.0277777777777778</v>
      </c>
      <c r="AP120" s="7">
        <f t="shared" si="28"/>
        <v>1.42857142857143</v>
      </c>
      <c r="AQ120" s="7">
        <f t="shared" si="29"/>
        <v>85.7142857142857</v>
      </c>
      <c r="AR120" s="7">
        <f t="shared" si="30"/>
        <v>57.2857142857143</v>
      </c>
      <c r="AS120">
        <f t="shared" si="31"/>
        <v>100</v>
      </c>
      <c r="AT120" s="2">
        <f>IFERROR(时间!$B$4+AS120,"上周无销量")</f>
        <v>43418</v>
      </c>
    </row>
    <row r="121" spans="1:46">
      <c r="A121" t="s">
        <v>1169</v>
      </c>
      <c r="B121" s="5">
        <f>SUMIF('库存（子SKU）'!$C:$C,$A121,'库存（子SKU）'!D:D)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 t="s">
        <v>53</v>
      </c>
      <c r="G121">
        <f>SUMIF('库存（子SKU）'!$C:$C,$A121,'库存（子SKU）'!I:I)</f>
        <v>2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2</v>
      </c>
      <c r="L121">
        <f>SUMIF('库存（子SKU）'!$C:$C,$A121,'库存（子SKU）'!N:N)</f>
        <v>0</v>
      </c>
      <c r="M121">
        <f>SUMIF('库存（子SKU）'!$C:$C,$A121,'库存（子SKU）'!O:O)</f>
        <v>2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 t="str">
        <f t="shared" si="20"/>
        <v/>
      </c>
      <c r="AE121" s="22" t="str">
        <f t="shared" si="21"/>
        <v/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2" t="str">
        <f t="shared" si="24"/>
        <v/>
      </c>
      <c r="AM121" s="22" t="str">
        <f t="shared" si="25"/>
        <v/>
      </c>
      <c r="AN121" s="22" t="str">
        <f t="shared" si="26"/>
        <v/>
      </c>
      <c r="AO121" s="22" t="str">
        <f t="shared" si="27"/>
        <v/>
      </c>
      <c r="AP121" s="7">
        <f t="shared" si="28"/>
        <v>0</v>
      </c>
      <c r="AQ121" s="7">
        <f t="shared" si="29"/>
        <v>0</v>
      </c>
      <c r="AR121" s="7">
        <f t="shared" si="30"/>
        <v>2</v>
      </c>
      <c r="AS121" t="str">
        <f t="shared" si="31"/>
        <v>库存为2</v>
      </c>
      <c r="AT121" s="2" t="str">
        <f>IFERROR(时间!$B$4+AS121,"上周无销量")</f>
        <v>上周无销量</v>
      </c>
    </row>
    <row r="122" spans="1:46">
      <c r="A122" t="s">
        <v>1173</v>
      </c>
      <c r="B122" s="5">
        <f>SUMIF('库存（子SKU）'!$C:$C,$A122,'库存（子SKU）'!D:D)</f>
        <v>1258</v>
      </c>
      <c r="C122" s="5">
        <f>SUMIF('库存（子SKU）'!$C:$C,$A122,'库存（子SKU）'!E:E)</f>
        <v>1111</v>
      </c>
      <c r="D122" s="5">
        <f>SUMIF('库存（子SKU）'!$C:$C,$A122,'库存（子SKU）'!F:F)</f>
        <v>1373</v>
      </c>
      <c r="E122" s="5">
        <f>SUMIF('库存（子SKU）'!$C:$C,$A122,'库存（子SKU）'!G:G)</f>
        <v>667</v>
      </c>
      <c r="F122" s="6">
        <v>23.036873012508</v>
      </c>
      <c r="G122">
        <f>SUMIF('库存（子SKU）'!$C:$C,$A122,'库存（子SKU）'!I:I)</f>
        <v>2591</v>
      </c>
      <c r="H122">
        <f>SUMIF('库存（子SKU）'!$C:$C,$A122,'库存（子SKU）'!J:J)</f>
        <v>1868</v>
      </c>
      <c r="I122">
        <f>SUMIF('库存（子SKU）'!$C:$C,$A122,'库存（子SKU）'!K:K)</f>
        <v>1</v>
      </c>
      <c r="J122">
        <f>SUMIF('库存（子SKU）'!$C:$C,$A122,'库存（子SKU）'!L:L)</f>
        <v>216</v>
      </c>
      <c r="K122">
        <f t="shared" si="19"/>
        <v>4676</v>
      </c>
      <c r="L122">
        <f>SUMIF('库存（子SKU）'!$C:$C,$A122,'库存（子SKU）'!N:N)</f>
        <v>35</v>
      </c>
      <c r="M122">
        <f>SUMIF('库存（子SKU）'!$C:$C,$A122,'库存（子SKU）'!O:O)</f>
        <v>0</v>
      </c>
      <c r="N122">
        <f>SUMIF('库存（子SKU）'!$C:$C,$A122,'库存（子SKU）'!P:P)</f>
        <v>325089</v>
      </c>
      <c r="O122">
        <f>SUMIF('库存（子SKU）'!$C:$C,$A122,'库存（子SKU）'!Q:Q)</f>
        <v>227346</v>
      </c>
      <c r="P122">
        <f>SUMIF('库存（子SKU）'!$C:$C,$A122,'库存（子SKU）'!R:R)</f>
        <v>189674</v>
      </c>
      <c r="Q122">
        <f>SUMIF('库存（子SKU）'!$C:$C,$A122,'库存（子SKU）'!S:S)</f>
        <v>192228</v>
      </c>
      <c r="R122">
        <f>SUMIF('库存（子SKU）'!$C:$C,$A122,'库存（子SKU）'!T:T)</f>
        <v>985</v>
      </c>
      <c r="S122">
        <f>SUMIF('库存（子SKU）'!$C:$C,$A122,'库存（子SKU）'!U:U)</f>
        <v>789</v>
      </c>
      <c r="T122">
        <f>SUMIF('库存（子SKU）'!$C:$C,$A122,'库存（子SKU）'!V:V)</f>
        <v>516</v>
      </c>
      <c r="U122">
        <f>SUMIF('库存（子SKU）'!$C:$C,$A122,'库存（子SKU）'!W:W)</f>
        <v>530</v>
      </c>
      <c r="V122" s="22">
        <f t="shared" si="32"/>
        <v>0.00302993949349255</v>
      </c>
      <c r="W122" s="22">
        <f t="shared" si="33"/>
        <v>0.00347048111688792</v>
      </c>
      <c r="X122" s="22">
        <f t="shared" si="34"/>
        <v>0.00272045720552105</v>
      </c>
      <c r="Y122" s="22">
        <f t="shared" si="35"/>
        <v>0.00275714255987681</v>
      </c>
      <c r="Z122">
        <f>SUMIF('库存（子SKU）'!$C:$C,$A122,'库存（子SKU）'!AB:AB)</f>
        <v>536.81</v>
      </c>
      <c r="AA122">
        <f>SUMIF('库存（子SKU）'!$C:$C,$A122,'库存（子SKU）'!AC:AC)</f>
        <v>474.02</v>
      </c>
      <c r="AB122">
        <f>SUMIF('库存（子SKU）'!$C:$C,$A122,'库存（子SKU）'!AD:AD)</f>
        <v>266.07</v>
      </c>
      <c r="AC122">
        <f>SUMIF('库存（子SKU）'!$C:$C,$A122,'库存（子SKU）'!AE:AE)</f>
        <v>271.27</v>
      </c>
      <c r="AD122" s="22">
        <f t="shared" si="20"/>
        <v>0.0185232175780579</v>
      </c>
      <c r="AE122" s="22">
        <f t="shared" si="21"/>
        <v>0.0185207717138931</v>
      </c>
      <c r="AF122" s="22">
        <f t="shared" si="22"/>
        <v>0.00841204997379218</v>
      </c>
      <c r="AG122" s="22">
        <f t="shared" si="23"/>
        <v>0.0176543773521081</v>
      </c>
      <c r="AH122">
        <f>SUMIF('库存（子SKU）'!$C:$C,$A122,'库存（子SKU）'!AJ:AJ)</f>
        <v>12232</v>
      </c>
      <c r="AI122">
        <f>SUMIF('库存（子SKU）'!$C:$C,$A122,'库存（子SKU）'!AK:AK)</f>
        <v>12722</v>
      </c>
      <c r="AJ122">
        <f>SUMIF('库存（子SKU）'!$C:$C,$A122,'库存（子SKU）'!AL:AL)</f>
        <v>16722</v>
      </c>
      <c r="AK122">
        <f>SUMIF('库存（子SKU）'!$C:$C,$A122,'库存（子SKU）'!AM:AM)</f>
        <v>7284</v>
      </c>
      <c r="AL122" s="22">
        <f t="shared" si="24"/>
        <v>0.102844996729889</v>
      </c>
      <c r="AM122" s="22">
        <f t="shared" si="25"/>
        <v>0.0873290363150448</v>
      </c>
      <c r="AN122" s="22">
        <f t="shared" si="26"/>
        <v>0.0821074034206435</v>
      </c>
      <c r="AO122" s="22">
        <f t="shared" si="27"/>
        <v>0.0915705656232839</v>
      </c>
      <c r="AP122" s="7">
        <f t="shared" si="28"/>
        <v>179.714285714286</v>
      </c>
      <c r="AQ122" s="7">
        <f t="shared" si="29"/>
        <v>10782.8571428571</v>
      </c>
      <c r="AR122" s="7">
        <f t="shared" si="30"/>
        <v>-6106.85714285714</v>
      </c>
      <c r="AS122">
        <f t="shared" si="31"/>
        <v>26</v>
      </c>
      <c r="AT122" s="2">
        <f>IFERROR(时间!$B$4+AS122,"上周无销量")</f>
        <v>43344</v>
      </c>
    </row>
    <row r="123" spans="1:46">
      <c r="A123" t="s">
        <v>1198</v>
      </c>
      <c r="B123" s="5">
        <f>SUMIF('库存（子SKU）'!$C:$C,$A123,'库存（子SKU）'!D:D)</f>
        <v>0</v>
      </c>
      <c r="C123" s="5">
        <f>SUMIF('库存（子SKU）'!$C:$C,$A123,'库存（子SKU）'!E:E)</f>
        <v>1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6">
        <v>25</v>
      </c>
      <c r="G123">
        <f>SUMIF('库存（子SKU）'!$C:$C,$A123,'库存（子SKU）'!I:I)</f>
        <v>20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20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373</v>
      </c>
      <c r="O123">
        <f>SUMIF('库存（子SKU）'!$C:$C,$A123,'库存（子SKU）'!Q:Q)</f>
        <v>1128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1</v>
      </c>
      <c r="S123">
        <f>SUMIF('库存（子SKU）'!$C:$C,$A123,'库存（子SKU）'!U:U)</f>
        <v>5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>
        <f t="shared" si="32"/>
        <v>0.00268096514745308</v>
      </c>
      <c r="W123" s="22">
        <f t="shared" si="33"/>
        <v>0.00443262411347518</v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0.23</v>
      </c>
      <c r="AA123">
        <f>SUMIF('库存（子SKU）'!$C:$C,$A123,'库存（子SKU）'!AC:AC)</f>
        <v>2.07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 t="str">
        <f t="shared" si="20"/>
        <v>无销量广告费为0.23</v>
      </c>
      <c r="AE123" s="22">
        <f t="shared" si="21"/>
        <v>0.0828</v>
      </c>
      <c r="AF123" s="22" t="str">
        <f t="shared" si="22"/>
        <v/>
      </c>
      <c r="AG123" s="22" t="str">
        <f t="shared" si="23"/>
        <v/>
      </c>
      <c r="AH123">
        <f>SUMIF('库存（子SKU）'!$C:$C,$A123,'库存（子SKU）'!AJ:AJ)</f>
        <v>146</v>
      </c>
      <c r="AI123">
        <f>SUMIF('库存（子SKU）'!$C:$C,$A123,'库存（子SKU）'!AK:AK)</f>
        <v>96</v>
      </c>
      <c r="AJ123">
        <f>SUMIF('库存（子SKU）'!$C:$C,$A123,'库存（子SKU）'!AL:AL)</f>
        <v>35</v>
      </c>
      <c r="AK123">
        <f>SUMIF('库存（子SKU）'!$C:$C,$A123,'库存（子SKU）'!AM:AM)</f>
        <v>0</v>
      </c>
      <c r="AL123" s="22">
        <f t="shared" si="24"/>
        <v>0</v>
      </c>
      <c r="AM123" s="22">
        <f t="shared" si="25"/>
        <v>0.0104166666666667</v>
      </c>
      <c r="AN123" s="22">
        <f t="shared" si="26"/>
        <v>0</v>
      </c>
      <c r="AO123" s="22" t="str">
        <f t="shared" si="27"/>
        <v/>
      </c>
      <c r="AP123" s="7">
        <f t="shared" si="28"/>
        <v>0</v>
      </c>
      <c r="AQ123" s="7">
        <f t="shared" si="29"/>
        <v>0</v>
      </c>
      <c r="AR123" s="7">
        <f t="shared" si="30"/>
        <v>20</v>
      </c>
      <c r="AS123" t="str">
        <f t="shared" si="31"/>
        <v>库存为20</v>
      </c>
      <c r="AT123" s="2" t="str">
        <f>IFERROR(时间!$B$4+AS123,"上周无销量")</f>
        <v>上周无销量</v>
      </c>
    </row>
    <row r="124" spans="1:46">
      <c r="A124" t="s">
        <v>1207</v>
      </c>
      <c r="B124" s="5">
        <f>SUMIF('库存（子SKU）'!$C:$C,$A124,'库存（子SKU）'!D:D)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6" t="s">
        <v>53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 t="str">
        <f t="shared" si="20"/>
        <v/>
      </c>
      <c r="AE124" s="22" t="str">
        <f t="shared" si="21"/>
        <v/>
      </c>
      <c r="AF124" s="22" t="str">
        <f t="shared" si="22"/>
        <v/>
      </c>
      <c r="AG124" s="22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2" t="str">
        <f t="shared" si="24"/>
        <v/>
      </c>
      <c r="AM124" s="22" t="str">
        <f t="shared" si="25"/>
        <v/>
      </c>
      <c r="AN124" s="22" t="str">
        <f t="shared" si="26"/>
        <v/>
      </c>
      <c r="AO124" s="22" t="str">
        <f t="shared" si="27"/>
        <v/>
      </c>
      <c r="AP124" s="7">
        <f t="shared" si="28"/>
        <v>0</v>
      </c>
      <c r="AQ124" s="7">
        <f t="shared" si="29"/>
        <v>0</v>
      </c>
      <c r="AR124" s="7">
        <f t="shared" si="30"/>
        <v>0</v>
      </c>
      <c r="AS124" t="str">
        <f t="shared" si="31"/>
        <v>库存为0</v>
      </c>
      <c r="AT124" s="2" t="str">
        <f>IFERROR(时间!$B$4+AS124,"上周无销量")</f>
        <v>上周无销量</v>
      </c>
    </row>
    <row r="125" spans="1:46">
      <c r="A125" t="s">
        <v>1210</v>
      </c>
      <c r="B125" s="5">
        <f>SUMIF('库存（子SKU）'!$C:$C,$A125,'库存（子SKU）'!D:D)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 t="s">
        <v>53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 t="str">
        <f t="shared" si="20"/>
        <v/>
      </c>
      <c r="AE125" s="22" t="str">
        <f t="shared" si="21"/>
        <v/>
      </c>
      <c r="AF125" s="22" t="str">
        <f t="shared" si="22"/>
        <v/>
      </c>
      <c r="AG125" s="22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2" t="str">
        <f t="shared" si="24"/>
        <v/>
      </c>
      <c r="AM125" s="22" t="str">
        <f t="shared" si="25"/>
        <v/>
      </c>
      <c r="AN125" s="22" t="str">
        <f t="shared" si="26"/>
        <v/>
      </c>
      <c r="AO125" s="22" t="str">
        <f t="shared" si="27"/>
        <v/>
      </c>
      <c r="AP125" s="7">
        <f t="shared" si="28"/>
        <v>0</v>
      </c>
      <c r="AQ125" s="7">
        <f t="shared" si="29"/>
        <v>0</v>
      </c>
      <c r="AR125" s="7">
        <f t="shared" si="30"/>
        <v>0</v>
      </c>
      <c r="AS125" t="str">
        <f t="shared" si="31"/>
        <v>库存为0</v>
      </c>
      <c r="AT125" s="2" t="str">
        <f>IFERROR(时间!$B$4+AS125,"上周无销量")</f>
        <v>上周无销量</v>
      </c>
    </row>
    <row r="126" spans="1:46">
      <c r="A126" t="s">
        <v>1215</v>
      </c>
      <c r="B126" s="5">
        <f>SUMIF('库存（子SKU）'!$C:$C,$A126,'库存（子SKU）'!D:D)</f>
        <v>6</v>
      </c>
      <c r="C126" s="5">
        <f>SUMIF('库存（子SKU）'!$C:$C,$A126,'库存（子SKU）'!E:E)</f>
        <v>4</v>
      </c>
      <c r="D126" s="5">
        <f>SUMIF('库存（子SKU）'!$C:$C,$A126,'库存（子SKU）'!F:F)</f>
        <v>6</v>
      </c>
      <c r="E126" s="5">
        <f>SUMIF('库存（子SKU）'!$C:$C,$A126,'库存（子SKU）'!G:G)</f>
        <v>3</v>
      </c>
      <c r="F126" s="6">
        <v>14.4636842105263</v>
      </c>
      <c r="G126">
        <f>SUMIF('库存（子SKU）'!$C:$C,$A126,'库存（子SKU）'!I:I)</f>
        <v>35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35</v>
      </c>
      <c r="L126">
        <f>SUMIF('库存（子SKU）'!$C:$C,$A126,'库存（子SKU）'!N:N)</f>
        <v>1</v>
      </c>
      <c r="M126">
        <f>SUMIF('库存（子SKU）'!$C:$C,$A126,'库存（子SKU）'!O:O)</f>
        <v>29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>
        <f t="shared" si="20"/>
        <v>0</v>
      </c>
      <c r="AE126" s="22">
        <f t="shared" si="21"/>
        <v>0</v>
      </c>
      <c r="AF126" s="22">
        <f t="shared" si="22"/>
        <v>0</v>
      </c>
      <c r="AG126" s="22">
        <f t="shared" si="23"/>
        <v>0</v>
      </c>
      <c r="AH126">
        <f>SUMIF('库存（子SKU）'!$C:$C,$A126,'库存（子SKU）'!AJ:AJ)</f>
        <v>26</v>
      </c>
      <c r="AI126">
        <f>SUMIF('库存（子SKU）'!$C:$C,$A126,'库存（子SKU）'!AK:AK)</f>
        <v>30</v>
      </c>
      <c r="AJ126">
        <f>SUMIF('库存（子SKU）'!$C:$C,$A126,'库存（子SKU）'!AL:AL)</f>
        <v>28</v>
      </c>
      <c r="AK126">
        <f>SUMIF('库存（子SKU）'!$C:$C,$A126,'库存（子SKU）'!AM:AM)</f>
        <v>35</v>
      </c>
      <c r="AL126" s="22">
        <f t="shared" si="24"/>
        <v>0.230769230769231</v>
      </c>
      <c r="AM126" s="22">
        <f t="shared" si="25"/>
        <v>0.133333333333333</v>
      </c>
      <c r="AN126" s="22">
        <f t="shared" si="26"/>
        <v>0.214285714285714</v>
      </c>
      <c r="AO126" s="22">
        <f t="shared" si="27"/>
        <v>0.0857142857142857</v>
      </c>
      <c r="AP126" s="7">
        <f t="shared" si="28"/>
        <v>0.857142857142857</v>
      </c>
      <c r="AQ126" s="7">
        <f t="shared" si="29"/>
        <v>51.4285714285714</v>
      </c>
      <c r="AR126" s="7">
        <f t="shared" si="30"/>
        <v>-16.4285714285714</v>
      </c>
      <c r="AS126">
        <f t="shared" si="31"/>
        <v>40</v>
      </c>
      <c r="AT126" s="2">
        <f>IFERROR(时间!$B$4+AS126,"上周无销量")</f>
        <v>43358</v>
      </c>
    </row>
    <row r="127" spans="1:46">
      <c r="A127" t="s">
        <v>1252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6" t="s">
        <v>53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 t="str">
        <f t="shared" si="32"/>
        <v/>
      </c>
      <c r="W127" s="22" t="str">
        <f t="shared" si="33"/>
        <v/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/>
      </c>
      <c r="AF127" s="22" t="str">
        <f t="shared" si="22"/>
        <v/>
      </c>
      <c r="AG127" s="22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2" t="str">
        <f t="shared" si="24"/>
        <v/>
      </c>
      <c r="AM127" s="22" t="str">
        <f t="shared" si="25"/>
        <v/>
      </c>
      <c r="AN127" s="22" t="str">
        <f t="shared" si="26"/>
        <v/>
      </c>
      <c r="AO127" s="22" t="str">
        <f t="shared" si="27"/>
        <v/>
      </c>
      <c r="AP127" s="7">
        <f t="shared" si="28"/>
        <v>0</v>
      </c>
      <c r="AQ127" s="7">
        <f t="shared" si="29"/>
        <v>0</v>
      </c>
      <c r="AR127" s="7">
        <f t="shared" si="30"/>
        <v>0</v>
      </c>
      <c r="AS127" t="str">
        <f t="shared" si="31"/>
        <v>库存为0</v>
      </c>
      <c r="AT127" s="2" t="str">
        <f>IFERROR(时间!$B$4+AS127,"上周无销量")</f>
        <v>上周无销量</v>
      </c>
    </row>
    <row r="128" spans="1:46">
      <c r="A128" t="s">
        <v>1260</v>
      </c>
      <c r="B128" s="5">
        <f>SUMIF('库存（子SKU）'!$C:$C,$A128,'库存（子SKU）'!D:D)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6" t="s">
        <v>53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 t="str">
        <f t="shared" si="20"/>
        <v/>
      </c>
      <c r="AE128" s="22" t="str">
        <f t="shared" si="21"/>
        <v/>
      </c>
      <c r="AF128" s="22" t="str">
        <f t="shared" si="22"/>
        <v/>
      </c>
      <c r="AG128" s="22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2" t="str">
        <f t="shared" si="24"/>
        <v/>
      </c>
      <c r="AM128" s="22" t="str">
        <f t="shared" si="25"/>
        <v/>
      </c>
      <c r="AN128" s="22" t="str">
        <f t="shared" si="26"/>
        <v/>
      </c>
      <c r="AO128" s="22" t="str">
        <f t="shared" si="27"/>
        <v/>
      </c>
      <c r="AP128" s="7">
        <f t="shared" si="28"/>
        <v>0</v>
      </c>
      <c r="AQ128" s="7">
        <f t="shared" si="29"/>
        <v>0</v>
      </c>
      <c r="AR128" s="7">
        <f t="shared" si="30"/>
        <v>0</v>
      </c>
      <c r="AS128" t="str">
        <f t="shared" si="31"/>
        <v>库存为0</v>
      </c>
      <c r="AT128" s="2" t="str">
        <f>IFERROR(时间!$B$4+AS128,"上周无销量")</f>
        <v>上周无销量</v>
      </c>
    </row>
    <row r="129" spans="1:46">
      <c r="A129" t="s">
        <v>1266</v>
      </c>
      <c r="B129" s="5">
        <f>SUMIF('库存（子SKU）'!$C:$C,$A129,'库存（子SKU）'!D:D)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6" t="s">
        <v>53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2" t="str">
        <f t="shared" si="32"/>
        <v/>
      </c>
      <c r="W129" s="22" t="str">
        <f t="shared" si="33"/>
        <v/>
      </c>
      <c r="X129" s="22" t="str">
        <f t="shared" si="34"/>
        <v/>
      </c>
      <c r="Y129" s="22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2" t="str">
        <f t="shared" si="20"/>
        <v/>
      </c>
      <c r="AE129" s="22" t="str">
        <f t="shared" si="21"/>
        <v/>
      </c>
      <c r="AF129" s="22" t="str">
        <f t="shared" si="22"/>
        <v/>
      </c>
      <c r="AG129" s="22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2" t="str">
        <f t="shared" si="24"/>
        <v/>
      </c>
      <c r="AM129" s="22" t="str">
        <f t="shared" si="25"/>
        <v/>
      </c>
      <c r="AN129" s="22" t="str">
        <f t="shared" si="26"/>
        <v/>
      </c>
      <c r="AO129" s="22" t="str">
        <f t="shared" si="27"/>
        <v/>
      </c>
      <c r="AP129" s="7">
        <f t="shared" si="28"/>
        <v>0</v>
      </c>
      <c r="AQ129" s="7">
        <f t="shared" si="29"/>
        <v>0</v>
      </c>
      <c r="AR129" s="7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1269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 t="s">
        <v>53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2" t="str">
        <f t="shared" si="24"/>
        <v/>
      </c>
      <c r="AM130" s="22" t="str">
        <f t="shared" si="25"/>
        <v/>
      </c>
      <c r="AN130" s="22" t="str">
        <f t="shared" si="26"/>
        <v/>
      </c>
      <c r="AO130" s="22" t="str">
        <f t="shared" si="27"/>
        <v/>
      </c>
      <c r="AP130" s="7">
        <f t="shared" si="28"/>
        <v>0</v>
      </c>
      <c r="AQ130" s="7">
        <f t="shared" si="29"/>
        <v>0</v>
      </c>
      <c r="AR130" s="7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1272</v>
      </c>
      <c r="B131" s="5">
        <f>SUMIF('库存（子SKU）'!$C:$C,$A131,'库存（子SKU）'!D:D)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 t="s">
        <v>53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 t="str">
        <f t="shared" si="20"/>
        <v/>
      </c>
      <c r="AE131" s="22" t="str">
        <f t="shared" si="21"/>
        <v/>
      </c>
      <c r="AF131" s="22" t="str">
        <f t="shared" si="22"/>
        <v/>
      </c>
      <c r="AG131" s="22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2" t="str">
        <f t="shared" si="24"/>
        <v/>
      </c>
      <c r="AM131" s="22" t="str">
        <f t="shared" si="25"/>
        <v/>
      </c>
      <c r="AN131" s="22" t="str">
        <f t="shared" si="26"/>
        <v/>
      </c>
      <c r="AO131" s="22" t="str">
        <f t="shared" si="27"/>
        <v/>
      </c>
      <c r="AP131" s="7">
        <f t="shared" si="28"/>
        <v>0</v>
      </c>
      <c r="AQ131" s="7">
        <f t="shared" si="29"/>
        <v>0</v>
      </c>
      <c r="AR131" s="7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1275</v>
      </c>
      <c r="B132" s="5">
        <f>SUMIF('库存（子SKU）'!$C:$C,$A132,'库存（子SKU）'!D:D)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6" t="s">
        <v>53</v>
      </c>
      <c r="G132">
        <f>SUMIF('库存（子SKU）'!$C:$C,$A132,'库存（子SKU）'!I:I)</f>
        <v>48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48</v>
      </c>
      <c r="L132">
        <f>SUMIF('库存（子SKU）'!$C:$C,$A132,'库存（子SKU）'!N:N)</f>
        <v>0</v>
      </c>
      <c r="M132">
        <f>SUMIF('库存（子SKU）'!$C:$C,$A132,'库存（子SKU）'!O:O)</f>
        <v>48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 t="str">
        <f t="shared" si="21"/>
        <v/>
      </c>
      <c r="AF132" s="22" t="str">
        <f t="shared" si="22"/>
        <v/>
      </c>
      <c r="AG132" s="22" t="str">
        <f t="shared" si="23"/>
        <v/>
      </c>
      <c r="AH132">
        <f>SUMIF('库存（子SKU）'!$C:$C,$A132,'库存（子SKU）'!AJ:AJ)</f>
        <v>16</v>
      </c>
      <c r="AI132">
        <f>SUMIF('库存（子SKU）'!$C:$C,$A132,'库存（子SKU）'!AK:AK)</f>
        <v>44</v>
      </c>
      <c r="AJ132">
        <f>SUMIF('库存（子SKU）'!$C:$C,$A132,'库存（子SKU）'!AL:AL)</f>
        <v>20</v>
      </c>
      <c r="AK132">
        <f>SUMIF('库存（子SKU）'!$C:$C,$A132,'库存（子SKU）'!AM:AM)</f>
        <v>19</v>
      </c>
      <c r="AL132" s="22">
        <f t="shared" si="24"/>
        <v>0</v>
      </c>
      <c r="AM132" s="22">
        <f t="shared" si="25"/>
        <v>0</v>
      </c>
      <c r="AN132" s="22">
        <f t="shared" si="26"/>
        <v>0</v>
      </c>
      <c r="AO132" s="22">
        <f t="shared" si="27"/>
        <v>0</v>
      </c>
      <c r="AP132" s="7">
        <f t="shared" si="28"/>
        <v>0</v>
      </c>
      <c r="AQ132" s="7">
        <f t="shared" si="29"/>
        <v>0</v>
      </c>
      <c r="AR132" s="7">
        <f t="shared" si="30"/>
        <v>48</v>
      </c>
      <c r="AS132" t="str">
        <f t="shared" si="31"/>
        <v>库存为48</v>
      </c>
      <c r="AT132" s="2" t="str">
        <f>IFERROR(时间!$B$4+AS132,"上周无销量")</f>
        <v>上周无销量</v>
      </c>
    </row>
    <row r="133" spans="1:46">
      <c r="A133" t="s">
        <v>1308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6" t="s">
        <v>53</v>
      </c>
      <c r="G133">
        <f>SUMIF('库存（子SKU）'!$C:$C,$A133,'库存（子SKU）'!I:I)</f>
        <v>143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143</v>
      </c>
      <c r="L133">
        <f>SUMIF('库存（子SKU）'!$C:$C,$A133,'库存（子SKU）'!N:N)</f>
        <v>0</v>
      </c>
      <c r="M133">
        <f>SUMIF('库存（子SKU）'!$C:$C,$A133,'库存（子SKU）'!O:O)</f>
        <v>143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2" t="str">
        <f t="shared" si="32"/>
        <v/>
      </c>
      <c r="W133" s="22" t="str">
        <f t="shared" si="33"/>
        <v/>
      </c>
      <c r="X133" s="22" t="str">
        <f t="shared" si="34"/>
        <v/>
      </c>
      <c r="Y133" s="22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2" t="str">
        <f t="shared" ref="AD133:AD196" si="37">IF(AND(Z133&gt;0,B133=0),"无销量广告费为"&amp;Z133,IFERROR(Z133/(B133*$F133),""))</f>
        <v/>
      </c>
      <c r="AE133" s="22" t="str">
        <f t="shared" ref="AE133:AE196" si="38">IF(AND(AA133&gt;0,C133=0),"无销量广告费为"&amp;AA133,IFERROR(AA133/(C133*$F133),""))</f>
        <v/>
      </c>
      <c r="AF133" s="22" t="str">
        <f t="shared" ref="AF133:AF196" si="39">IF(AND(AB133&gt;0,D133=0),"无销量广告费为"&amp;AB133,IFERROR(AB133/(D133*$F133),""))</f>
        <v/>
      </c>
      <c r="AG133" s="22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49</v>
      </c>
      <c r="AI133">
        <f>SUMIF('库存（子SKU）'!$C:$C,$A133,'库存（子SKU）'!AK:AK)</f>
        <v>39</v>
      </c>
      <c r="AJ133">
        <f>SUMIF('库存（子SKU）'!$C:$C,$A133,'库存（子SKU）'!AL:AL)</f>
        <v>82</v>
      </c>
      <c r="AK133">
        <f>SUMIF('库存（子SKU）'!$C:$C,$A133,'库存（子SKU）'!AM:AM)</f>
        <v>86</v>
      </c>
      <c r="AL133" s="22">
        <f t="shared" ref="AL133:AL196" si="41">IFERROR(B133/AH133,"")</f>
        <v>0</v>
      </c>
      <c r="AM133" s="22">
        <f t="shared" ref="AM133:AM196" si="42">IFERROR(C133/AI133,"")</f>
        <v>0</v>
      </c>
      <c r="AN133" s="22">
        <f t="shared" ref="AN133:AN196" si="43">IFERROR(D133/AJ133,"")</f>
        <v>0</v>
      </c>
      <c r="AO133" s="22">
        <f t="shared" ref="AO133:AO196" si="44">IFERROR(E133/AK133,"")</f>
        <v>0</v>
      </c>
      <c r="AP133" s="7">
        <f t="shared" ref="AP133:AP196" si="45">B133/7</f>
        <v>0</v>
      </c>
      <c r="AQ133" s="7">
        <f t="shared" ref="AQ133:AQ196" si="46">AP133*60</f>
        <v>0</v>
      </c>
      <c r="AR133" s="7">
        <f t="shared" ref="AR133:AR196" si="47">K133-AQ133</f>
        <v>143</v>
      </c>
      <c r="AS133" t="str">
        <f t="shared" ref="AS133:AS196" si="48">IF(AP133=0,"库存为"&amp;K133,INT(K133/AP133))</f>
        <v>库存为143</v>
      </c>
      <c r="AT133" s="2" t="str">
        <f>IFERROR(时间!$B$4+AS133,"上周无销量")</f>
        <v>上周无销量</v>
      </c>
    </row>
    <row r="134" spans="1:46">
      <c r="A134" t="s">
        <v>1381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6" t="s">
        <v>53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97" si="49">IFERROR(R134/N134,"")</f>
        <v/>
      </c>
      <c r="W134" s="22" t="str">
        <f t="shared" ref="W134:W197" si="50">IFERROR(S134/O134,"")</f>
        <v/>
      </c>
      <c r="X134" s="22" t="str">
        <f t="shared" ref="X134:X197" si="51">IFERROR(T134/P134,"")</f>
        <v/>
      </c>
      <c r="Y134" s="22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 t="str">
        <f t="shared" si="37"/>
        <v/>
      </c>
      <c r="AE134" s="22" t="str">
        <f t="shared" si="38"/>
        <v/>
      </c>
      <c r="AF134" s="22" t="str">
        <f t="shared" si="39"/>
        <v/>
      </c>
      <c r="AG134" s="22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2" t="str">
        <f t="shared" si="41"/>
        <v/>
      </c>
      <c r="AM134" s="22" t="str">
        <f t="shared" si="42"/>
        <v/>
      </c>
      <c r="AN134" s="22" t="str">
        <f t="shared" si="43"/>
        <v/>
      </c>
      <c r="AO134" s="22" t="str">
        <f t="shared" si="44"/>
        <v/>
      </c>
      <c r="AP134" s="7">
        <f t="shared" si="45"/>
        <v>0</v>
      </c>
      <c r="AQ134" s="7">
        <f t="shared" si="46"/>
        <v>0</v>
      </c>
      <c r="AR134" s="7">
        <f t="shared" si="47"/>
        <v>0</v>
      </c>
      <c r="AS134" t="str">
        <f t="shared" si="48"/>
        <v>库存为0</v>
      </c>
      <c r="AT134" s="2" t="str">
        <f>IFERROR(时间!$B$4+AS134,"上周无销量")</f>
        <v>上周无销量</v>
      </c>
    </row>
    <row r="135" spans="1:46">
      <c r="A135" t="s">
        <v>1388</v>
      </c>
      <c r="B135" s="5">
        <f>SUMIF('库存（子SKU）'!$C:$C,$A135,'库存（子SKU）'!D:D)</f>
        <v>0</v>
      </c>
      <c r="C135" s="5">
        <f>SUMIF('库存（子SKU）'!$C:$C,$A135,'库存（子SKU）'!E:E)</f>
        <v>1</v>
      </c>
      <c r="D135" s="5">
        <f>SUMIF('库存（子SKU）'!$C:$C,$A135,'库存（子SKU）'!F:F)</f>
        <v>1</v>
      </c>
      <c r="E135" s="5">
        <f>SUMIF('库存（子SKU）'!$C:$C,$A135,'库存（子SKU）'!G:G)</f>
        <v>0</v>
      </c>
      <c r="F135" s="6">
        <v>15.99</v>
      </c>
      <c r="G135">
        <f>SUMIF('库存（子SKU）'!$C:$C,$A135,'库存（子SKU）'!I:I)</f>
        <v>6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6</v>
      </c>
      <c r="L135">
        <f>SUMIF('库存（子SKU）'!$C:$C,$A135,'库存（子SKU）'!N:N)</f>
        <v>0</v>
      </c>
      <c r="M135">
        <f>SUMIF('库存（子SKU）'!$C:$C,$A135,'库存（子SKU）'!O:O)</f>
        <v>1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2" t="str">
        <f t="shared" si="49"/>
        <v/>
      </c>
      <c r="W135" s="22" t="str">
        <f t="shared" si="50"/>
        <v/>
      </c>
      <c r="X135" s="22" t="str">
        <f t="shared" si="51"/>
        <v/>
      </c>
      <c r="Y135" s="22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2" t="str">
        <f t="shared" si="37"/>
        <v/>
      </c>
      <c r="AE135" s="22">
        <f t="shared" si="38"/>
        <v>0</v>
      </c>
      <c r="AF135" s="22">
        <f t="shared" si="39"/>
        <v>0</v>
      </c>
      <c r="AG135" s="22" t="str">
        <f t="shared" si="40"/>
        <v/>
      </c>
      <c r="AH135">
        <f>SUMIF('库存（子SKU）'!$C:$C,$A135,'库存（子SKU）'!AJ:AJ)</f>
        <v>17</v>
      </c>
      <c r="AI135">
        <f>SUMIF('库存（子SKU）'!$C:$C,$A135,'库存（子SKU）'!AK:AK)</f>
        <v>10</v>
      </c>
      <c r="AJ135">
        <f>SUMIF('库存（子SKU）'!$C:$C,$A135,'库存（子SKU）'!AL:AL)</f>
        <v>12</v>
      </c>
      <c r="AK135">
        <f>SUMIF('库存（子SKU）'!$C:$C,$A135,'库存（子SKU）'!AM:AM)</f>
        <v>11</v>
      </c>
      <c r="AL135" s="22">
        <f t="shared" si="41"/>
        <v>0</v>
      </c>
      <c r="AM135" s="22">
        <f t="shared" si="42"/>
        <v>0.1</v>
      </c>
      <c r="AN135" s="22">
        <f t="shared" si="43"/>
        <v>0.0833333333333333</v>
      </c>
      <c r="AO135" s="22">
        <f t="shared" si="44"/>
        <v>0</v>
      </c>
      <c r="AP135" s="7">
        <f t="shared" si="45"/>
        <v>0</v>
      </c>
      <c r="AQ135" s="7">
        <f t="shared" si="46"/>
        <v>0</v>
      </c>
      <c r="AR135" s="7">
        <f t="shared" si="47"/>
        <v>6</v>
      </c>
      <c r="AS135" t="str">
        <f t="shared" si="48"/>
        <v>库存为6</v>
      </c>
      <c r="AT135" s="2" t="str">
        <f>IFERROR(时间!$B$4+AS135,"上周无销量")</f>
        <v>上周无销量</v>
      </c>
    </row>
    <row r="136" spans="1:46">
      <c r="A136" t="s">
        <v>1393</v>
      </c>
      <c r="B136" s="5">
        <f>SUMIF('库存（子SKU）'!$C:$C,$A136,'库存（子SKU）'!D:D)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1</v>
      </c>
      <c r="E136" s="5">
        <f>SUMIF('库存（子SKU）'!$C:$C,$A136,'库存（子SKU）'!G:G)</f>
        <v>0</v>
      </c>
      <c r="F136" s="6">
        <v>10</v>
      </c>
      <c r="G136">
        <f>SUMIF('库存（子SKU）'!$C:$C,$A136,'库存（子SKU）'!I:I)</f>
        <v>1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1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 t="str">
        <f t="shared" si="37"/>
        <v/>
      </c>
      <c r="AE136" s="22" t="str">
        <f t="shared" si="38"/>
        <v/>
      </c>
      <c r="AF136" s="22">
        <f t="shared" si="39"/>
        <v>0</v>
      </c>
      <c r="AG136" s="22" t="str">
        <f t="shared" si="40"/>
        <v/>
      </c>
      <c r="AH136">
        <f>SUMIF('库存（子SKU）'!$C:$C,$A136,'库存（子SKU）'!AJ:AJ)</f>
        <v>2</v>
      </c>
      <c r="AI136">
        <f>SUMIF('库存（子SKU）'!$C:$C,$A136,'库存（子SKU）'!AK:AK)</f>
        <v>4</v>
      </c>
      <c r="AJ136">
        <f>SUMIF('库存（子SKU）'!$C:$C,$A136,'库存（子SKU）'!AL:AL)</f>
        <v>4</v>
      </c>
      <c r="AK136">
        <f>SUMIF('库存（子SKU）'!$C:$C,$A136,'库存（子SKU）'!AM:AM)</f>
        <v>0</v>
      </c>
      <c r="AL136" s="22">
        <f t="shared" si="41"/>
        <v>0</v>
      </c>
      <c r="AM136" s="22">
        <f t="shared" si="42"/>
        <v>0</v>
      </c>
      <c r="AN136" s="22">
        <f t="shared" si="43"/>
        <v>0.25</v>
      </c>
      <c r="AO136" s="22" t="str">
        <f t="shared" si="44"/>
        <v/>
      </c>
      <c r="AP136" s="7">
        <f t="shared" si="45"/>
        <v>0</v>
      </c>
      <c r="AQ136" s="7">
        <f t="shared" si="46"/>
        <v>0</v>
      </c>
      <c r="AR136" s="7">
        <f t="shared" si="47"/>
        <v>1</v>
      </c>
      <c r="AS136" t="str">
        <f t="shared" si="48"/>
        <v>库存为1</v>
      </c>
      <c r="AT136" s="2" t="str">
        <f>IFERROR(时间!$B$4+AS136,"上周无销量")</f>
        <v>上周无销量</v>
      </c>
    </row>
    <row r="137" spans="1:46">
      <c r="A137" t="s">
        <v>1408</v>
      </c>
      <c r="B137" s="5">
        <f>SUMIF('库存（子SKU）'!$C:$C,$A137,'库存（子SKU）'!D:D)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 t="s">
        <v>53</v>
      </c>
      <c r="G137">
        <f>SUMIF('库存（子SKU）'!$C:$C,$A137,'库存（子SKU）'!I:I)</f>
        <v>5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5</v>
      </c>
      <c r="L137">
        <f>SUMIF('库存（子SKU）'!$C:$C,$A137,'库存（子SKU）'!N:N)</f>
        <v>0</v>
      </c>
      <c r="M137">
        <f>SUMIF('库存（子SKU）'!$C:$C,$A137,'库存（子SKU）'!O:O)</f>
        <v>3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2" t="str">
        <f t="shared" si="49"/>
        <v/>
      </c>
      <c r="W137" s="22" t="str">
        <f t="shared" si="50"/>
        <v/>
      </c>
      <c r="X137" s="22" t="str">
        <f t="shared" si="51"/>
        <v/>
      </c>
      <c r="Y137" s="22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2" t="str">
        <f t="shared" si="37"/>
        <v/>
      </c>
      <c r="AE137" s="22" t="str">
        <f t="shared" si="38"/>
        <v/>
      </c>
      <c r="AF137" s="22" t="str">
        <f t="shared" si="39"/>
        <v/>
      </c>
      <c r="AG137" s="22" t="str">
        <f t="shared" si="40"/>
        <v/>
      </c>
      <c r="AH137">
        <f>SUMIF('库存（子SKU）'!$C:$C,$A137,'库存（子SKU）'!AJ:AJ)</f>
        <v>2</v>
      </c>
      <c r="AI137">
        <f>SUMIF('库存（子SKU）'!$C:$C,$A137,'库存（子SKU）'!AK:AK)</f>
        <v>9</v>
      </c>
      <c r="AJ137">
        <f>SUMIF('库存（子SKU）'!$C:$C,$A137,'库存（子SKU）'!AL:AL)</f>
        <v>1</v>
      </c>
      <c r="AK137">
        <f>SUMIF('库存（子SKU）'!$C:$C,$A137,'库存（子SKU）'!AM:AM)</f>
        <v>5</v>
      </c>
      <c r="AL137" s="22">
        <f t="shared" si="41"/>
        <v>0</v>
      </c>
      <c r="AM137" s="22">
        <f t="shared" si="42"/>
        <v>0</v>
      </c>
      <c r="AN137" s="22">
        <f t="shared" si="43"/>
        <v>0</v>
      </c>
      <c r="AO137" s="22">
        <f t="shared" si="44"/>
        <v>0</v>
      </c>
      <c r="AP137" s="7">
        <f t="shared" si="45"/>
        <v>0</v>
      </c>
      <c r="AQ137" s="7">
        <f t="shared" si="46"/>
        <v>0</v>
      </c>
      <c r="AR137" s="7">
        <f t="shared" si="47"/>
        <v>5</v>
      </c>
      <c r="AS137" t="str">
        <f t="shared" si="48"/>
        <v>库存为5</v>
      </c>
      <c r="AT137" s="2" t="str">
        <f>IFERROR(时间!$B$4+AS137,"上周无销量")</f>
        <v>上周无销量</v>
      </c>
    </row>
    <row r="138" spans="1:46">
      <c r="A138" t="s">
        <v>1415</v>
      </c>
      <c r="B138" s="5">
        <f>SUMIF('库存（子SKU）'!$C:$C,$A138,'库存（子SKU）'!D:D)</f>
        <v>17</v>
      </c>
      <c r="C138" s="5">
        <f>SUMIF('库存（子SKU）'!$C:$C,$A138,'库存（子SKU）'!E:E)</f>
        <v>28</v>
      </c>
      <c r="D138" s="5">
        <f>SUMIF('库存（子SKU）'!$C:$C,$A138,'库存（子SKU）'!F:F)</f>
        <v>12</v>
      </c>
      <c r="E138" s="5">
        <f>SUMIF('库存（子SKU）'!$C:$C,$A138,'库存（子SKU）'!G:G)</f>
        <v>1</v>
      </c>
      <c r="F138" s="6">
        <v>16.2656896551724</v>
      </c>
      <c r="G138">
        <f>SUMIF('库存（子SKU）'!$C:$C,$A138,'库存（子SKU）'!I:I)</f>
        <v>66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2</v>
      </c>
      <c r="K138">
        <f t="shared" si="36"/>
        <v>68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47161</v>
      </c>
      <c r="O138">
        <f>SUMIF('库存（子SKU）'!$C:$C,$A138,'库存（子SKU）'!Q:Q)</f>
        <v>24213</v>
      </c>
      <c r="P138">
        <f>SUMIF('库存（子SKU）'!$C:$C,$A138,'库存（子SKU）'!R:R)</f>
        <v>15418</v>
      </c>
      <c r="Q138">
        <f>SUMIF('库存（子SKU）'!$C:$C,$A138,'库存（子SKU）'!S:S)</f>
        <v>1542</v>
      </c>
      <c r="R138">
        <f>SUMIF('库存（子SKU）'!$C:$C,$A138,'库存（子SKU）'!T:T)</f>
        <v>171</v>
      </c>
      <c r="S138">
        <f>SUMIF('库存（子SKU）'!$C:$C,$A138,'库存（子SKU）'!U:U)</f>
        <v>102</v>
      </c>
      <c r="T138">
        <f>SUMIF('库存（子SKU）'!$C:$C,$A138,'库存（子SKU）'!V:V)</f>
        <v>72</v>
      </c>
      <c r="U138">
        <f>SUMIF('库存（子SKU）'!$C:$C,$A138,'库存（子SKU）'!W:W)</f>
        <v>16</v>
      </c>
      <c r="V138" s="22">
        <f t="shared" si="49"/>
        <v>0.00362587731388223</v>
      </c>
      <c r="W138" s="22">
        <f t="shared" si="50"/>
        <v>0.00421261305910048</v>
      </c>
      <c r="X138" s="22">
        <f t="shared" si="51"/>
        <v>0.00466986638993384</v>
      </c>
      <c r="Y138" s="22">
        <f t="shared" si="52"/>
        <v>0.0103761348897536</v>
      </c>
      <c r="Z138">
        <f>SUMIF('库存（子SKU）'!$C:$C,$A138,'库存（子SKU）'!AB:AB)</f>
        <v>78.6</v>
      </c>
      <c r="AA138">
        <f>SUMIF('库存（子SKU）'!$C:$C,$A138,'库存（子SKU）'!AC:AC)</f>
        <v>37.77</v>
      </c>
      <c r="AB138">
        <f>SUMIF('库存（子SKU）'!$C:$C,$A138,'库存（子SKU）'!AD:AD)</f>
        <v>22.7</v>
      </c>
      <c r="AC138">
        <f>SUMIF('库存（子SKU）'!$C:$C,$A138,'库存（子SKU）'!AE:AE)</f>
        <v>7.03</v>
      </c>
      <c r="AD138" s="22">
        <f t="shared" si="37"/>
        <v>0.284250438178897</v>
      </c>
      <c r="AE138" s="22">
        <f t="shared" si="38"/>
        <v>0.082930917780029</v>
      </c>
      <c r="AF138" s="22">
        <f t="shared" si="39"/>
        <v>0.116297968716323</v>
      </c>
      <c r="AG138" s="22">
        <f t="shared" si="40"/>
        <v>0.432198089907888</v>
      </c>
      <c r="AH138">
        <f>SUMIF('库存（子SKU）'!$C:$C,$A138,'库存（子SKU）'!AJ:AJ)</f>
        <v>135</v>
      </c>
      <c r="AI138">
        <f>SUMIF('库存（子SKU）'!$C:$C,$A138,'库存（子SKU）'!AK:AK)</f>
        <v>137</v>
      </c>
      <c r="AJ138">
        <f>SUMIF('库存（子SKU）'!$C:$C,$A138,'库存（子SKU）'!AL:AL)</f>
        <v>103</v>
      </c>
      <c r="AK138">
        <f>SUMIF('库存（子SKU）'!$C:$C,$A138,'库存（子SKU）'!AM:AM)</f>
        <v>40</v>
      </c>
      <c r="AL138" s="22">
        <f t="shared" si="41"/>
        <v>0.125925925925926</v>
      </c>
      <c r="AM138" s="22">
        <f t="shared" si="42"/>
        <v>0.204379562043796</v>
      </c>
      <c r="AN138" s="22">
        <f t="shared" si="43"/>
        <v>0.116504854368932</v>
      </c>
      <c r="AO138" s="22">
        <f t="shared" si="44"/>
        <v>0.025</v>
      </c>
      <c r="AP138" s="7">
        <f t="shared" si="45"/>
        <v>2.42857142857143</v>
      </c>
      <c r="AQ138" s="7">
        <f t="shared" si="46"/>
        <v>145.714285714286</v>
      </c>
      <c r="AR138" s="7">
        <f t="shared" si="47"/>
        <v>-77.7142857142857</v>
      </c>
      <c r="AS138">
        <f t="shared" si="48"/>
        <v>28</v>
      </c>
      <c r="AT138" s="2">
        <f>IFERROR(时间!$B$4+AS138,"上周无销量")</f>
        <v>43346</v>
      </c>
    </row>
    <row r="139" spans="1:46">
      <c r="A139" t="s">
        <v>1427</v>
      </c>
      <c r="B139" s="5">
        <f>SUMIF('库存（子SKU）'!$C:$C,$A139,'库存（子SKU）'!D:D)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6" t="s">
        <v>53</v>
      </c>
      <c r="G139">
        <f>SUMIF('库存（子SKU）'!$C:$C,$A139,'库存（子SKU）'!I:I)</f>
        <v>112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112</v>
      </c>
      <c r="L139">
        <f>SUMIF('库存（子SKU）'!$C:$C,$A139,'库存（子SKU）'!N:N)</f>
        <v>0</v>
      </c>
      <c r="M139">
        <f>SUMIF('库存（子SKU）'!$C:$C,$A139,'库存（子SKU）'!O:O)</f>
        <v>112</v>
      </c>
      <c r="N139">
        <f>SUMIF('库存（子SKU）'!$C:$C,$A139,'库存（子SKU）'!P:P)</f>
        <v>1479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2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>
        <f t="shared" si="49"/>
        <v>0.00135226504394861</v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0.57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 t="str">
        <f t="shared" si="37"/>
        <v>无销量广告费为0.57</v>
      </c>
      <c r="AE139" s="22" t="str">
        <f t="shared" si="38"/>
        <v/>
      </c>
      <c r="AF139" s="22" t="str">
        <f t="shared" si="39"/>
        <v/>
      </c>
      <c r="AG139" s="22" t="str">
        <f t="shared" si="40"/>
        <v/>
      </c>
      <c r="AH139">
        <f>SUMIF('库存（子SKU）'!$C:$C,$A139,'库存（子SKU）'!AJ:AJ)</f>
        <v>35</v>
      </c>
      <c r="AI139">
        <f>SUMIF('库存（子SKU）'!$C:$C,$A139,'库存（子SKU）'!AK:AK)</f>
        <v>73</v>
      </c>
      <c r="AJ139">
        <f>SUMIF('库存（子SKU）'!$C:$C,$A139,'库存（子SKU）'!AL:AL)</f>
        <v>50</v>
      </c>
      <c r="AK139">
        <f>SUMIF('库存（子SKU）'!$C:$C,$A139,'库存（子SKU）'!AM:AM)</f>
        <v>83</v>
      </c>
      <c r="AL139" s="22">
        <f t="shared" si="41"/>
        <v>0</v>
      </c>
      <c r="AM139" s="22">
        <f t="shared" si="42"/>
        <v>0</v>
      </c>
      <c r="AN139" s="22">
        <f t="shared" si="43"/>
        <v>0</v>
      </c>
      <c r="AO139" s="22">
        <f t="shared" si="44"/>
        <v>0</v>
      </c>
      <c r="AP139" s="7">
        <f t="shared" si="45"/>
        <v>0</v>
      </c>
      <c r="AQ139" s="7">
        <f t="shared" si="46"/>
        <v>0</v>
      </c>
      <c r="AR139" s="7">
        <f t="shared" si="47"/>
        <v>112</v>
      </c>
      <c r="AS139" t="str">
        <f t="shared" si="48"/>
        <v>库存为112</v>
      </c>
      <c r="AT139" s="2" t="str">
        <f>IFERROR(时间!$B$4+AS139,"上周无销量")</f>
        <v>上周无销量</v>
      </c>
    </row>
    <row r="140" spans="1:46">
      <c r="A140" t="s">
        <v>1497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">
        <v>53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2" t="str">
        <f t="shared" si="41"/>
        <v/>
      </c>
      <c r="AM140" s="22" t="str">
        <f t="shared" si="42"/>
        <v/>
      </c>
      <c r="AN140" s="22" t="str">
        <f t="shared" si="43"/>
        <v/>
      </c>
      <c r="AO140" s="22" t="str">
        <f t="shared" si="44"/>
        <v/>
      </c>
      <c r="AP140" s="7">
        <f t="shared" si="45"/>
        <v>0</v>
      </c>
      <c r="AQ140" s="7">
        <f t="shared" si="46"/>
        <v>0</v>
      </c>
      <c r="AR140" s="7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1506</v>
      </c>
      <c r="B141" s="5">
        <f>SUMIF('库存（子SKU）'!$C:$C,$A141,'库存（子SKU）'!D:D)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6" t="s">
        <v>53</v>
      </c>
      <c r="G141">
        <f>SUMIF('库存（子SKU）'!$C:$C,$A141,'库存（子SKU）'!I:I)</f>
        <v>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</v>
      </c>
      <c r="L141">
        <f>SUMIF('库存（子SKU）'!$C:$C,$A141,'库存（子SKU）'!N:N)</f>
        <v>0</v>
      </c>
      <c r="M141">
        <f>SUMIF('库存（子SKU）'!$C:$C,$A141,'库存（子SKU）'!O:O)</f>
        <v>2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 t="str">
        <f t="shared" si="37"/>
        <v/>
      </c>
      <c r="AE141" s="22" t="str">
        <f t="shared" si="38"/>
        <v/>
      </c>
      <c r="AF141" s="22" t="str">
        <f t="shared" si="39"/>
        <v/>
      </c>
      <c r="AG141" s="22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2</v>
      </c>
      <c r="AL141" s="22" t="str">
        <f t="shared" si="41"/>
        <v/>
      </c>
      <c r="AM141" s="22" t="str">
        <f t="shared" si="42"/>
        <v/>
      </c>
      <c r="AN141" s="22" t="str">
        <f t="shared" si="43"/>
        <v/>
      </c>
      <c r="AO141" s="22">
        <f t="shared" si="44"/>
        <v>0</v>
      </c>
      <c r="AP141" s="7">
        <f t="shared" si="45"/>
        <v>0</v>
      </c>
      <c r="AQ141" s="7">
        <f t="shared" si="46"/>
        <v>0</v>
      </c>
      <c r="AR141" s="7">
        <f t="shared" si="47"/>
        <v>2</v>
      </c>
      <c r="AS141" t="str">
        <f t="shared" si="48"/>
        <v>库存为2</v>
      </c>
      <c r="AT141" s="2" t="str">
        <f>IFERROR(时间!$B$4+AS141,"上周无销量")</f>
        <v>上周无销量</v>
      </c>
    </row>
    <row r="142" spans="1:46">
      <c r="A142" t="s">
        <v>1511</v>
      </c>
      <c r="B142" s="5">
        <f>SUMIF('库存（子SKU）'!$C:$C,$A142,'库存（子SKU）'!D:D)</f>
        <v>1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6">
        <v>16.9</v>
      </c>
      <c r="G142">
        <f>SUMIF('库存（子SKU）'!$C:$C,$A142,'库存（子SKU）'!I:I)</f>
        <v>5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5</v>
      </c>
      <c r="L142">
        <f>SUMIF('库存（子SKU）'!$C:$C,$A142,'库存（子SKU）'!N:N)</f>
        <v>0</v>
      </c>
      <c r="M142">
        <f>SUMIF('库存（子SKU）'!$C:$C,$A142,'库存（子SKU）'!O:O)</f>
        <v>6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>
        <f t="shared" si="37"/>
        <v>0</v>
      </c>
      <c r="AE142" s="22" t="str">
        <f t="shared" si="38"/>
        <v/>
      </c>
      <c r="AF142" s="22" t="str">
        <f t="shared" si="39"/>
        <v/>
      </c>
      <c r="AG142" s="22" t="str">
        <f t="shared" si="40"/>
        <v/>
      </c>
      <c r="AH142">
        <f>SUMIF('库存（子SKU）'!$C:$C,$A142,'库存（子SKU）'!AJ:AJ)</f>
        <v>28</v>
      </c>
      <c r="AI142">
        <f>SUMIF('库存（子SKU）'!$C:$C,$A142,'库存（子SKU）'!AK:AK)</f>
        <v>39</v>
      </c>
      <c r="AJ142">
        <f>SUMIF('库存（子SKU）'!$C:$C,$A142,'库存（子SKU）'!AL:AL)</f>
        <v>31</v>
      </c>
      <c r="AK142">
        <f>SUMIF('库存（子SKU）'!$C:$C,$A142,'库存（子SKU）'!AM:AM)</f>
        <v>26</v>
      </c>
      <c r="AL142" s="22">
        <f t="shared" si="41"/>
        <v>0.0357142857142857</v>
      </c>
      <c r="AM142" s="22">
        <f t="shared" si="42"/>
        <v>0</v>
      </c>
      <c r="AN142" s="22">
        <f t="shared" si="43"/>
        <v>0</v>
      </c>
      <c r="AO142" s="22">
        <f t="shared" si="44"/>
        <v>0</v>
      </c>
      <c r="AP142" s="7">
        <f t="shared" si="45"/>
        <v>0.142857142857143</v>
      </c>
      <c r="AQ142" s="7">
        <f t="shared" si="46"/>
        <v>8.57142857142857</v>
      </c>
      <c r="AR142" s="7">
        <f t="shared" si="47"/>
        <v>-3.57142857142857</v>
      </c>
      <c r="AS142">
        <f t="shared" si="48"/>
        <v>35</v>
      </c>
      <c r="AT142" s="2">
        <f>IFERROR(时间!$B$4+AS142,"上周无销量")</f>
        <v>43353</v>
      </c>
    </row>
    <row r="143" spans="1:46">
      <c r="A143" t="s">
        <v>1520</v>
      </c>
      <c r="B143" s="5">
        <f>SUMIF('库存（子SKU）'!$C:$C,$A143,'库存（子SKU）'!D:D)</f>
        <v>5</v>
      </c>
      <c r="C143" s="5">
        <f>SUMIF('库存（子SKU）'!$C:$C,$A143,'库存（子SKU）'!E:E)</f>
        <v>6</v>
      </c>
      <c r="D143" s="5">
        <f>SUMIF('库存（子SKU）'!$C:$C,$A143,'库存（子SKU）'!F:F)</f>
        <v>2</v>
      </c>
      <c r="E143" s="5">
        <f>SUMIF('库存（子SKU）'!$C:$C,$A143,'库存（子SKU）'!G:G)</f>
        <v>4</v>
      </c>
      <c r="F143" s="6">
        <v>16.9352941176471</v>
      </c>
      <c r="G143">
        <f>SUMIF('库存（子SKU）'!$C:$C,$A143,'库存（子SKU）'!I:I)</f>
        <v>70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4</v>
      </c>
      <c r="K143">
        <f t="shared" si="36"/>
        <v>74</v>
      </c>
      <c r="L143">
        <f>SUMIF('库存（子SKU）'!$C:$C,$A143,'库存（子SKU）'!N:N)</f>
        <v>1</v>
      </c>
      <c r="M143">
        <f>SUMIF('库存（子SKU）'!$C:$C,$A143,'库存（子SKU）'!O:O)</f>
        <v>41</v>
      </c>
      <c r="N143">
        <f>SUMIF('库存（子SKU）'!$C:$C,$A143,'库存（子SKU）'!P:P)</f>
        <v>96</v>
      </c>
      <c r="O143">
        <f>SUMIF('库存（子SKU）'!$C:$C,$A143,'库存（子SKU）'!Q:Q)</f>
        <v>112</v>
      </c>
      <c r="P143">
        <f>SUMIF('库存（子SKU）'!$C:$C,$A143,'库存（子SKU）'!R:R)</f>
        <v>115</v>
      </c>
      <c r="Q143">
        <f>SUMIF('库存（子SKU）'!$C:$C,$A143,'库存（子SKU）'!S:S)</f>
        <v>113</v>
      </c>
      <c r="R143">
        <f>SUMIF('库存（子SKU）'!$C:$C,$A143,'库存（子SKU）'!T:T)</f>
        <v>0</v>
      </c>
      <c r="S143">
        <f>SUMIF('库存（子SKU）'!$C:$C,$A143,'库存（子SKU）'!U:U)</f>
        <v>1</v>
      </c>
      <c r="T143">
        <f>SUMIF('库存（子SKU）'!$C:$C,$A143,'库存（子SKU）'!V:V)</f>
        <v>1</v>
      </c>
      <c r="U143">
        <f>SUMIF('库存（子SKU）'!$C:$C,$A143,'库存（子SKU）'!W:W)</f>
        <v>0</v>
      </c>
      <c r="V143" s="22">
        <f t="shared" si="49"/>
        <v>0</v>
      </c>
      <c r="W143" s="22">
        <f t="shared" si="50"/>
        <v>0.00892857142857143</v>
      </c>
      <c r="X143" s="22">
        <f t="shared" si="51"/>
        <v>0.00869565217391304</v>
      </c>
      <c r="Y143" s="22">
        <f t="shared" si="52"/>
        <v>0</v>
      </c>
      <c r="Z143">
        <f>SUMIF('库存（子SKU）'!$C:$C,$A143,'库存（子SKU）'!AB:AB)</f>
        <v>0</v>
      </c>
      <c r="AA143">
        <f>SUMIF('库存（子SKU）'!$C:$C,$A143,'库存（子SKU）'!AC:AC)</f>
        <v>0.21</v>
      </c>
      <c r="AB143">
        <f>SUMIF('库存（子SKU）'!$C:$C,$A143,'库存（子SKU）'!AD:AD)</f>
        <v>0.24</v>
      </c>
      <c r="AC143">
        <f>SUMIF('库存（子SKU）'!$C:$C,$A143,'库存（子SKU）'!AE:AE)</f>
        <v>0</v>
      </c>
      <c r="AD143" s="22">
        <f t="shared" si="37"/>
        <v>0</v>
      </c>
      <c r="AE143" s="22">
        <f t="shared" si="38"/>
        <v>0.00206668982285515</v>
      </c>
      <c r="AF143" s="22">
        <f t="shared" si="39"/>
        <v>0.00708579367836052</v>
      </c>
      <c r="AG143" s="22">
        <f t="shared" si="40"/>
        <v>0</v>
      </c>
      <c r="AH143">
        <f>SUMIF('库存（子SKU）'!$C:$C,$A143,'库存（子SKU）'!AJ:AJ)</f>
        <v>130</v>
      </c>
      <c r="AI143">
        <f>SUMIF('库存（子SKU）'!$C:$C,$A143,'库存（子SKU）'!AK:AK)</f>
        <v>159</v>
      </c>
      <c r="AJ143">
        <f>SUMIF('库存（子SKU）'!$C:$C,$A143,'库存（子SKU）'!AL:AL)</f>
        <v>169</v>
      </c>
      <c r="AK143">
        <f>SUMIF('库存（子SKU）'!$C:$C,$A143,'库存（子SKU）'!AM:AM)</f>
        <v>37</v>
      </c>
      <c r="AL143" s="22">
        <f t="shared" si="41"/>
        <v>0.0384615384615385</v>
      </c>
      <c r="AM143" s="22">
        <f t="shared" si="42"/>
        <v>0.0377358490566038</v>
      </c>
      <c r="AN143" s="22">
        <f t="shared" si="43"/>
        <v>0.0118343195266272</v>
      </c>
      <c r="AO143" s="22">
        <f t="shared" si="44"/>
        <v>0.108108108108108</v>
      </c>
      <c r="AP143" s="7">
        <f t="shared" si="45"/>
        <v>0.714285714285714</v>
      </c>
      <c r="AQ143" s="7">
        <f t="shared" si="46"/>
        <v>42.8571428571429</v>
      </c>
      <c r="AR143" s="7">
        <f t="shared" si="47"/>
        <v>31.1428571428571</v>
      </c>
      <c r="AS143">
        <f t="shared" si="48"/>
        <v>103</v>
      </c>
      <c r="AT143" s="2">
        <f>IFERROR(时间!$B$4+AS143,"上周无销量")</f>
        <v>43421</v>
      </c>
    </row>
    <row r="144" spans="1:46">
      <c r="A144" t="s">
        <v>1540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1</v>
      </c>
      <c r="F144" s="6">
        <v>19.9</v>
      </c>
      <c r="G144">
        <f>SUMIF('库存（子SKU）'!$C:$C,$A144,'库存（子SKU）'!I:I)</f>
        <v>23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23</v>
      </c>
      <c r="L144">
        <f>SUMIF('库存（子SKU）'!$C:$C,$A144,'库存（子SKU）'!N:N)</f>
        <v>0</v>
      </c>
      <c r="M144">
        <f>SUMIF('库存（子SKU）'!$C:$C,$A144,'库存（子SKU）'!O:O)</f>
        <v>23</v>
      </c>
      <c r="N144">
        <f>SUMIF('库存（子SKU）'!$C:$C,$A144,'库存（子SKU）'!P:P)</f>
        <v>203</v>
      </c>
      <c r="O144">
        <f>SUMIF('库存（子SKU）'!$C:$C,$A144,'库存（子SKU）'!Q:Q)</f>
        <v>167</v>
      </c>
      <c r="P144">
        <f>SUMIF('库存（子SKU）'!$C:$C,$A144,'库存（子SKU）'!R:R)</f>
        <v>30</v>
      </c>
      <c r="Q144">
        <f>SUMIF('库存（子SKU）'!$C:$C,$A144,'库存（子SKU）'!S:S)</f>
        <v>0</v>
      </c>
      <c r="R144">
        <f>SUMIF('库存（子SKU）'!$C:$C,$A144,'库存（子SKU）'!T:T)</f>
        <v>2</v>
      </c>
      <c r="S144">
        <f>SUMIF('库存（子SKU）'!$C:$C,$A144,'库存（子SKU）'!U:U)</f>
        <v>1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>
        <f t="shared" si="49"/>
        <v>0.00985221674876847</v>
      </c>
      <c r="W144" s="22">
        <f t="shared" si="50"/>
        <v>0.00598802395209581</v>
      </c>
      <c r="X144" s="22">
        <f t="shared" si="51"/>
        <v>0</v>
      </c>
      <c r="Y144" s="22" t="str">
        <f t="shared" si="52"/>
        <v/>
      </c>
      <c r="Z144">
        <f>SUMIF('库存（子SKU）'!$C:$C,$A144,'库存（子SKU）'!AB:AB)</f>
        <v>0.96</v>
      </c>
      <c r="AA144">
        <f>SUMIF('库存（子SKU）'!$C:$C,$A144,'库存（子SKU）'!AC:AC)</f>
        <v>0.02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 t="str">
        <f t="shared" si="37"/>
        <v>无销量广告费为0.96</v>
      </c>
      <c r="AE144" s="22" t="str">
        <f t="shared" si="38"/>
        <v>无销量广告费为0.02</v>
      </c>
      <c r="AF144" s="22" t="str">
        <f t="shared" si="39"/>
        <v/>
      </c>
      <c r="AG144" s="22">
        <f t="shared" si="40"/>
        <v>0</v>
      </c>
      <c r="AH144">
        <f>SUMIF('库存（子SKU）'!$C:$C,$A144,'库存（子SKU）'!AJ:AJ)</f>
        <v>10</v>
      </c>
      <c r="AI144">
        <f>SUMIF('库存（子SKU）'!$C:$C,$A144,'库存（子SKU）'!AK:AK)</f>
        <v>7</v>
      </c>
      <c r="AJ144">
        <f>SUMIF('库存（子SKU）'!$C:$C,$A144,'库存（子SKU）'!AL:AL)</f>
        <v>9</v>
      </c>
      <c r="AK144">
        <f>SUMIF('库存（子SKU）'!$C:$C,$A144,'库存（子SKU）'!AM:AM)</f>
        <v>1</v>
      </c>
      <c r="AL144" s="22">
        <f t="shared" si="41"/>
        <v>0</v>
      </c>
      <c r="AM144" s="22">
        <f t="shared" si="42"/>
        <v>0</v>
      </c>
      <c r="AN144" s="22">
        <f t="shared" si="43"/>
        <v>0</v>
      </c>
      <c r="AO144" s="22">
        <f t="shared" si="44"/>
        <v>1</v>
      </c>
      <c r="AP144" s="7">
        <f t="shared" si="45"/>
        <v>0</v>
      </c>
      <c r="AQ144" s="7">
        <f t="shared" si="46"/>
        <v>0</v>
      </c>
      <c r="AR144" s="7">
        <f t="shared" si="47"/>
        <v>23</v>
      </c>
      <c r="AS144" t="str">
        <f t="shared" si="48"/>
        <v>库存为23</v>
      </c>
      <c r="AT144" s="2" t="str">
        <f>IFERROR(时间!$B$4+AS144,"上周无销量")</f>
        <v>上周无销量</v>
      </c>
    </row>
    <row r="145" spans="1:46">
      <c r="A145" t="s">
        <v>1551</v>
      </c>
      <c r="B145" s="5">
        <f>SUMIF('库存（子SKU）'!$C:$C,$A145,'库存（子SKU）'!D:D)</f>
        <v>13</v>
      </c>
      <c r="C145" s="5">
        <f>SUMIF('库存（子SKU）'!$C:$C,$A145,'库存（子SKU）'!E:E)</f>
        <v>16</v>
      </c>
      <c r="D145" s="5">
        <f>SUMIF('库存（子SKU）'!$C:$C,$A145,'库存（子SKU）'!F:F)</f>
        <v>10</v>
      </c>
      <c r="E145" s="5">
        <f>SUMIF('库存（子SKU）'!$C:$C,$A145,'库存（子SKU）'!G:G)</f>
        <v>11</v>
      </c>
      <c r="F145" s="6">
        <v>16.0998</v>
      </c>
      <c r="G145">
        <f>SUMIF('库存（子SKU）'!$C:$C,$A145,'库存（子SKU）'!I:I)</f>
        <v>149</v>
      </c>
      <c r="H145">
        <f>SUMIF('库存（子SKU）'!$C:$C,$A145,'库存（子SKU）'!J:J)</f>
        <v>24</v>
      </c>
      <c r="I145">
        <f>SUMIF('库存（子SKU）'!$C:$C,$A145,'库存（子SKU）'!K:K)</f>
        <v>7</v>
      </c>
      <c r="J145">
        <f>SUMIF('库存（子SKU）'!$C:$C,$A145,'库存（子SKU）'!L:L)</f>
        <v>6</v>
      </c>
      <c r="K145">
        <f t="shared" si="36"/>
        <v>186</v>
      </c>
      <c r="L145">
        <f>SUMIF('库存（子SKU）'!$C:$C,$A145,'库存（子SKU）'!N:N)</f>
        <v>0</v>
      </c>
      <c r="M145">
        <f>SUMIF('库存（子SKU）'!$C:$C,$A145,'库存（子SKU）'!O:O)</f>
        <v>72</v>
      </c>
      <c r="N145">
        <f>SUMIF('库存（子SKU）'!$C:$C,$A145,'库存（子SKU）'!P:P)</f>
        <v>88</v>
      </c>
      <c r="O145">
        <f>SUMIF('库存（子SKU）'!$C:$C,$A145,'库存（子SKU）'!Q:Q)</f>
        <v>70</v>
      </c>
      <c r="P145">
        <f>SUMIF('库存（子SKU）'!$C:$C,$A145,'库存（子SKU）'!R:R)</f>
        <v>107</v>
      </c>
      <c r="Q145">
        <f>SUMIF('库存（子SKU）'!$C:$C,$A145,'库存（子SKU）'!S:S)</f>
        <v>122</v>
      </c>
      <c r="R145">
        <f>SUMIF('库存（子SKU）'!$C:$C,$A145,'库存（子SKU）'!T:T)</f>
        <v>0</v>
      </c>
      <c r="S145">
        <f>SUMIF('库存（子SKU）'!$C:$C,$A145,'库存（子SKU）'!U:U)</f>
        <v>1</v>
      </c>
      <c r="T145">
        <f>SUMIF('库存（子SKU）'!$C:$C,$A145,'库存（子SKU）'!V:V)</f>
        <v>1</v>
      </c>
      <c r="U145">
        <f>SUMIF('库存（子SKU）'!$C:$C,$A145,'库存（子SKU）'!W:W)</f>
        <v>1</v>
      </c>
      <c r="V145" s="22">
        <f t="shared" si="49"/>
        <v>0</v>
      </c>
      <c r="W145" s="22">
        <f t="shared" si="50"/>
        <v>0.0142857142857143</v>
      </c>
      <c r="X145" s="22">
        <f t="shared" si="51"/>
        <v>0.00934579439252336</v>
      </c>
      <c r="Y145" s="22">
        <f t="shared" si="52"/>
        <v>0.00819672131147541</v>
      </c>
      <c r="Z145">
        <f>SUMIF('库存（子SKU）'!$C:$C,$A145,'库存（子SKU）'!AB:AB)</f>
        <v>0</v>
      </c>
      <c r="AA145">
        <f>SUMIF('库存（子SKU）'!$C:$C,$A145,'库存（子SKU）'!AC:AC)</f>
        <v>0.3</v>
      </c>
      <c r="AB145">
        <f>SUMIF('库存（子SKU）'!$C:$C,$A145,'库存（子SKU）'!AD:AD)</f>
        <v>0.1</v>
      </c>
      <c r="AC145">
        <f>SUMIF('库存（子SKU）'!$C:$C,$A145,'库存（子SKU）'!AE:AE)</f>
        <v>0.3</v>
      </c>
      <c r="AD145" s="22">
        <f t="shared" si="37"/>
        <v>0</v>
      </c>
      <c r="AE145" s="22">
        <f t="shared" si="38"/>
        <v>0.00116461074050609</v>
      </c>
      <c r="AF145" s="22">
        <f t="shared" si="39"/>
        <v>0.000621125728269916</v>
      </c>
      <c r="AG145" s="22">
        <f t="shared" si="40"/>
        <v>0.00169397925891795</v>
      </c>
      <c r="AH145">
        <f>SUMIF('库存（子SKU）'!$C:$C,$A145,'库存（子SKU）'!AJ:AJ)</f>
        <v>313</v>
      </c>
      <c r="AI145">
        <f>SUMIF('库存（子SKU）'!$C:$C,$A145,'库存（子SKU）'!AK:AK)</f>
        <v>338</v>
      </c>
      <c r="AJ145">
        <f>SUMIF('库存（子SKU）'!$C:$C,$A145,'库存（子SKU）'!AL:AL)</f>
        <v>256</v>
      </c>
      <c r="AK145">
        <f>SUMIF('库存（子SKU）'!$C:$C,$A145,'库存（子SKU）'!AM:AM)</f>
        <v>118</v>
      </c>
      <c r="AL145" s="22">
        <f t="shared" si="41"/>
        <v>0.0415335463258786</v>
      </c>
      <c r="AM145" s="22">
        <f t="shared" si="42"/>
        <v>0.0473372781065089</v>
      </c>
      <c r="AN145" s="22">
        <f t="shared" si="43"/>
        <v>0.0390625</v>
      </c>
      <c r="AO145" s="22">
        <f t="shared" si="44"/>
        <v>0.0932203389830508</v>
      </c>
      <c r="AP145" s="7">
        <f t="shared" si="45"/>
        <v>1.85714285714286</v>
      </c>
      <c r="AQ145" s="7">
        <f t="shared" si="46"/>
        <v>111.428571428571</v>
      </c>
      <c r="AR145" s="7">
        <f t="shared" si="47"/>
        <v>74.5714285714286</v>
      </c>
      <c r="AS145">
        <f t="shared" si="48"/>
        <v>100</v>
      </c>
      <c r="AT145" s="2">
        <f>IFERROR(时间!$B$4+AS145,"上周无销量")</f>
        <v>43418</v>
      </c>
    </row>
    <row r="146" spans="1:46">
      <c r="A146" t="s">
        <v>1584</v>
      </c>
      <c r="B146" s="5">
        <f>SUMIF('库存（子SKU）'!$C:$C,$A146,'库存（子SKU）'!D:D)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 t="s">
        <v>53</v>
      </c>
      <c r="G146">
        <f>SUMIF('库存（子SKU）'!$C:$C,$A146,'库存（子SKU）'!I:I)</f>
        <v>23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23</v>
      </c>
      <c r="L146">
        <f>SUMIF('库存（子SKU）'!$C:$C,$A146,'库存（子SKU）'!N:N)</f>
        <v>0</v>
      </c>
      <c r="M146">
        <f>SUMIF('库存（子SKU）'!$C:$C,$A146,'库存（子SKU）'!O:O)</f>
        <v>22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 t="str">
        <f t="shared" si="37"/>
        <v/>
      </c>
      <c r="AE146" s="22" t="str">
        <f t="shared" si="38"/>
        <v/>
      </c>
      <c r="AF146" s="22" t="str">
        <f t="shared" si="39"/>
        <v/>
      </c>
      <c r="AG146" s="22" t="str">
        <f t="shared" si="40"/>
        <v/>
      </c>
      <c r="AH146">
        <f>SUMIF('库存（子SKU）'!$C:$C,$A146,'库存（子SKU）'!AJ:AJ)</f>
        <v>8</v>
      </c>
      <c r="AI146">
        <f>SUMIF('库存（子SKU）'!$C:$C,$A146,'库存（子SKU）'!AK:AK)</f>
        <v>13</v>
      </c>
      <c r="AJ146">
        <f>SUMIF('库存（子SKU）'!$C:$C,$A146,'库存（子SKU）'!AL:AL)</f>
        <v>11</v>
      </c>
      <c r="AK146">
        <f>SUMIF('库存（子SKU）'!$C:$C,$A146,'库存（子SKU）'!AM:AM)</f>
        <v>10</v>
      </c>
      <c r="AL146" s="22">
        <f t="shared" si="41"/>
        <v>0</v>
      </c>
      <c r="AM146" s="22">
        <f t="shared" si="42"/>
        <v>0</v>
      </c>
      <c r="AN146" s="22">
        <f t="shared" si="43"/>
        <v>0</v>
      </c>
      <c r="AO146" s="22">
        <f t="shared" si="44"/>
        <v>0</v>
      </c>
      <c r="AP146" s="7">
        <f t="shared" si="45"/>
        <v>0</v>
      </c>
      <c r="AQ146" s="7">
        <f t="shared" si="46"/>
        <v>0</v>
      </c>
      <c r="AR146" s="7">
        <f t="shared" si="47"/>
        <v>23</v>
      </c>
      <c r="AS146" t="str">
        <f t="shared" si="48"/>
        <v>库存为23</v>
      </c>
      <c r="AT146" s="2" t="str">
        <f>IFERROR(时间!$B$4+AS146,"上周无销量")</f>
        <v>上周无销量</v>
      </c>
    </row>
    <row r="147" spans="1:46">
      <c r="A147" t="s">
        <v>1591</v>
      </c>
      <c r="B147" s="5">
        <f>SUMIF('库存（子SKU）'!$C:$C,$A147,'库存（子SKU）'!D:D)</f>
        <v>22</v>
      </c>
      <c r="C147" s="5">
        <f>SUMIF('库存（子SKU）'!$C:$C,$A147,'库存（子SKU）'!E:E)</f>
        <v>25</v>
      </c>
      <c r="D147" s="5">
        <f>SUMIF('库存（子SKU）'!$C:$C,$A147,'库存（子SKU）'!F:F)</f>
        <v>29</v>
      </c>
      <c r="E147" s="5">
        <f>SUMIF('库存（子SKU）'!$C:$C,$A147,'库存（子SKU）'!G:G)</f>
        <v>21</v>
      </c>
      <c r="F147" s="6">
        <v>20.0365979381443</v>
      </c>
      <c r="G147">
        <f>SUMIF('库存（子SKU）'!$C:$C,$A147,'库存（子SKU）'!I:I)</f>
        <v>596</v>
      </c>
      <c r="H147">
        <f>SUMIF('库存（子SKU）'!$C:$C,$A147,'库存（子SKU）'!J:J)</f>
        <v>12</v>
      </c>
      <c r="I147">
        <f>SUMIF('库存（子SKU）'!$C:$C,$A147,'库存（子SKU）'!K:K)</f>
        <v>0</v>
      </c>
      <c r="J147">
        <f>SUMIF('库存（子SKU）'!$C:$C,$A147,'库存（子SKU）'!L:L)</f>
        <v>13</v>
      </c>
      <c r="K147">
        <f t="shared" si="36"/>
        <v>621</v>
      </c>
      <c r="L147">
        <f>SUMIF('库存（子SKU）'!$C:$C,$A147,'库存（子SKU）'!N:N)</f>
        <v>3</v>
      </c>
      <c r="M147">
        <f>SUMIF('库存（子SKU）'!$C:$C,$A147,'库存（子SKU）'!O:O)</f>
        <v>305</v>
      </c>
      <c r="N147">
        <f>SUMIF('库存（子SKU）'!$C:$C,$A147,'库存（子SKU）'!P:P)</f>
        <v>4297</v>
      </c>
      <c r="O147">
        <f>SUMIF('库存（子SKU）'!$C:$C,$A147,'库存（子SKU）'!Q:Q)</f>
        <v>3494</v>
      </c>
      <c r="P147">
        <f>SUMIF('库存（子SKU）'!$C:$C,$A147,'库存（子SKU）'!R:R)</f>
        <v>4214</v>
      </c>
      <c r="Q147">
        <f>SUMIF('库存（子SKU）'!$C:$C,$A147,'库存（子SKU）'!S:S)</f>
        <v>4174</v>
      </c>
      <c r="R147">
        <f>SUMIF('库存（子SKU）'!$C:$C,$A147,'库存（子SKU）'!T:T)</f>
        <v>54</v>
      </c>
      <c r="S147">
        <f>SUMIF('库存（子SKU）'!$C:$C,$A147,'库存（子SKU）'!U:U)</f>
        <v>37</v>
      </c>
      <c r="T147">
        <f>SUMIF('库存（子SKU）'!$C:$C,$A147,'库存（子SKU）'!V:V)</f>
        <v>46</v>
      </c>
      <c r="U147">
        <f>SUMIF('库存（子SKU）'!$C:$C,$A147,'库存（子SKU）'!W:W)</f>
        <v>54</v>
      </c>
      <c r="V147" s="22">
        <f t="shared" si="49"/>
        <v>0.0125669071445194</v>
      </c>
      <c r="W147" s="22">
        <f t="shared" si="50"/>
        <v>0.0105895821408128</v>
      </c>
      <c r="X147" s="22">
        <f t="shared" si="51"/>
        <v>0.0109159943046986</v>
      </c>
      <c r="Y147" s="22">
        <f t="shared" si="52"/>
        <v>0.0129372304743651</v>
      </c>
      <c r="Z147">
        <f>SUMIF('库存（子SKU）'!$C:$C,$A147,'库存（子SKU）'!AB:AB)</f>
        <v>14.48</v>
      </c>
      <c r="AA147">
        <f>SUMIF('库存（子SKU）'!$C:$C,$A147,'库存（子SKU）'!AC:AC)</f>
        <v>5.6</v>
      </c>
      <c r="AB147">
        <f>SUMIF('库存（子SKU）'!$C:$C,$A147,'库存（子SKU）'!AD:AD)</f>
        <v>7.12</v>
      </c>
      <c r="AC147">
        <f>SUMIF('库存（子SKU）'!$C:$C,$A147,'库存（子SKU）'!AE:AE)</f>
        <v>10.02</v>
      </c>
      <c r="AD147" s="22">
        <f t="shared" si="37"/>
        <v>0.0328489806609742</v>
      </c>
      <c r="AE147" s="22">
        <f t="shared" si="38"/>
        <v>0.0111795425895912</v>
      </c>
      <c r="AF147" s="22">
        <f t="shared" si="39"/>
        <v>0.0122534395378525</v>
      </c>
      <c r="AG147" s="22">
        <f t="shared" si="40"/>
        <v>0.0238135664854813</v>
      </c>
      <c r="AH147">
        <f>SUMIF('库存（子SKU）'!$C:$C,$A147,'库存（子SKU）'!AJ:AJ)</f>
        <v>685</v>
      </c>
      <c r="AI147">
        <f>SUMIF('库存（子SKU）'!$C:$C,$A147,'库存（子SKU）'!AK:AK)</f>
        <v>657</v>
      </c>
      <c r="AJ147">
        <f>SUMIF('库存（子SKU）'!$C:$C,$A147,'库存（子SKU）'!AL:AL)</f>
        <v>563</v>
      </c>
      <c r="AK147">
        <f>SUMIF('库存（子SKU）'!$C:$C,$A147,'库存（子SKU）'!AM:AM)</f>
        <v>599</v>
      </c>
      <c r="AL147" s="22">
        <f t="shared" si="41"/>
        <v>0.0321167883211679</v>
      </c>
      <c r="AM147" s="22">
        <f t="shared" si="42"/>
        <v>0.0380517503805175</v>
      </c>
      <c r="AN147" s="22">
        <f t="shared" si="43"/>
        <v>0.0515097690941385</v>
      </c>
      <c r="AO147" s="22">
        <f t="shared" si="44"/>
        <v>0.0350584307178631</v>
      </c>
      <c r="AP147" s="7">
        <f t="shared" si="45"/>
        <v>3.14285714285714</v>
      </c>
      <c r="AQ147" s="7">
        <f t="shared" si="46"/>
        <v>188.571428571429</v>
      </c>
      <c r="AR147" s="7">
        <f t="shared" si="47"/>
        <v>432.428571428571</v>
      </c>
      <c r="AS147">
        <f t="shared" si="48"/>
        <v>197</v>
      </c>
      <c r="AT147" s="2">
        <f>IFERROR(时间!$B$4+AS147,"上周无销量")</f>
        <v>43515</v>
      </c>
    </row>
    <row r="148" spans="1:46">
      <c r="A148" t="s">
        <v>1680</v>
      </c>
      <c r="B148" s="5">
        <f>SUMIF('库存（子SKU）'!$C:$C,$A148,'库存（子SKU）'!D:D)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 t="s">
        <v>53</v>
      </c>
      <c r="G148">
        <f>SUMIF('库存（子SKU）'!$C:$C,$A148,'库存（子SKU）'!I:I)</f>
        <v>19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19</v>
      </c>
      <c r="L148">
        <f>SUMIF('库存（子SKU）'!$C:$C,$A148,'库存（子SKU）'!N:N)</f>
        <v>0</v>
      </c>
      <c r="M148">
        <f>SUMIF('库存（子SKU）'!$C:$C,$A148,'库存（子SKU）'!O:O)</f>
        <v>19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2" t="str">
        <f t="shared" si="49"/>
        <v/>
      </c>
      <c r="W148" s="22" t="str">
        <f t="shared" si="50"/>
        <v/>
      </c>
      <c r="X148" s="22" t="str">
        <f t="shared" si="51"/>
        <v/>
      </c>
      <c r="Y148" s="22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2" t="str">
        <f t="shared" si="37"/>
        <v/>
      </c>
      <c r="AE148" s="22" t="str">
        <f t="shared" si="38"/>
        <v/>
      </c>
      <c r="AF148" s="22" t="str">
        <f t="shared" si="39"/>
        <v/>
      </c>
      <c r="AG148" s="22" t="str">
        <f t="shared" si="40"/>
        <v/>
      </c>
      <c r="AH148">
        <f>SUMIF('库存（子SKU）'!$C:$C,$A148,'库存（子SKU）'!AJ:AJ)</f>
        <v>16</v>
      </c>
      <c r="AI148">
        <f>SUMIF('库存（子SKU）'!$C:$C,$A148,'库存（子SKU）'!AK:AK)</f>
        <v>12</v>
      </c>
      <c r="AJ148">
        <f>SUMIF('库存（子SKU）'!$C:$C,$A148,'库存（子SKU）'!AL:AL)</f>
        <v>8</v>
      </c>
      <c r="AK148">
        <f>SUMIF('库存（子SKU）'!$C:$C,$A148,'库存（子SKU）'!AM:AM)</f>
        <v>11</v>
      </c>
      <c r="AL148" s="22">
        <f t="shared" si="41"/>
        <v>0</v>
      </c>
      <c r="AM148" s="22">
        <f t="shared" si="42"/>
        <v>0</v>
      </c>
      <c r="AN148" s="22">
        <f t="shared" si="43"/>
        <v>0</v>
      </c>
      <c r="AO148" s="22">
        <f t="shared" si="44"/>
        <v>0</v>
      </c>
      <c r="AP148" s="7">
        <f t="shared" si="45"/>
        <v>0</v>
      </c>
      <c r="AQ148" s="7">
        <f t="shared" si="46"/>
        <v>0</v>
      </c>
      <c r="AR148" s="7">
        <f t="shared" si="47"/>
        <v>19</v>
      </c>
      <c r="AS148" t="str">
        <f t="shared" si="48"/>
        <v>库存为19</v>
      </c>
      <c r="AT148" s="2" t="str">
        <f>IFERROR(时间!$B$4+AS148,"上周无销量")</f>
        <v>上周无销量</v>
      </c>
    </row>
    <row r="149" spans="1:46">
      <c r="A149" t="s">
        <v>1691</v>
      </c>
      <c r="B149" s="5">
        <f>SUMIF('库存（子SKU）'!$C:$C,$A149,'库存（子SKU）'!D:D)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6" t="s">
        <v>53</v>
      </c>
      <c r="G149">
        <f>SUMIF('库存（子SKU）'!$C:$C,$A149,'库存（子SKU）'!I:I)</f>
        <v>7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7</v>
      </c>
      <c r="L149">
        <f>SUMIF('库存（子SKU）'!$C:$C,$A149,'库存（子SKU）'!N:N)</f>
        <v>0</v>
      </c>
      <c r="M149">
        <f>SUMIF('库存（子SKU）'!$C:$C,$A149,'库存（子SKU）'!O:O)</f>
        <v>7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2" t="str">
        <f t="shared" si="49"/>
        <v/>
      </c>
      <c r="W149" s="22" t="str">
        <f t="shared" si="50"/>
        <v/>
      </c>
      <c r="X149" s="22" t="str">
        <f t="shared" si="51"/>
        <v/>
      </c>
      <c r="Y149" s="22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2" t="str">
        <f t="shared" si="37"/>
        <v/>
      </c>
      <c r="AE149" s="22" t="str">
        <f t="shared" si="38"/>
        <v/>
      </c>
      <c r="AF149" s="22" t="str">
        <f t="shared" si="39"/>
        <v/>
      </c>
      <c r="AG149" s="22" t="str">
        <f t="shared" si="40"/>
        <v/>
      </c>
      <c r="AH149">
        <f>SUMIF('库存（子SKU）'!$C:$C,$A149,'库存（子SKU）'!AJ:AJ)</f>
        <v>16</v>
      </c>
      <c r="AI149">
        <f>SUMIF('库存（子SKU）'!$C:$C,$A149,'库存（子SKU）'!AK:AK)</f>
        <v>11</v>
      </c>
      <c r="AJ149">
        <f>SUMIF('库存（子SKU）'!$C:$C,$A149,'库存（子SKU）'!AL:AL)</f>
        <v>2</v>
      </c>
      <c r="AK149">
        <f>SUMIF('库存（子SKU）'!$C:$C,$A149,'库存（子SKU）'!AM:AM)</f>
        <v>11</v>
      </c>
      <c r="AL149" s="22">
        <f t="shared" si="41"/>
        <v>0</v>
      </c>
      <c r="AM149" s="22">
        <f t="shared" si="42"/>
        <v>0</v>
      </c>
      <c r="AN149" s="22">
        <f t="shared" si="43"/>
        <v>0</v>
      </c>
      <c r="AO149" s="22">
        <f t="shared" si="44"/>
        <v>0</v>
      </c>
      <c r="AP149" s="7">
        <f t="shared" si="45"/>
        <v>0</v>
      </c>
      <c r="AQ149" s="7">
        <f t="shared" si="46"/>
        <v>0</v>
      </c>
      <c r="AR149" s="7">
        <f t="shared" si="47"/>
        <v>7</v>
      </c>
      <c r="AS149" t="str">
        <f t="shared" si="48"/>
        <v>库存为7</v>
      </c>
      <c r="AT149" s="2" t="str">
        <f>IFERROR(时间!$B$4+AS149,"上周无销量")</f>
        <v>上周无销量</v>
      </c>
    </row>
    <row r="150" spans="1:46">
      <c r="A150" t="s">
        <v>1698</v>
      </c>
      <c r="B150" s="5">
        <f>SUMIF('库存（子SKU）'!$C:$C,$A150,'库存（子SKU）'!D:D)</f>
        <v>1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>
        <v>10.9</v>
      </c>
      <c r="G150">
        <f>SUMIF('库存（子SKU）'!$C:$C,$A150,'库存（子SKU）'!I:I)</f>
        <v>14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14</v>
      </c>
      <c r="L150">
        <f>SUMIF('库存（子SKU）'!$C:$C,$A150,'库存（子SKU）'!N:N)</f>
        <v>0</v>
      </c>
      <c r="M150">
        <f>SUMIF('库存（子SKU）'!$C:$C,$A150,'库存（子SKU）'!O:O)</f>
        <v>14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2" t="str">
        <f t="shared" si="49"/>
        <v/>
      </c>
      <c r="W150" s="22" t="str">
        <f t="shared" si="50"/>
        <v/>
      </c>
      <c r="X150" s="22" t="str">
        <f t="shared" si="51"/>
        <v/>
      </c>
      <c r="Y150" s="22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2">
        <f t="shared" si="37"/>
        <v>0</v>
      </c>
      <c r="AE150" s="22" t="str">
        <f t="shared" si="38"/>
        <v/>
      </c>
      <c r="AF150" s="22" t="str">
        <f t="shared" si="39"/>
        <v/>
      </c>
      <c r="AG150" s="22" t="str">
        <f t="shared" si="40"/>
        <v/>
      </c>
      <c r="AH150">
        <f>SUMIF('库存（子SKU）'!$C:$C,$A150,'库存（子SKU）'!AJ:AJ)</f>
        <v>9</v>
      </c>
      <c r="AI150">
        <f>SUMIF('库存（子SKU）'!$C:$C,$A150,'库存（子SKU）'!AK:AK)</f>
        <v>12</v>
      </c>
      <c r="AJ150">
        <f>SUMIF('库存（子SKU）'!$C:$C,$A150,'库存（子SKU）'!AL:AL)</f>
        <v>9</v>
      </c>
      <c r="AK150">
        <f>SUMIF('库存（子SKU）'!$C:$C,$A150,'库存（子SKU）'!AM:AM)</f>
        <v>17</v>
      </c>
      <c r="AL150" s="22">
        <f t="shared" si="41"/>
        <v>0.111111111111111</v>
      </c>
      <c r="AM150" s="22">
        <f t="shared" si="42"/>
        <v>0</v>
      </c>
      <c r="AN150" s="22">
        <f t="shared" si="43"/>
        <v>0</v>
      </c>
      <c r="AO150" s="22">
        <f t="shared" si="44"/>
        <v>0</v>
      </c>
      <c r="AP150" s="7">
        <f t="shared" si="45"/>
        <v>0.142857142857143</v>
      </c>
      <c r="AQ150" s="7">
        <f t="shared" si="46"/>
        <v>8.57142857142857</v>
      </c>
      <c r="AR150" s="7">
        <f t="shared" si="47"/>
        <v>5.42857142857143</v>
      </c>
      <c r="AS150">
        <f t="shared" si="48"/>
        <v>98</v>
      </c>
      <c r="AT150" s="2">
        <f>IFERROR(时间!$B$4+AS150,"上周无销量")</f>
        <v>43416</v>
      </c>
    </row>
    <row r="151" spans="1:46">
      <c r="A151" t="s">
        <v>1709</v>
      </c>
      <c r="B151" s="5">
        <f>SUMIF('库存（子SKU）'!$C:$C,$A151,'库存（子SKU）'!D:D)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1</v>
      </c>
      <c r="E151" s="5">
        <f>SUMIF('库存（子SKU）'!$C:$C,$A151,'库存（子SKU）'!G:G)</f>
        <v>0</v>
      </c>
      <c r="F151" s="6">
        <v>9</v>
      </c>
      <c r="G151">
        <f>SUMIF('库存（子SKU）'!$C:$C,$A151,'库存（子SKU）'!I:I)</f>
        <v>1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1</v>
      </c>
      <c r="L151">
        <f>SUMIF('库存（子SKU）'!$C:$C,$A151,'库存（子SKU）'!N:N)</f>
        <v>0</v>
      </c>
      <c r="M151">
        <f>SUMIF('库存（子SKU）'!$C:$C,$A151,'库存（子SKU）'!O:O)</f>
        <v>1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19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2" t="str">
        <f t="shared" si="49"/>
        <v/>
      </c>
      <c r="W151" s="22" t="str">
        <f t="shared" si="50"/>
        <v/>
      </c>
      <c r="X151" s="22">
        <f t="shared" si="51"/>
        <v>0</v>
      </c>
      <c r="Y151" s="22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2" t="str">
        <f t="shared" si="37"/>
        <v/>
      </c>
      <c r="AE151" s="22" t="str">
        <f t="shared" si="38"/>
        <v/>
      </c>
      <c r="AF151" s="22">
        <f t="shared" si="39"/>
        <v>0</v>
      </c>
      <c r="AG151" s="22" t="str">
        <f t="shared" si="40"/>
        <v/>
      </c>
      <c r="AH151">
        <f>SUMIF('库存（子SKU）'!$C:$C,$A151,'库存（子SKU）'!AJ:AJ)</f>
        <v>2</v>
      </c>
      <c r="AI151">
        <f>SUMIF('库存（子SKU）'!$C:$C,$A151,'库存（子SKU）'!AK:AK)</f>
        <v>2</v>
      </c>
      <c r="AJ151">
        <f>SUMIF('库存（子SKU）'!$C:$C,$A151,'库存（子SKU）'!AL:AL)</f>
        <v>5</v>
      </c>
      <c r="AK151">
        <f>SUMIF('库存（子SKU）'!$C:$C,$A151,'库存（子SKU）'!AM:AM)</f>
        <v>5</v>
      </c>
      <c r="AL151" s="22">
        <f t="shared" si="41"/>
        <v>0</v>
      </c>
      <c r="AM151" s="22">
        <f t="shared" si="42"/>
        <v>0</v>
      </c>
      <c r="AN151" s="22">
        <f t="shared" si="43"/>
        <v>0.2</v>
      </c>
      <c r="AO151" s="22">
        <f t="shared" si="44"/>
        <v>0</v>
      </c>
      <c r="AP151" s="7">
        <f t="shared" si="45"/>
        <v>0</v>
      </c>
      <c r="AQ151" s="7">
        <f t="shared" si="46"/>
        <v>0</v>
      </c>
      <c r="AR151" s="7">
        <f t="shared" si="47"/>
        <v>1</v>
      </c>
      <c r="AS151" t="str">
        <f t="shared" si="48"/>
        <v>库存为1</v>
      </c>
      <c r="AT151" s="2" t="str">
        <f>IFERROR(时间!$B$4+AS151,"上周无销量")</f>
        <v>上周无销量</v>
      </c>
    </row>
    <row r="152" spans="1:46">
      <c r="A152" t="s">
        <v>1716</v>
      </c>
      <c r="B152" s="5">
        <f>SUMIF('库存（子SKU）'!$C:$C,$A152,'库存（子SKU）'!D:D)</f>
        <v>7</v>
      </c>
      <c r="C152" s="5">
        <f>SUMIF('库存（子SKU）'!$C:$C,$A152,'库存（子SKU）'!E:E)</f>
        <v>13</v>
      </c>
      <c r="D152" s="5">
        <f>SUMIF('库存（子SKU）'!$C:$C,$A152,'库存（子SKU）'!F:F)</f>
        <v>4</v>
      </c>
      <c r="E152" s="5">
        <f>SUMIF('库存（子SKU）'!$C:$C,$A152,'库存（子SKU）'!G:G)</f>
        <v>2</v>
      </c>
      <c r="F152" s="6">
        <v>23.1488461538462</v>
      </c>
      <c r="G152">
        <f>SUMIF('库存（子SKU）'!$C:$C,$A152,'库存（子SKU）'!I:I)</f>
        <v>93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93</v>
      </c>
      <c r="L152">
        <f>SUMIF('库存（子SKU）'!$C:$C,$A152,'库存（子SKU）'!N:N)</f>
        <v>0</v>
      </c>
      <c r="M152">
        <f>SUMIF('库存（子SKU）'!$C:$C,$A152,'库存（子SKU）'!O:O)</f>
        <v>87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 t="str">
        <f t="shared" si="49"/>
        <v/>
      </c>
      <c r="W152" s="22" t="str">
        <f t="shared" si="50"/>
        <v/>
      </c>
      <c r="X152" s="22" t="str">
        <f t="shared" si="51"/>
        <v/>
      </c>
      <c r="Y152" s="22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>
        <f t="shared" si="37"/>
        <v>0</v>
      </c>
      <c r="AE152" s="22">
        <f t="shared" si="38"/>
        <v>0</v>
      </c>
      <c r="AF152" s="22">
        <f t="shared" si="39"/>
        <v>0</v>
      </c>
      <c r="AG152" s="22">
        <f t="shared" si="40"/>
        <v>0</v>
      </c>
      <c r="AH152">
        <f>SUMIF('库存（子SKU）'!$C:$C,$A152,'库存（子SKU）'!AJ:AJ)</f>
        <v>143</v>
      </c>
      <c r="AI152">
        <f>SUMIF('库存（子SKU）'!$C:$C,$A152,'库存（子SKU）'!AK:AK)</f>
        <v>146</v>
      </c>
      <c r="AJ152">
        <f>SUMIF('库存（子SKU）'!$C:$C,$A152,'库存（子SKU）'!AL:AL)</f>
        <v>134</v>
      </c>
      <c r="AK152">
        <f>SUMIF('库存（子SKU）'!$C:$C,$A152,'库存（子SKU）'!AM:AM)</f>
        <v>35</v>
      </c>
      <c r="AL152" s="22">
        <f t="shared" si="41"/>
        <v>0.048951048951049</v>
      </c>
      <c r="AM152" s="22">
        <f t="shared" si="42"/>
        <v>0.089041095890411</v>
      </c>
      <c r="AN152" s="22">
        <f t="shared" si="43"/>
        <v>0.0298507462686567</v>
      </c>
      <c r="AO152" s="22">
        <f t="shared" si="44"/>
        <v>0.0571428571428571</v>
      </c>
      <c r="AP152" s="7">
        <f t="shared" si="45"/>
        <v>1</v>
      </c>
      <c r="AQ152" s="7">
        <f t="shared" si="46"/>
        <v>60</v>
      </c>
      <c r="AR152" s="7">
        <f t="shared" si="47"/>
        <v>33</v>
      </c>
      <c r="AS152">
        <f t="shared" si="48"/>
        <v>93</v>
      </c>
      <c r="AT152" s="2">
        <f>IFERROR(时间!$B$4+AS152,"上周无销量")</f>
        <v>43411</v>
      </c>
    </row>
    <row r="153" spans="1:46">
      <c r="A153" t="s">
        <v>1735</v>
      </c>
      <c r="B153" s="5">
        <f>SUMIF('库存（子SKU）'!$C:$C,$A153,'库存（子SKU）'!D:D)</f>
        <v>2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6">
        <v>24.5</v>
      </c>
      <c r="G153">
        <f>SUMIF('库存（子SKU）'!$C:$C,$A153,'库存（子SKU）'!I:I)</f>
        <v>62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62</v>
      </c>
      <c r="L153">
        <f>SUMIF('库存（子SKU）'!$C:$C,$A153,'库存（子SKU）'!N:N)</f>
        <v>1</v>
      </c>
      <c r="M153">
        <f>SUMIF('库存（子SKU）'!$C:$C,$A153,'库存（子SKU）'!O:O)</f>
        <v>61</v>
      </c>
      <c r="N153">
        <f>SUMIF('库存（子SKU）'!$C:$C,$A153,'库存（子SKU）'!P:P)</f>
        <v>1412</v>
      </c>
      <c r="O153">
        <f>SUMIF('库存（子SKU）'!$C:$C,$A153,'库存（子SKU）'!Q:Q)</f>
        <v>944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10</v>
      </c>
      <c r="S153">
        <f>SUMIF('库存（子SKU）'!$C:$C,$A153,'库存（子SKU）'!U:U)</f>
        <v>3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2">
        <f t="shared" si="49"/>
        <v>0.00708215297450425</v>
      </c>
      <c r="W153" s="22">
        <f t="shared" si="50"/>
        <v>0.00317796610169492</v>
      </c>
      <c r="X153" s="22" t="str">
        <f t="shared" si="51"/>
        <v/>
      </c>
      <c r="Y153" s="22" t="str">
        <f t="shared" si="52"/>
        <v/>
      </c>
      <c r="Z153">
        <f>SUMIF('库存（子SKU）'!$C:$C,$A153,'库存（子SKU）'!AB:AB)</f>
        <v>3.86</v>
      </c>
      <c r="AA153">
        <f>SUMIF('库存（子SKU）'!$C:$C,$A153,'库存（子SKU）'!AC:AC)</f>
        <v>1.42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2">
        <f t="shared" si="37"/>
        <v>0.0787755102040816</v>
      </c>
      <c r="AE153" s="22" t="str">
        <f t="shared" si="38"/>
        <v>无销量广告费为1.42</v>
      </c>
      <c r="AF153" s="22" t="str">
        <f t="shared" si="39"/>
        <v/>
      </c>
      <c r="AG153" s="22" t="str">
        <f t="shared" si="40"/>
        <v/>
      </c>
      <c r="AH153">
        <f>SUMIF('库存（子SKU）'!$C:$C,$A153,'库存（子SKU）'!AJ:AJ)</f>
        <v>22</v>
      </c>
      <c r="AI153">
        <f>SUMIF('库存（子SKU）'!$C:$C,$A153,'库存（子SKU）'!AK:AK)</f>
        <v>25</v>
      </c>
      <c r="AJ153">
        <f>SUMIF('库存（子SKU）'!$C:$C,$A153,'库存（子SKU）'!AL:AL)</f>
        <v>47</v>
      </c>
      <c r="AK153">
        <f>SUMIF('库存（子SKU）'!$C:$C,$A153,'库存（子SKU）'!AM:AM)</f>
        <v>15</v>
      </c>
      <c r="AL153" s="22">
        <f t="shared" si="41"/>
        <v>0.0909090909090909</v>
      </c>
      <c r="AM153" s="22">
        <f t="shared" si="42"/>
        <v>0</v>
      </c>
      <c r="AN153" s="22">
        <f t="shared" si="43"/>
        <v>0</v>
      </c>
      <c r="AO153" s="22">
        <f t="shared" si="44"/>
        <v>0</v>
      </c>
      <c r="AP153" s="7">
        <f t="shared" si="45"/>
        <v>0.285714285714286</v>
      </c>
      <c r="AQ153" s="7">
        <f t="shared" si="46"/>
        <v>17.1428571428571</v>
      </c>
      <c r="AR153" s="7">
        <f t="shared" si="47"/>
        <v>44.8571428571429</v>
      </c>
      <c r="AS153">
        <f t="shared" si="48"/>
        <v>217</v>
      </c>
      <c r="AT153" s="2">
        <f>IFERROR(时间!$B$4+AS153,"上周无销量")</f>
        <v>43535</v>
      </c>
    </row>
    <row r="154" spans="1:46">
      <c r="A154" t="s">
        <v>1754</v>
      </c>
      <c r="B154" s="5">
        <f>SUMIF('库存（子SKU）'!$C:$C,$A154,'库存（子SKU）'!D:D)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6" t="s">
        <v>53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2" t="str">
        <f t="shared" si="49"/>
        <v/>
      </c>
      <c r="W154" s="22" t="str">
        <f t="shared" si="50"/>
        <v/>
      </c>
      <c r="X154" s="22" t="str">
        <f t="shared" si="51"/>
        <v/>
      </c>
      <c r="Y154" s="22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2" t="str">
        <f t="shared" si="37"/>
        <v/>
      </c>
      <c r="AE154" s="22" t="str">
        <f t="shared" si="38"/>
        <v/>
      </c>
      <c r="AF154" s="22" t="str">
        <f t="shared" si="39"/>
        <v/>
      </c>
      <c r="AG154" s="22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2" t="str">
        <f t="shared" si="41"/>
        <v/>
      </c>
      <c r="AM154" s="22" t="str">
        <f t="shared" si="42"/>
        <v/>
      </c>
      <c r="AN154" s="22" t="str">
        <f t="shared" si="43"/>
        <v/>
      </c>
      <c r="AO154" s="22" t="str">
        <f t="shared" si="44"/>
        <v/>
      </c>
      <c r="AP154" s="7">
        <f t="shared" si="45"/>
        <v>0</v>
      </c>
      <c r="AQ154" s="7">
        <f t="shared" si="46"/>
        <v>0</v>
      </c>
      <c r="AR154" s="7">
        <f t="shared" si="47"/>
        <v>0</v>
      </c>
      <c r="AS154" t="str">
        <f t="shared" si="48"/>
        <v>库存为0</v>
      </c>
      <c r="AT154" s="2" t="str">
        <f>IFERROR(时间!$B$4+AS154,"上周无销量")</f>
        <v>上周无销量</v>
      </c>
    </row>
    <row r="155" spans="1:46">
      <c r="A155" t="s">
        <v>1761</v>
      </c>
      <c r="B155" s="5">
        <f>SUMIF('库存（子SKU）'!$C:$C,$A155,'库存（子SKU）'!D:D)</f>
        <v>3</v>
      </c>
      <c r="C155" s="5">
        <f>SUMIF('库存（子SKU）'!$C:$C,$A155,'库存（子SKU）'!E:E)</f>
        <v>0</v>
      </c>
      <c r="D155" s="5">
        <f>SUMIF('库存（子SKU）'!$C:$C,$A155,'库存（子SKU）'!F:F)</f>
        <v>0</v>
      </c>
      <c r="E155" s="5">
        <f>SUMIF('库存（子SKU）'!$C:$C,$A155,'库存（子SKU）'!G:G)</f>
        <v>2</v>
      </c>
      <c r="F155" s="6">
        <v>19.772</v>
      </c>
      <c r="G155">
        <f>SUMIF('库存（子SKU）'!$C:$C,$A155,'库存（子SKU）'!I:I)</f>
        <v>22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2</v>
      </c>
      <c r="K155">
        <f t="shared" si="36"/>
        <v>24</v>
      </c>
      <c r="L155">
        <f>SUMIF('库存（子SKU）'!$C:$C,$A155,'库存（子SKU）'!N:N)</f>
        <v>0</v>
      </c>
      <c r="M155">
        <f>SUMIF('库存（子SKU）'!$C:$C,$A155,'库存（子SKU）'!O:O)</f>
        <v>24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2" t="str">
        <f t="shared" si="49"/>
        <v/>
      </c>
      <c r="W155" s="22" t="str">
        <f t="shared" si="50"/>
        <v/>
      </c>
      <c r="X155" s="22" t="str">
        <f t="shared" si="51"/>
        <v/>
      </c>
      <c r="Y155" s="22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2">
        <f t="shared" si="37"/>
        <v>0</v>
      </c>
      <c r="AE155" s="22" t="str">
        <f t="shared" si="38"/>
        <v/>
      </c>
      <c r="AF155" s="22" t="str">
        <f t="shared" si="39"/>
        <v/>
      </c>
      <c r="AG155" s="22">
        <f t="shared" si="40"/>
        <v>0</v>
      </c>
      <c r="AH155">
        <f>SUMIF('库存（子SKU）'!$C:$C,$A155,'库存（子SKU）'!AJ:AJ)</f>
        <v>10</v>
      </c>
      <c r="AI155">
        <f>SUMIF('库存（子SKU）'!$C:$C,$A155,'库存（子SKU）'!AK:AK)</f>
        <v>12</v>
      </c>
      <c r="AJ155">
        <f>SUMIF('库存（子SKU）'!$C:$C,$A155,'库存（子SKU）'!AL:AL)</f>
        <v>9</v>
      </c>
      <c r="AK155">
        <f>SUMIF('库存（子SKU）'!$C:$C,$A155,'库存（子SKU）'!AM:AM)</f>
        <v>7</v>
      </c>
      <c r="AL155" s="22">
        <f t="shared" si="41"/>
        <v>0.3</v>
      </c>
      <c r="AM155" s="22">
        <f t="shared" si="42"/>
        <v>0</v>
      </c>
      <c r="AN155" s="22">
        <f t="shared" si="43"/>
        <v>0</v>
      </c>
      <c r="AO155" s="22">
        <f t="shared" si="44"/>
        <v>0.285714285714286</v>
      </c>
      <c r="AP155" s="7">
        <f t="shared" si="45"/>
        <v>0.428571428571429</v>
      </c>
      <c r="AQ155" s="7">
        <f t="shared" si="46"/>
        <v>25.7142857142857</v>
      </c>
      <c r="AR155" s="7">
        <f t="shared" si="47"/>
        <v>-1.71428571428571</v>
      </c>
      <c r="AS155">
        <f t="shared" si="48"/>
        <v>56</v>
      </c>
      <c r="AT155" s="2">
        <f>IFERROR(时间!$B$4+AS155,"上周无销量")</f>
        <v>43374</v>
      </c>
    </row>
    <row r="156" spans="1:46">
      <c r="A156" t="s">
        <v>1770</v>
      </c>
      <c r="B156" s="5">
        <f>SUMIF('库存（子SKU）'!$C:$C,$A156,'库存（子SKU）'!D:D)</f>
        <v>10</v>
      </c>
      <c r="C156" s="5">
        <f>SUMIF('库存（子SKU）'!$C:$C,$A156,'库存（子SKU）'!E:E)</f>
        <v>18</v>
      </c>
      <c r="D156" s="5">
        <f>SUMIF('库存（子SKU）'!$C:$C,$A156,'库存（子SKU）'!F:F)</f>
        <v>17</v>
      </c>
      <c r="E156" s="5">
        <f>SUMIF('库存（子SKU）'!$C:$C,$A156,'库存（子SKU）'!G:G)</f>
        <v>10</v>
      </c>
      <c r="F156" s="6">
        <v>8.12727272727273</v>
      </c>
      <c r="G156">
        <f>SUMIF('库存（子SKU）'!$C:$C,$A156,'库存（子SKU）'!I:I)</f>
        <v>77</v>
      </c>
      <c r="H156">
        <f>SUMIF('库存（子SKU）'!$C:$C,$A156,'库存（子SKU）'!J:J)</f>
        <v>68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145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705</v>
      </c>
      <c r="O156">
        <f>SUMIF('库存（子SKU）'!$C:$C,$A156,'库存（子SKU）'!Q:Q)</f>
        <v>957</v>
      </c>
      <c r="P156">
        <f>SUMIF('库存（子SKU）'!$C:$C,$A156,'库存（子SKU）'!R:R)</f>
        <v>625</v>
      </c>
      <c r="Q156">
        <f>SUMIF('库存（子SKU）'!$C:$C,$A156,'库存（子SKU）'!S:S)</f>
        <v>383</v>
      </c>
      <c r="R156">
        <f>SUMIF('库存（子SKU）'!$C:$C,$A156,'库存（子SKU）'!T:T)</f>
        <v>9</v>
      </c>
      <c r="S156">
        <f>SUMIF('库存（子SKU）'!$C:$C,$A156,'库存（子SKU）'!U:U)</f>
        <v>23</v>
      </c>
      <c r="T156">
        <f>SUMIF('库存（子SKU）'!$C:$C,$A156,'库存（子SKU）'!V:V)</f>
        <v>10</v>
      </c>
      <c r="U156">
        <f>SUMIF('库存（子SKU）'!$C:$C,$A156,'库存（子SKU）'!W:W)</f>
        <v>6</v>
      </c>
      <c r="V156" s="22">
        <f t="shared" si="49"/>
        <v>0.0127659574468085</v>
      </c>
      <c r="W156" s="22">
        <f t="shared" si="50"/>
        <v>0.0240334378265413</v>
      </c>
      <c r="X156" s="22">
        <f t="shared" si="51"/>
        <v>0.016</v>
      </c>
      <c r="Y156" s="22">
        <f t="shared" si="52"/>
        <v>0.0156657963446475</v>
      </c>
      <c r="Z156">
        <f>SUMIF('库存（子SKU）'!$C:$C,$A156,'库存（子SKU）'!AB:AB)</f>
        <v>1.86</v>
      </c>
      <c r="AA156">
        <f>SUMIF('库存（子SKU）'!$C:$C,$A156,'库存（子SKU）'!AC:AC)</f>
        <v>5.73</v>
      </c>
      <c r="AB156">
        <f>SUMIF('库存（子SKU）'!$C:$C,$A156,'库存（子SKU）'!AD:AD)</f>
        <v>2.36</v>
      </c>
      <c r="AC156">
        <f>SUMIF('库存（子SKU）'!$C:$C,$A156,'库存（子SKU）'!AE:AE)</f>
        <v>0.68</v>
      </c>
      <c r="AD156" s="22">
        <f t="shared" si="37"/>
        <v>0.0228859060402684</v>
      </c>
      <c r="AE156" s="22">
        <f t="shared" si="38"/>
        <v>0.0391685309470544</v>
      </c>
      <c r="AF156" s="22">
        <f t="shared" si="39"/>
        <v>0.017081194894065</v>
      </c>
      <c r="AG156" s="22">
        <f t="shared" si="40"/>
        <v>0.00836689038031319</v>
      </c>
      <c r="AH156">
        <f>SUMIF('库存（子SKU）'!$C:$C,$A156,'库存（子SKU）'!AJ:AJ)</f>
        <v>117</v>
      </c>
      <c r="AI156">
        <f>SUMIF('库存（子SKU）'!$C:$C,$A156,'库存（子SKU）'!AK:AK)</f>
        <v>104</v>
      </c>
      <c r="AJ156">
        <f>SUMIF('库存（子SKU）'!$C:$C,$A156,'库存（子SKU）'!AL:AL)</f>
        <v>84</v>
      </c>
      <c r="AK156">
        <f>SUMIF('库存（子SKU）'!$C:$C,$A156,'库存（子SKU）'!AM:AM)</f>
        <v>72</v>
      </c>
      <c r="AL156" s="22">
        <f t="shared" si="41"/>
        <v>0.0854700854700855</v>
      </c>
      <c r="AM156" s="22">
        <f t="shared" si="42"/>
        <v>0.173076923076923</v>
      </c>
      <c r="AN156" s="22">
        <f t="shared" si="43"/>
        <v>0.202380952380952</v>
      </c>
      <c r="AO156" s="22">
        <f t="shared" si="44"/>
        <v>0.138888888888889</v>
      </c>
      <c r="AP156" s="7">
        <f t="shared" si="45"/>
        <v>1.42857142857143</v>
      </c>
      <c r="AQ156" s="7">
        <f t="shared" si="46"/>
        <v>85.7142857142857</v>
      </c>
      <c r="AR156" s="7">
        <f t="shared" si="47"/>
        <v>59.2857142857143</v>
      </c>
      <c r="AS156">
        <f t="shared" si="48"/>
        <v>101</v>
      </c>
      <c r="AT156" s="2">
        <f>IFERROR(时间!$B$4+AS156,"上周无销量")</f>
        <v>43419</v>
      </c>
    </row>
    <row r="157" spans="1:46">
      <c r="A157" t="s">
        <v>1822</v>
      </c>
      <c r="B157" s="5">
        <f>SUMIF('库存（子SKU）'!$C:$C,$A157,'库存（子SKU）'!D:D)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 t="s">
        <v>53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 t="str">
        <f t="shared" si="49"/>
        <v/>
      </c>
      <c r="W157" s="22" t="str">
        <f t="shared" si="50"/>
        <v/>
      </c>
      <c r="X157" s="22" t="str">
        <f t="shared" si="51"/>
        <v/>
      </c>
      <c r="Y157" s="22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 t="str">
        <f t="shared" si="37"/>
        <v/>
      </c>
      <c r="AE157" s="22" t="str">
        <f t="shared" si="38"/>
        <v/>
      </c>
      <c r="AF157" s="22" t="str">
        <f t="shared" si="39"/>
        <v/>
      </c>
      <c r="AG157" s="22" t="str">
        <f t="shared" si="40"/>
        <v/>
      </c>
      <c r="AH157">
        <f>SUMIF('库存（子SKU）'!$C:$C,$A157,'库存（子SKU）'!AJ:AJ)</f>
        <v>465</v>
      </c>
      <c r="AI157">
        <f>SUMIF('库存（子SKU）'!$C:$C,$A157,'库存（子SKU）'!AK:AK)</f>
        <v>118</v>
      </c>
      <c r="AJ157">
        <f>SUMIF('库存（子SKU）'!$C:$C,$A157,'库存（子SKU）'!AL:AL)</f>
        <v>557</v>
      </c>
      <c r="AK157">
        <f>SUMIF('库存（子SKU）'!$C:$C,$A157,'库存（子SKU）'!AM:AM)</f>
        <v>514</v>
      </c>
      <c r="AL157" s="22">
        <f t="shared" si="41"/>
        <v>0</v>
      </c>
      <c r="AM157" s="22">
        <f t="shared" si="42"/>
        <v>0</v>
      </c>
      <c r="AN157" s="22">
        <f t="shared" si="43"/>
        <v>0</v>
      </c>
      <c r="AO157" s="22">
        <f t="shared" si="44"/>
        <v>0</v>
      </c>
      <c r="AP157" s="7">
        <f t="shared" si="45"/>
        <v>0</v>
      </c>
      <c r="AQ157" s="7">
        <f t="shared" si="46"/>
        <v>0</v>
      </c>
      <c r="AR157" s="7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1835</v>
      </c>
      <c r="B158" s="5">
        <f>SUMIF('库存（子SKU）'!$C:$C,$A158,'库存（子SKU）'!D:D)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 t="s">
        <v>53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 t="str">
        <f t="shared" si="37"/>
        <v/>
      </c>
      <c r="AE158" s="22" t="str">
        <f t="shared" si="38"/>
        <v/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1652</v>
      </c>
      <c r="AI158">
        <f>SUMIF('库存（子SKU）'!$C:$C,$A158,'库存（子SKU）'!AK:AK)</f>
        <v>994</v>
      </c>
      <c r="AJ158">
        <f>SUMIF('库存（子SKU）'!$C:$C,$A158,'库存（子SKU）'!AL:AL)</f>
        <v>370</v>
      </c>
      <c r="AK158">
        <f>SUMIF('库存（子SKU）'!$C:$C,$A158,'库存（子SKU）'!AM:AM)</f>
        <v>398</v>
      </c>
      <c r="AL158" s="22">
        <f t="shared" si="41"/>
        <v>0</v>
      </c>
      <c r="AM158" s="22">
        <f t="shared" si="42"/>
        <v>0</v>
      </c>
      <c r="AN158" s="22">
        <f t="shared" si="43"/>
        <v>0</v>
      </c>
      <c r="AO158" s="22">
        <f t="shared" si="44"/>
        <v>0</v>
      </c>
      <c r="AP158" s="7">
        <f t="shared" si="45"/>
        <v>0</v>
      </c>
      <c r="AQ158" s="7">
        <f t="shared" si="46"/>
        <v>0</v>
      </c>
      <c r="AR158" s="7">
        <f t="shared" si="47"/>
        <v>0</v>
      </c>
      <c r="AS158" t="str">
        <f t="shared" si="48"/>
        <v>库存为0</v>
      </c>
      <c r="AT158" s="2" t="str">
        <f>IFERROR(时间!$B$4+AS158,"上周无销量")</f>
        <v>上周无销量</v>
      </c>
    </row>
    <row r="159" spans="1:46">
      <c r="A159" t="s">
        <v>1841</v>
      </c>
      <c r="B159" s="5">
        <f>SUMIF('库存（子SKU）'!$C:$C,$A159,'库存（子SKU）'!D:D)</f>
        <v>0</v>
      </c>
      <c r="C159" s="5">
        <f>SUMIF('库存（子SKU）'!$C:$C,$A159,'库存（子SKU）'!E:E)</f>
        <v>0</v>
      </c>
      <c r="D159" s="5">
        <f>SUMIF('库存（子SKU）'!$C:$C,$A159,'库存（子SKU）'!F:F)</f>
        <v>0</v>
      </c>
      <c r="E159" s="5">
        <f>SUMIF('库存（子SKU）'!$C:$C,$A159,'库存（子SKU）'!G:G)</f>
        <v>0</v>
      </c>
      <c r="F159" s="6" t="s">
        <v>53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2" t="str">
        <f t="shared" si="49"/>
        <v/>
      </c>
      <c r="W159" s="22" t="str">
        <f t="shared" si="50"/>
        <v/>
      </c>
      <c r="X159" s="22" t="str">
        <f t="shared" si="51"/>
        <v/>
      </c>
      <c r="Y159" s="22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2" t="str">
        <f t="shared" si="37"/>
        <v/>
      </c>
      <c r="AE159" s="22" t="str">
        <f t="shared" si="38"/>
        <v/>
      </c>
      <c r="AF159" s="22" t="str">
        <f t="shared" si="39"/>
        <v/>
      </c>
      <c r="AG159" s="22" t="str">
        <f t="shared" si="40"/>
        <v/>
      </c>
      <c r="AH159">
        <f>SUMIF('库存（子SKU）'!$C:$C,$A159,'库存（子SKU）'!AJ:AJ)</f>
        <v>12232</v>
      </c>
      <c r="AI159">
        <f>SUMIF('库存（子SKU）'!$C:$C,$A159,'库存（子SKU）'!AK:AK)</f>
        <v>12722</v>
      </c>
      <c r="AJ159">
        <f>SUMIF('库存（子SKU）'!$C:$C,$A159,'库存（子SKU）'!AL:AL)</f>
        <v>16722</v>
      </c>
      <c r="AK159">
        <f>SUMIF('库存（子SKU）'!$C:$C,$A159,'库存（子SKU）'!AM:AM)</f>
        <v>7284</v>
      </c>
      <c r="AL159" s="22">
        <f t="shared" si="41"/>
        <v>0</v>
      </c>
      <c r="AM159" s="22">
        <f t="shared" si="42"/>
        <v>0</v>
      </c>
      <c r="AN159" s="22">
        <f t="shared" si="43"/>
        <v>0</v>
      </c>
      <c r="AO159" s="22">
        <f t="shared" si="44"/>
        <v>0</v>
      </c>
      <c r="AP159" s="7">
        <f t="shared" si="45"/>
        <v>0</v>
      </c>
      <c r="AQ159" s="7">
        <f t="shared" si="46"/>
        <v>0</v>
      </c>
      <c r="AR159" s="7">
        <f t="shared" si="47"/>
        <v>0</v>
      </c>
      <c r="AS159" t="str">
        <f t="shared" si="48"/>
        <v>库存为0</v>
      </c>
      <c r="AT159" s="2" t="str">
        <f>IFERROR(时间!$B$4+AS159,"上周无销量")</f>
        <v>上周无销量</v>
      </c>
    </row>
    <row r="160" spans="1:46">
      <c r="A160" t="s">
        <v>1857</v>
      </c>
      <c r="B160" s="5">
        <f>SUMIF('库存（子SKU）'!$C:$C,$A160,'库存（子SKU）'!D:D)</f>
        <v>1</v>
      </c>
      <c r="C160" s="5">
        <f>SUMIF('库存（子SKU）'!$C:$C,$A160,'库存（子SKU）'!E:E)</f>
        <v>2</v>
      </c>
      <c r="D160" s="5">
        <f>SUMIF('库存（子SKU）'!$C:$C,$A160,'库存（子SKU）'!F:F)</f>
        <v>3</v>
      </c>
      <c r="E160" s="5">
        <f>SUMIF('库存（子SKU）'!$C:$C,$A160,'库存（子SKU）'!G:G)</f>
        <v>3</v>
      </c>
      <c r="F160" s="6">
        <v>15.8122222222222</v>
      </c>
      <c r="G160">
        <f>SUMIF('库存（子SKU）'!$C:$C,$A160,'库存（子SKU）'!I:I)</f>
        <v>48</v>
      </c>
      <c r="H160">
        <f>SUMIF('库存（子SKU）'!$C:$C,$A160,'库存（子SKU）'!J:J)</f>
        <v>44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92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2" t="str">
        <f t="shared" si="49"/>
        <v/>
      </c>
      <c r="W160" s="22" t="str">
        <f t="shared" si="50"/>
        <v/>
      </c>
      <c r="X160" s="22" t="str">
        <f t="shared" si="51"/>
        <v/>
      </c>
      <c r="Y160" s="22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2">
        <f t="shared" si="37"/>
        <v>0</v>
      </c>
      <c r="AE160" s="22">
        <f t="shared" si="38"/>
        <v>0</v>
      </c>
      <c r="AF160" s="22">
        <f t="shared" si="39"/>
        <v>0</v>
      </c>
      <c r="AG160" s="22">
        <f t="shared" si="40"/>
        <v>0</v>
      </c>
      <c r="AH160">
        <f>SUMIF('库存（子SKU）'!$C:$C,$A160,'库存（子SKU）'!AJ:AJ)</f>
        <v>68</v>
      </c>
      <c r="AI160">
        <f>SUMIF('库存（子SKU）'!$C:$C,$A160,'库存（子SKU）'!AK:AK)</f>
        <v>82</v>
      </c>
      <c r="AJ160">
        <f>SUMIF('库存（子SKU）'!$C:$C,$A160,'库存（子SKU）'!AL:AL)</f>
        <v>40</v>
      </c>
      <c r="AK160">
        <f>SUMIF('库存（子SKU）'!$C:$C,$A160,'库存（子SKU）'!AM:AM)</f>
        <v>33</v>
      </c>
      <c r="AL160" s="22">
        <f t="shared" si="41"/>
        <v>0.0147058823529412</v>
      </c>
      <c r="AM160" s="22">
        <f t="shared" si="42"/>
        <v>0.024390243902439</v>
      </c>
      <c r="AN160" s="22">
        <f t="shared" si="43"/>
        <v>0.075</v>
      </c>
      <c r="AO160" s="22">
        <f t="shared" si="44"/>
        <v>0.0909090909090909</v>
      </c>
      <c r="AP160" s="7">
        <f t="shared" si="45"/>
        <v>0.142857142857143</v>
      </c>
      <c r="AQ160" s="7">
        <f t="shared" si="46"/>
        <v>8.57142857142857</v>
      </c>
      <c r="AR160" s="7">
        <f t="shared" si="47"/>
        <v>83.4285714285714</v>
      </c>
      <c r="AS160">
        <f t="shared" si="48"/>
        <v>644</v>
      </c>
      <c r="AT160" s="2">
        <f>IFERROR(时间!$B$4+AS160,"上周无销量")</f>
        <v>43962</v>
      </c>
    </row>
    <row r="161" spans="1:46">
      <c r="A161" t="s">
        <v>1868</v>
      </c>
      <c r="B161" s="5">
        <f>SUMIF('库存（子SKU）'!$C:$C,$A161,'库存（子SKU）'!D:D)</f>
        <v>3</v>
      </c>
      <c r="C161" s="5">
        <f>SUMIF('库存（子SKU）'!$C:$C,$A161,'库存（子SKU）'!E:E)</f>
        <v>4</v>
      </c>
      <c r="D161" s="5">
        <f>SUMIF('库存（子SKU）'!$C:$C,$A161,'库存（子SKU）'!F:F)</f>
        <v>6</v>
      </c>
      <c r="E161" s="5">
        <f>SUMIF('库存（子SKU）'!$C:$C,$A161,'库存（子SKU）'!G:G)</f>
        <v>0</v>
      </c>
      <c r="F161" s="6">
        <v>12.99</v>
      </c>
      <c r="G161">
        <f>SUMIF('库存（子SKU）'!$C:$C,$A161,'库存（子SKU）'!I:I)</f>
        <v>14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1</v>
      </c>
      <c r="K161">
        <f t="shared" si="36"/>
        <v>15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123</v>
      </c>
      <c r="O161">
        <f>SUMIF('库存（子SKU）'!$C:$C,$A161,'库存（子SKU）'!Q:Q)</f>
        <v>429</v>
      </c>
      <c r="P161">
        <f>SUMIF('库存（子SKU）'!$C:$C,$A161,'库存（子SKU）'!R:R)</f>
        <v>234</v>
      </c>
      <c r="Q161">
        <f>SUMIF('库存（子SKU）'!$C:$C,$A161,'库存（子SKU）'!S:S)</f>
        <v>83</v>
      </c>
      <c r="R161">
        <f>SUMIF('库存（子SKU）'!$C:$C,$A161,'库存（子SKU）'!T:T)</f>
        <v>1</v>
      </c>
      <c r="S161">
        <f>SUMIF('库存（子SKU）'!$C:$C,$A161,'库存（子SKU）'!U:U)</f>
        <v>5</v>
      </c>
      <c r="T161">
        <f>SUMIF('库存（子SKU）'!$C:$C,$A161,'库存（子SKU）'!V:V)</f>
        <v>1</v>
      </c>
      <c r="U161">
        <f>SUMIF('库存（子SKU）'!$C:$C,$A161,'库存（子SKU）'!W:W)</f>
        <v>1</v>
      </c>
      <c r="V161" s="22">
        <f t="shared" si="49"/>
        <v>0.00813008130081301</v>
      </c>
      <c r="W161" s="22">
        <f t="shared" si="50"/>
        <v>0.0116550116550117</v>
      </c>
      <c r="X161" s="22">
        <f t="shared" si="51"/>
        <v>0.00427350427350427</v>
      </c>
      <c r="Y161" s="22">
        <f t="shared" si="52"/>
        <v>0.0120481927710843</v>
      </c>
      <c r="Z161">
        <f>SUMIF('库存（子SKU）'!$C:$C,$A161,'库存（子SKU）'!AB:AB)</f>
        <v>0.02</v>
      </c>
      <c r="AA161">
        <f>SUMIF('库存（子SKU）'!$C:$C,$A161,'库存（子SKU）'!AC:AC)</f>
        <v>1.57</v>
      </c>
      <c r="AB161">
        <f>SUMIF('库存（子SKU）'!$C:$C,$A161,'库存（子SKU）'!AD:AD)</f>
        <v>0.45</v>
      </c>
      <c r="AC161">
        <f>SUMIF('库存（子SKU）'!$C:$C,$A161,'库存（子SKU）'!AE:AE)</f>
        <v>0.15</v>
      </c>
      <c r="AD161" s="22">
        <f t="shared" si="37"/>
        <v>0.000513215293815756</v>
      </c>
      <c r="AE161" s="22">
        <f t="shared" si="38"/>
        <v>0.0302155504234026</v>
      </c>
      <c r="AF161" s="22">
        <f t="shared" si="39"/>
        <v>0.00577367205542725</v>
      </c>
      <c r="AG161" s="22" t="str">
        <f t="shared" si="40"/>
        <v>无销量广告费为0.15</v>
      </c>
      <c r="AH161">
        <f>SUMIF('库存（子SKU）'!$C:$C,$A161,'库存（子SKU）'!AJ:AJ)</f>
        <v>30</v>
      </c>
      <c r="AI161">
        <f>SUMIF('库存（子SKU）'!$C:$C,$A161,'库存（子SKU）'!AK:AK)</f>
        <v>54</v>
      </c>
      <c r="AJ161">
        <f>SUMIF('库存（子SKU）'!$C:$C,$A161,'库存（子SKU）'!AL:AL)</f>
        <v>44</v>
      </c>
      <c r="AK161">
        <f>SUMIF('库存（子SKU）'!$C:$C,$A161,'库存（子SKU）'!AM:AM)</f>
        <v>43</v>
      </c>
      <c r="AL161" s="22">
        <f t="shared" si="41"/>
        <v>0.1</v>
      </c>
      <c r="AM161" s="22">
        <f t="shared" si="42"/>
        <v>0.0740740740740741</v>
      </c>
      <c r="AN161" s="22">
        <f t="shared" si="43"/>
        <v>0.136363636363636</v>
      </c>
      <c r="AO161" s="22">
        <f t="shared" si="44"/>
        <v>0</v>
      </c>
      <c r="AP161" s="7">
        <f t="shared" si="45"/>
        <v>0.428571428571429</v>
      </c>
      <c r="AQ161" s="7">
        <f t="shared" si="46"/>
        <v>25.7142857142857</v>
      </c>
      <c r="AR161" s="7">
        <f t="shared" si="47"/>
        <v>-10.7142857142857</v>
      </c>
      <c r="AS161">
        <f t="shared" si="48"/>
        <v>35</v>
      </c>
      <c r="AT161" s="2">
        <f>IFERROR(时间!$B$4+AS161,"上周无销量")</f>
        <v>43353</v>
      </c>
    </row>
    <row r="162" spans="1:46">
      <c r="A162" t="s">
        <v>1875</v>
      </c>
      <c r="B162" s="5">
        <f>SUMIF('库存（子SKU）'!$C:$C,$A162,'库存（子SKU）'!D:D)</f>
        <v>0</v>
      </c>
      <c r="C162" s="5">
        <f>SUMIF('库存（子SKU）'!$C:$C,$A162,'库存（子SKU）'!E:E)</f>
        <v>1</v>
      </c>
      <c r="D162" s="5">
        <f>SUMIF('库存（子SKU）'!$C:$C,$A162,'库存（子SKU）'!F:F)</f>
        <v>5</v>
      </c>
      <c r="E162" s="5">
        <f>SUMIF('库存（子SKU）'!$C:$C,$A162,'库存（子SKU）'!G:G)</f>
        <v>1</v>
      </c>
      <c r="F162" s="6">
        <v>15.99</v>
      </c>
      <c r="G162">
        <f>SUMIF('库存（子SKU）'!$C:$C,$A162,'库存（子SKU）'!I:I)</f>
        <v>36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36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77</v>
      </c>
      <c r="O162">
        <f>SUMIF('库存（子SKU）'!$C:$C,$A162,'库存（子SKU）'!Q:Q)</f>
        <v>332</v>
      </c>
      <c r="P162">
        <f>SUMIF('库存（子SKU）'!$C:$C,$A162,'库存（子SKU）'!R:R)</f>
        <v>53</v>
      </c>
      <c r="Q162">
        <f>SUMIF('库存（子SKU）'!$C:$C,$A162,'库存（子SKU）'!S:S)</f>
        <v>18</v>
      </c>
      <c r="R162">
        <f>SUMIF('库存（子SKU）'!$C:$C,$A162,'库存（子SKU）'!T:T)</f>
        <v>7</v>
      </c>
      <c r="S162">
        <f>SUMIF('库存（子SKU）'!$C:$C,$A162,'库存（子SKU）'!U:U)</f>
        <v>4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>
        <f t="shared" si="49"/>
        <v>0.0909090909090909</v>
      </c>
      <c r="W162" s="22">
        <f t="shared" si="50"/>
        <v>0.0120481927710843</v>
      </c>
      <c r="X162" s="22">
        <f t="shared" si="51"/>
        <v>0</v>
      </c>
      <c r="Y162" s="22">
        <f t="shared" si="52"/>
        <v>0</v>
      </c>
      <c r="Z162">
        <f>SUMIF('库存（子SKU）'!$C:$C,$A162,'库存（子SKU）'!AB:AB)</f>
        <v>1.2</v>
      </c>
      <c r="AA162">
        <f>SUMIF('库存（子SKU）'!$C:$C,$A162,'库存（子SKU）'!AC:AC)</f>
        <v>1.14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 t="str">
        <f t="shared" si="37"/>
        <v>无销量广告费为1.2</v>
      </c>
      <c r="AE162" s="22">
        <f t="shared" si="38"/>
        <v>0.0712945590994371</v>
      </c>
      <c r="AF162" s="22">
        <f t="shared" si="39"/>
        <v>0</v>
      </c>
      <c r="AG162" s="22">
        <f t="shared" si="40"/>
        <v>0</v>
      </c>
      <c r="AH162">
        <f>SUMIF('库存（子SKU）'!$C:$C,$A162,'库存（子SKU）'!AJ:AJ)</f>
        <v>19</v>
      </c>
      <c r="AI162">
        <f>SUMIF('库存（子SKU）'!$C:$C,$A162,'库存（子SKU）'!AK:AK)</f>
        <v>36</v>
      </c>
      <c r="AJ162">
        <f>SUMIF('库存（子SKU）'!$C:$C,$A162,'库存（子SKU）'!AL:AL)</f>
        <v>28</v>
      </c>
      <c r="AK162">
        <f>SUMIF('库存（子SKU）'!$C:$C,$A162,'库存（子SKU）'!AM:AM)</f>
        <v>14</v>
      </c>
      <c r="AL162" s="22">
        <f t="shared" si="41"/>
        <v>0</v>
      </c>
      <c r="AM162" s="22">
        <f t="shared" si="42"/>
        <v>0.0277777777777778</v>
      </c>
      <c r="AN162" s="22">
        <f t="shared" si="43"/>
        <v>0.178571428571429</v>
      </c>
      <c r="AO162" s="22">
        <f t="shared" si="44"/>
        <v>0.0714285714285714</v>
      </c>
      <c r="AP162" s="7">
        <f t="shared" si="45"/>
        <v>0</v>
      </c>
      <c r="AQ162" s="7">
        <f t="shared" si="46"/>
        <v>0</v>
      </c>
      <c r="AR162" s="7">
        <f t="shared" si="47"/>
        <v>36</v>
      </c>
      <c r="AS162" t="str">
        <f t="shared" si="48"/>
        <v>库存为36</v>
      </c>
      <c r="AT162" s="2" t="str">
        <f>IFERROR(时间!$B$4+AS162,"上周无销量")</f>
        <v>上周无销量</v>
      </c>
    </row>
    <row r="163" spans="1:46">
      <c r="A163" t="s">
        <v>1884</v>
      </c>
      <c r="B163" s="5">
        <f>SUMIF('库存（子SKU）'!$C:$C,$A163,'库存（子SKU）'!D:D)</f>
        <v>3</v>
      </c>
      <c r="C163" s="5">
        <f>SUMIF('库存（子SKU）'!$C:$C,$A163,'库存（子SKU）'!E:E)</f>
        <v>2</v>
      </c>
      <c r="D163" s="5">
        <f>SUMIF('库存（子SKU）'!$C:$C,$A163,'库存（子SKU）'!F:F)</f>
        <v>1</v>
      </c>
      <c r="E163" s="5">
        <f>SUMIF('库存（子SKU）'!$C:$C,$A163,'库存（子SKU）'!G:G)</f>
        <v>5</v>
      </c>
      <c r="F163" s="6">
        <v>10</v>
      </c>
      <c r="G163">
        <f>SUMIF('库存（子SKU）'!$C:$C,$A163,'库存（子SKU）'!I:I)</f>
        <v>60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60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2" t="str">
        <f t="shared" si="49"/>
        <v/>
      </c>
      <c r="W163" s="22" t="str">
        <f t="shared" si="50"/>
        <v/>
      </c>
      <c r="X163" s="22" t="str">
        <f t="shared" si="51"/>
        <v/>
      </c>
      <c r="Y163" s="22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2">
        <f t="shared" si="37"/>
        <v>0</v>
      </c>
      <c r="AE163" s="22">
        <f t="shared" si="38"/>
        <v>0</v>
      </c>
      <c r="AF163" s="22">
        <f t="shared" si="39"/>
        <v>0</v>
      </c>
      <c r="AG163" s="22">
        <f t="shared" si="40"/>
        <v>0</v>
      </c>
      <c r="AH163">
        <f>SUMIF('库存（子SKU）'!$C:$C,$A163,'库存（子SKU）'!AJ:AJ)</f>
        <v>51</v>
      </c>
      <c r="AI163">
        <f>SUMIF('库存（子SKU）'!$C:$C,$A163,'库存（子SKU）'!AK:AK)</f>
        <v>54</v>
      </c>
      <c r="AJ163">
        <f>SUMIF('库存（子SKU）'!$C:$C,$A163,'库存（子SKU）'!AL:AL)</f>
        <v>58</v>
      </c>
      <c r="AK163">
        <f>SUMIF('库存（子SKU）'!$C:$C,$A163,'库存（子SKU）'!AM:AM)</f>
        <v>48</v>
      </c>
      <c r="AL163" s="22">
        <f t="shared" si="41"/>
        <v>0.0588235294117647</v>
      </c>
      <c r="AM163" s="22">
        <f t="shared" si="42"/>
        <v>0.037037037037037</v>
      </c>
      <c r="AN163" s="22">
        <f t="shared" si="43"/>
        <v>0.0172413793103448</v>
      </c>
      <c r="AO163" s="22">
        <f t="shared" si="44"/>
        <v>0.104166666666667</v>
      </c>
      <c r="AP163" s="7">
        <f t="shared" si="45"/>
        <v>0.428571428571429</v>
      </c>
      <c r="AQ163" s="7">
        <f t="shared" si="46"/>
        <v>25.7142857142857</v>
      </c>
      <c r="AR163" s="7">
        <f t="shared" si="47"/>
        <v>34.2857142857143</v>
      </c>
      <c r="AS163">
        <f t="shared" si="48"/>
        <v>140</v>
      </c>
      <c r="AT163" s="2">
        <f>IFERROR(时间!$B$4+AS163,"上周无销量")</f>
        <v>43458</v>
      </c>
    </row>
    <row r="164" spans="1:46">
      <c r="A164" t="s">
        <v>1901</v>
      </c>
      <c r="B164" s="5">
        <f>SUMIF('库存（子SKU）'!$C:$C,$A164,'库存（子SKU）'!D:D)</f>
        <v>3</v>
      </c>
      <c r="C164" s="5">
        <f>SUMIF('库存（子SKU）'!$C:$C,$A164,'库存（子SKU）'!E:E)</f>
        <v>1</v>
      </c>
      <c r="D164" s="5">
        <f>SUMIF('库存（子SKU）'!$C:$C,$A164,'库存（子SKU）'!F:F)</f>
        <v>0</v>
      </c>
      <c r="E164" s="5">
        <f>SUMIF('库存（子SKU）'!$C:$C,$A164,'库存（子SKU）'!G:G)</f>
        <v>3</v>
      </c>
      <c r="F164" s="6">
        <v>14.99</v>
      </c>
      <c r="G164">
        <f>SUMIF('库存（子SKU）'!$C:$C,$A164,'库存（子SKU）'!I:I)</f>
        <v>35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35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12534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27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>
        <f t="shared" si="52"/>
        <v>0.00215414073719483</v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15.63</v>
      </c>
      <c r="AD164" s="22">
        <f t="shared" si="37"/>
        <v>0</v>
      </c>
      <c r="AE164" s="22">
        <f t="shared" si="38"/>
        <v>0</v>
      </c>
      <c r="AF164" s="22" t="str">
        <f t="shared" si="39"/>
        <v/>
      </c>
      <c r="AG164" s="22">
        <f t="shared" si="40"/>
        <v>0.347565043362242</v>
      </c>
      <c r="AH164">
        <f>SUMIF('库存（子SKU）'!$C:$C,$A164,'库存（子SKU）'!AJ:AJ)</f>
        <v>31</v>
      </c>
      <c r="AI164">
        <f>SUMIF('库存（子SKU）'!$C:$C,$A164,'库存（子SKU）'!AK:AK)</f>
        <v>45</v>
      </c>
      <c r="AJ164">
        <f>SUMIF('库存（子SKU）'!$C:$C,$A164,'库存（子SKU）'!AL:AL)</f>
        <v>46</v>
      </c>
      <c r="AK164">
        <f>SUMIF('库存（子SKU）'!$C:$C,$A164,'库存（子SKU）'!AM:AM)</f>
        <v>54</v>
      </c>
      <c r="AL164" s="22">
        <f t="shared" si="41"/>
        <v>0.0967741935483871</v>
      </c>
      <c r="AM164" s="22">
        <f t="shared" si="42"/>
        <v>0.0222222222222222</v>
      </c>
      <c r="AN164" s="22">
        <f t="shared" si="43"/>
        <v>0</v>
      </c>
      <c r="AO164" s="22">
        <f t="shared" si="44"/>
        <v>0.0555555555555556</v>
      </c>
      <c r="AP164" s="7">
        <f t="shared" si="45"/>
        <v>0.428571428571429</v>
      </c>
      <c r="AQ164" s="7">
        <f t="shared" si="46"/>
        <v>25.7142857142857</v>
      </c>
      <c r="AR164" s="7">
        <f t="shared" si="47"/>
        <v>9.28571428571429</v>
      </c>
      <c r="AS164">
        <f t="shared" si="48"/>
        <v>81</v>
      </c>
      <c r="AT164" s="2">
        <f>IFERROR(时间!$B$4+AS164,"上周无销量")</f>
        <v>43399</v>
      </c>
    </row>
    <row r="165" spans="1:46">
      <c r="A165" t="s">
        <v>1910</v>
      </c>
      <c r="B165" s="5">
        <f>SUMIF('库存（子SKU）'!$C:$C,$A165,'库存（子SKU）'!D:D)</f>
        <v>26</v>
      </c>
      <c r="C165" s="5">
        <f>SUMIF('库存（子SKU）'!$C:$C,$A165,'库存（子SKU）'!E:E)</f>
        <v>40</v>
      </c>
      <c r="D165" s="5">
        <f>SUMIF('库存（子SKU）'!$C:$C,$A165,'库存（子SKU）'!F:F)</f>
        <v>35</v>
      </c>
      <c r="E165" s="5">
        <f>SUMIF('库存（子SKU）'!$C:$C,$A165,'库存（子SKU）'!G:G)</f>
        <v>68</v>
      </c>
      <c r="F165" s="6">
        <v>13.9130769230769</v>
      </c>
      <c r="G165">
        <f>SUMIF('库存（子SKU）'!$C:$C,$A165,'库存（子SKU）'!I:I)</f>
        <v>376</v>
      </c>
      <c r="H165">
        <f>SUMIF('库存（子SKU）'!$C:$C,$A165,'库存（子SKU）'!J:J)</f>
        <v>25</v>
      </c>
      <c r="I165">
        <f>SUMIF('库存（子SKU）'!$C:$C,$A165,'库存（子SKU）'!K:K)</f>
        <v>25</v>
      </c>
      <c r="J165">
        <f>SUMIF('库存（子SKU）'!$C:$C,$A165,'库存（子SKU）'!L:L)</f>
        <v>3</v>
      </c>
      <c r="K165">
        <f t="shared" si="36"/>
        <v>429</v>
      </c>
      <c r="L165">
        <f>SUMIF('库存（子SKU）'!$C:$C,$A165,'库存（子SKU）'!N:N)</f>
        <v>1</v>
      </c>
      <c r="M165">
        <f>SUMIF('库存（子SKU）'!$C:$C,$A165,'库存（子SKU）'!O:O)</f>
        <v>0</v>
      </c>
      <c r="N165">
        <f>SUMIF('库存（子SKU）'!$C:$C,$A165,'库存（子SKU）'!P:P)</f>
        <v>56740</v>
      </c>
      <c r="O165">
        <f>SUMIF('库存（子SKU）'!$C:$C,$A165,'库存（子SKU）'!Q:Q)</f>
        <v>110255</v>
      </c>
      <c r="P165">
        <f>SUMIF('库存（子SKU）'!$C:$C,$A165,'库存（子SKU）'!R:R)</f>
        <v>11476</v>
      </c>
      <c r="Q165">
        <f>SUMIF('库存（子SKU）'!$C:$C,$A165,'库存（子SKU）'!S:S)</f>
        <v>80339</v>
      </c>
      <c r="R165">
        <f>SUMIF('库存（子SKU）'!$C:$C,$A165,'库存（子SKU）'!T:T)</f>
        <v>137</v>
      </c>
      <c r="S165">
        <f>SUMIF('库存（子SKU）'!$C:$C,$A165,'库存（子SKU）'!U:U)</f>
        <v>271</v>
      </c>
      <c r="T165">
        <f>SUMIF('库存（子SKU）'!$C:$C,$A165,'库存（子SKU）'!V:V)</f>
        <v>38</v>
      </c>
      <c r="U165">
        <f>SUMIF('库存（子SKU）'!$C:$C,$A165,'库存（子SKU）'!W:W)</f>
        <v>278</v>
      </c>
      <c r="V165" s="22">
        <f t="shared" si="49"/>
        <v>0.00241452238279873</v>
      </c>
      <c r="W165" s="22">
        <f t="shared" si="50"/>
        <v>0.00245793841549136</v>
      </c>
      <c r="X165" s="22">
        <f t="shared" si="51"/>
        <v>0.0033112582781457</v>
      </c>
      <c r="Y165" s="22">
        <f t="shared" si="52"/>
        <v>0.00346033682271375</v>
      </c>
      <c r="Z165">
        <f>SUMIF('库存（子SKU）'!$C:$C,$A165,'库存（子SKU）'!AB:AB)</f>
        <v>45.35</v>
      </c>
      <c r="AA165">
        <f>SUMIF('库存（子SKU）'!$C:$C,$A165,'库存（子SKU）'!AC:AC)</f>
        <v>91.55</v>
      </c>
      <c r="AB165">
        <f>SUMIF('库存（子SKU）'!$C:$C,$A165,'库存（子SKU）'!AD:AD)</f>
        <v>22.79</v>
      </c>
      <c r="AC165">
        <f>SUMIF('库存（子SKU）'!$C:$C,$A165,'库存（子SKU）'!AE:AE)</f>
        <v>132.42</v>
      </c>
      <c r="AD165" s="22">
        <f t="shared" si="37"/>
        <v>0.125366285177199</v>
      </c>
      <c r="AE165" s="22">
        <f t="shared" si="38"/>
        <v>0.164503510808869</v>
      </c>
      <c r="AF165" s="22">
        <f t="shared" si="39"/>
        <v>0.0468007803552671</v>
      </c>
      <c r="AG165" s="22">
        <f t="shared" si="40"/>
        <v>0.139965656191155</v>
      </c>
      <c r="AH165">
        <f>SUMIF('库存（子SKU）'!$C:$C,$A165,'库存（子SKU）'!AJ:AJ)</f>
        <v>325</v>
      </c>
      <c r="AI165">
        <f>SUMIF('库存（子SKU）'!$C:$C,$A165,'库存（子SKU）'!AK:AK)</f>
        <v>460</v>
      </c>
      <c r="AJ165">
        <f>SUMIF('库存（子SKU）'!$C:$C,$A165,'库存（子SKU）'!AL:AL)</f>
        <v>230</v>
      </c>
      <c r="AK165">
        <f>SUMIF('库存（子SKU）'!$C:$C,$A165,'库存（子SKU）'!AM:AM)</f>
        <v>426</v>
      </c>
      <c r="AL165" s="22">
        <f t="shared" si="41"/>
        <v>0.08</v>
      </c>
      <c r="AM165" s="22">
        <f t="shared" si="42"/>
        <v>0.0869565217391304</v>
      </c>
      <c r="AN165" s="22">
        <f t="shared" si="43"/>
        <v>0.152173913043478</v>
      </c>
      <c r="AO165" s="22">
        <f t="shared" si="44"/>
        <v>0.15962441314554</v>
      </c>
      <c r="AP165" s="7">
        <f t="shared" si="45"/>
        <v>3.71428571428571</v>
      </c>
      <c r="AQ165" s="7">
        <f t="shared" si="46"/>
        <v>222.857142857143</v>
      </c>
      <c r="AR165" s="7">
        <f t="shared" si="47"/>
        <v>206.142857142857</v>
      </c>
      <c r="AS165">
        <f t="shared" si="48"/>
        <v>115</v>
      </c>
      <c r="AT165" s="2">
        <f>IFERROR(时间!$B$4+AS165,"上周无销量")</f>
        <v>43433</v>
      </c>
    </row>
    <row r="166" spans="1:46">
      <c r="A166" t="s">
        <v>1941</v>
      </c>
      <c r="B166" s="5">
        <f>SUMIF('库存（子SKU）'!$C:$C,$A166,'库存（子SKU）'!D:D)</f>
        <v>21</v>
      </c>
      <c r="C166" s="5">
        <f>SUMIF('库存（子SKU）'!$C:$C,$A166,'库存（子SKU）'!E:E)</f>
        <v>25</v>
      </c>
      <c r="D166" s="5">
        <f>SUMIF('库存（子SKU）'!$C:$C,$A166,'库存（子SKU）'!F:F)</f>
        <v>12</v>
      </c>
      <c r="E166" s="5">
        <f>SUMIF('库存（子SKU）'!$C:$C,$A166,'库存（子SKU）'!G:G)</f>
        <v>21</v>
      </c>
      <c r="F166" s="6">
        <v>13.8129113924051</v>
      </c>
      <c r="G166">
        <f>SUMIF('库存（子SKU）'!$C:$C,$A166,'库存（子SKU）'!I:I)</f>
        <v>372</v>
      </c>
      <c r="H166">
        <f>SUMIF('库存（子SKU）'!$C:$C,$A166,'库存（子SKU）'!J:J)</f>
        <v>0</v>
      </c>
      <c r="I166">
        <f>SUMIF('库存（子SKU）'!$C:$C,$A166,'库存（子SKU）'!K:K)</f>
        <v>33</v>
      </c>
      <c r="J166">
        <f>SUMIF('库存（子SKU）'!$C:$C,$A166,'库存（子SKU）'!L:L)</f>
        <v>1</v>
      </c>
      <c r="K166">
        <f t="shared" si="36"/>
        <v>406</v>
      </c>
      <c r="L166">
        <f>SUMIF('库存（子SKU）'!$C:$C,$A166,'库存（子SKU）'!N:N)</f>
        <v>3</v>
      </c>
      <c r="M166">
        <f>SUMIF('库存（子SKU）'!$C:$C,$A166,'库存（子SKU）'!O:O)</f>
        <v>0</v>
      </c>
      <c r="N166">
        <f>SUMIF('库存（子SKU）'!$C:$C,$A166,'库存（子SKU）'!P:P)</f>
        <v>54438</v>
      </c>
      <c r="O166">
        <f>SUMIF('库存（子SKU）'!$C:$C,$A166,'库存（子SKU）'!Q:Q)</f>
        <v>21769</v>
      </c>
      <c r="P166">
        <f>SUMIF('库存（子SKU）'!$C:$C,$A166,'库存（子SKU）'!R:R)</f>
        <v>6782</v>
      </c>
      <c r="Q166">
        <f>SUMIF('库存（子SKU）'!$C:$C,$A166,'库存（子SKU）'!S:S)</f>
        <v>363</v>
      </c>
      <c r="R166">
        <f>SUMIF('库存（子SKU）'!$C:$C,$A166,'库存（子SKU）'!T:T)</f>
        <v>233</v>
      </c>
      <c r="S166">
        <f>SUMIF('库存（子SKU）'!$C:$C,$A166,'库存（子SKU）'!U:U)</f>
        <v>104</v>
      </c>
      <c r="T166">
        <f>SUMIF('库存（子SKU）'!$C:$C,$A166,'库存（子SKU）'!V:V)</f>
        <v>70</v>
      </c>
      <c r="U166">
        <f>SUMIF('库存（子SKU）'!$C:$C,$A166,'库存（子SKU）'!W:W)</f>
        <v>8</v>
      </c>
      <c r="V166" s="22">
        <f t="shared" si="49"/>
        <v>0.00428009846063412</v>
      </c>
      <c r="W166" s="22">
        <f t="shared" si="50"/>
        <v>0.00477743580320639</v>
      </c>
      <c r="X166" s="22">
        <f t="shared" si="51"/>
        <v>0.0103214391035093</v>
      </c>
      <c r="Y166" s="22">
        <f t="shared" si="52"/>
        <v>0.0220385674931129</v>
      </c>
      <c r="Z166">
        <f>SUMIF('库存（子SKU）'!$C:$C,$A166,'库存（子SKU）'!AB:AB)</f>
        <v>63.77</v>
      </c>
      <c r="AA166">
        <f>SUMIF('库存（子SKU）'!$C:$C,$A166,'库存（子SKU）'!AC:AC)</f>
        <v>29.38</v>
      </c>
      <c r="AB166">
        <f>SUMIF('库存（子SKU）'!$C:$C,$A166,'库存（子SKU）'!AD:AD)</f>
        <v>23.56</v>
      </c>
      <c r="AC166">
        <f>SUMIF('库存（子SKU）'!$C:$C,$A166,'库存（子SKU）'!AE:AE)</f>
        <v>2.11</v>
      </c>
      <c r="AD166" s="22">
        <f t="shared" si="37"/>
        <v>0.219842622630328</v>
      </c>
      <c r="AE166" s="22">
        <f t="shared" si="38"/>
        <v>0.0850798189182747</v>
      </c>
      <c r="AF166" s="22">
        <f t="shared" si="39"/>
        <v>0.142137546354844</v>
      </c>
      <c r="AG166" s="22">
        <f t="shared" si="40"/>
        <v>0.00727407768151154</v>
      </c>
      <c r="AH166">
        <f>SUMIF('库存（子SKU）'!$C:$C,$A166,'库存（子SKU）'!AJ:AJ)</f>
        <v>356</v>
      </c>
      <c r="AI166">
        <f>SUMIF('库存（子SKU）'!$C:$C,$A166,'库存（子SKU）'!AK:AK)</f>
        <v>224</v>
      </c>
      <c r="AJ166">
        <f>SUMIF('库存（子SKU）'!$C:$C,$A166,'库存（子SKU）'!AL:AL)</f>
        <v>148</v>
      </c>
      <c r="AK166">
        <f>SUMIF('库存（子SKU）'!$C:$C,$A166,'库存（子SKU）'!AM:AM)</f>
        <v>93</v>
      </c>
      <c r="AL166" s="22">
        <f t="shared" si="41"/>
        <v>0.0589887640449438</v>
      </c>
      <c r="AM166" s="22">
        <f t="shared" si="42"/>
        <v>0.111607142857143</v>
      </c>
      <c r="AN166" s="22">
        <f t="shared" si="43"/>
        <v>0.0810810810810811</v>
      </c>
      <c r="AO166" s="22">
        <f t="shared" si="44"/>
        <v>0.225806451612903</v>
      </c>
      <c r="AP166" s="7">
        <f t="shared" si="45"/>
        <v>3</v>
      </c>
      <c r="AQ166" s="7">
        <f t="shared" si="46"/>
        <v>180</v>
      </c>
      <c r="AR166" s="7">
        <f t="shared" si="47"/>
        <v>226</v>
      </c>
      <c r="AS166">
        <f t="shared" si="48"/>
        <v>135</v>
      </c>
      <c r="AT166" s="2">
        <f>IFERROR(时间!$B$4+AS166,"上周无销量")</f>
        <v>43453</v>
      </c>
    </row>
    <row r="167" spans="1:46">
      <c r="A167" t="s">
        <v>1981</v>
      </c>
      <c r="B167" s="5">
        <f>SUMIF('库存（子SKU）'!$C:$C,$A167,'库存（子SKU）'!D:D)</f>
        <v>4</v>
      </c>
      <c r="C167" s="5">
        <f>SUMIF('库存（子SKU）'!$C:$C,$A167,'库存（子SKU）'!E:E)</f>
        <v>12</v>
      </c>
      <c r="D167" s="5">
        <f>SUMIF('库存（子SKU）'!$C:$C,$A167,'库存（子SKU）'!F:F)</f>
        <v>2</v>
      </c>
      <c r="E167" s="5">
        <f>SUMIF('库存（子SKU）'!$C:$C,$A167,'库存（子SKU）'!G:G)</f>
        <v>5</v>
      </c>
      <c r="F167" s="6">
        <v>10.99</v>
      </c>
      <c r="G167">
        <f>SUMIF('库存（子SKU）'!$C:$C,$A167,'库存（子SKU）'!I:I)</f>
        <v>52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52</v>
      </c>
      <c r="L167">
        <f>SUMIF('库存（子SKU）'!$C:$C,$A167,'库存（子SKU）'!N:N)</f>
        <v>1</v>
      </c>
      <c r="M167">
        <f>SUMIF('库存（子SKU）'!$C:$C,$A167,'库存（子SKU）'!O:O)</f>
        <v>0</v>
      </c>
      <c r="N167">
        <f>SUMIF('库存（子SKU）'!$C:$C,$A167,'库存（子SKU）'!P:P)</f>
        <v>10713</v>
      </c>
      <c r="O167">
        <f>SUMIF('库存（子SKU）'!$C:$C,$A167,'库存（子SKU）'!Q:Q)</f>
        <v>54235</v>
      </c>
      <c r="P167">
        <f>SUMIF('库存（子SKU）'!$C:$C,$A167,'库存（子SKU）'!R:R)</f>
        <v>74488</v>
      </c>
      <c r="Q167">
        <f>SUMIF('库存（子SKU）'!$C:$C,$A167,'库存（子SKU）'!S:S)</f>
        <v>20381</v>
      </c>
      <c r="R167">
        <f>SUMIF('库存（子SKU）'!$C:$C,$A167,'库存（子SKU）'!T:T)</f>
        <v>56</v>
      </c>
      <c r="S167">
        <f>SUMIF('库存（子SKU）'!$C:$C,$A167,'库存（子SKU）'!U:U)</f>
        <v>178</v>
      </c>
      <c r="T167">
        <f>SUMIF('库存（子SKU）'!$C:$C,$A167,'库存（子SKU）'!V:V)</f>
        <v>205</v>
      </c>
      <c r="U167">
        <f>SUMIF('库存（子SKU）'!$C:$C,$A167,'库存（子SKU）'!W:W)</f>
        <v>88</v>
      </c>
      <c r="V167" s="22">
        <f t="shared" si="49"/>
        <v>0.0052272939419397</v>
      </c>
      <c r="W167" s="22">
        <f t="shared" si="50"/>
        <v>0.00328201345994284</v>
      </c>
      <c r="X167" s="22">
        <f t="shared" si="51"/>
        <v>0.00275212114703039</v>
      </c>
      <c r="Y167" s="22">
        <f t="shared" si="52"/>
        <v>0.00431774692115205</v>
      </c>
      <c r="Z167">
        <f>SUMIF('库存（子SKU）'!$C:$C,$A167,'库存（子SKU）'!AB:AB)</f>
        <v>29.92</v>
      </c>
      <c r="AA167">
        <f>SUMIF('库存（子SKU）'!$C:$C,$A167,'库存（子SKU）'!AC:AC)</f>
        <v>93.75</v>
      </c>
      <c r="AB167">
        <f>SUMIF('库存（子SKU）'!$C:$C,$A167,'库存（子SKU）'!AD:AD)</f>
        <v>99.02</v>
      </c>
      <c r="AC167">
        <f>SUMIF('库存（子SKU）'!$C:$C,$A167,'库存（子SKU）'!AE:AE)</f>
        <v>41.11</v>
      </c>
      <c r="AD167" s="22">
        <f t="shared" si="37"/>
        <v>0.680618744313012</v>
      </c>
      <c r="AE167" s="22">
        <f t="shared" si="38"/>
        <v>0.710873521383076</v>
      </c>
      <c r="AF167" s="22">
        <f t="shared" si="39"/>
        <v>4.50500454959054</v>
      </c>
      <c r="AG167" s="22">
        <f t="shared" si="40"/>
        <v>0.748134667879891</v>
      </c>
      <c r="AH167">
        <f>SUMIF('库存（子SKU）'!$C:$C,$A167,'库存（子SKU）'!AJ:AJ)</f>
        <v>72</v>
      </c>
      <c r="AI167">
        <f>SUMIF('库存（子SKU）'!$C:$C,$A167,'库存（子SKU）'!AK:AK)</f>
        <v>116</v>
      </c>
      <c r="AJ167">
        <f>SUMIF('库存（子SKU）'!$C:$C,$A167,'库存（子SKU）'!AL:AL)</f>
        <v>136</v>
      </c>
      <c r="AK167">
        <f>SUMIF('库存（子SKU）'!$C:$C,$A167,'库存（子SKU）'!AM:AM)</f>
        <v>94</v>
      </c>
      <c r="AL167" s="22">
        <f t="shared" si="41"/>
        <v>0.0555555555555556</v>
      </c>
      <c r="AM167" s="22">
        <f t="shared" si="42"/>
        <v>0.103448275862069</v>
      </c>
      <c r="AN167" s="22">
        <f t="shared" si="43"/>
        <v>0.0147058823529412</v>
      </c>
      <c r="AO167" s="22">
        <f t="shared" si="44"/>
        <v>0.0531914893617021</v>
      </c>
      <c r="AP167" s="7">
        <f t="shared" si="45"/>
        <v>0.571428571428571</v>
      </c>
      <c r="AQ167" s="7">
        <f t="shared" si="46"/>
        <v>34.2857142857143</v>
      </c>
      <c r="AR167" s="7">
        <f t="shared" si="47"/>
        <v>17.7142857142857</v>
      </c>
      <c r="AS167">
        <f t="shared" si="48"/>
        <v>91</v>
      </c>
      <c r="AT167" s="2">
        <f>IFERROR(时间!$B$4+AS167,"上周无销量")</f>
        <v>43409</v>
      </c>
    </row>
    <row r="168" spans="1:46">
      <c r="A168" t="s">
        <v>2001</v>
      </c>
      <c r="B168" s="5">
        <f>SUMIF('库存（子SKU）'!$C:$C,$A168,'库存（子SKU）'!D:D)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6" t="s">
        <v>53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 t="str">
        <f t="shared" si="37"/>
        <v/>
      </c>
      <c r="AE168" s="22" t="str">
        <f t="shared" si="38"/>
        <v/>
      </c>
      <c r="AF168" s="22" t="str">
        <f t="shared" si="39"/>
        <v/>
      </c>
      <c r="AG168" s="22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2" t="str">
        <f t="shared" si="41"/>
        <v/>
      </c>
      <c r="AM168" s="22" t="str">
        <f t="shared" si="42"/>
        <v/>
      </c>
      <c r="AN168" s="22" t="str">
        <f t="shared" si="43"/>
        <v/>
      </c>
      <c r="AO168" s="22" t="str">
        <f t="shared" si="44"/>
        <v/>
      </c>
      <c r="AP168" s="7">
        <f t="shared" si="45"/>
        <v>0</v>
      </c>
      <c r="AQ168" s="7">
        <f t="shared" si="46"/>
        <v>0</v>
      </c>
      <c r="AR168" s="7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2011</v>
      </c>
      <c r="B169" s="5">
        <f>SUMIF('库存（子SKU）'!$C:$C,$A169,'库存（子SKU）'!D:D)</f>
        <v>12</v>
      </c>
      <c r="C169" s="5">
        <f>SUMIF('库存（子SKU）'!$C:$C,$A169,'库存（子SKU）'!E:E)</f>
        <v>19</v>
      </c>
      <c r="D169" s="5">
        <f>SUMIF('库存（子SKU）'!$C:$C,$A169,'库存（子SKU）'!F:F)</f>
        <v>39</v>
      </c>
      <c r="E169" s="5">
        <f>SUMIF('库存（子SKU）'!$C:$C,$A169,'库存（子SKU）'!G:G)</f>
        <v>34</v>
      </c>
      <c r="F169" s="6" t="s">
        <v>53</v>
      </c>
      <c r="G169">
        <f>SUMIF('库存（子SKU）'!$C:$C,$A169,'库存（子SKU）'!I:I)</f>
        <v>236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1</v>
      </c>
      <c r="K169">
        <f t="shared" si="36"/>
        <v>237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1</v>
      </c>
      <c r="P169">
        <f>SUMIF('库存（子SKU）'!$C:$C,$A169,'库存（子SKU）'!R:R)</f>
        <v>237</v>
      </c>
      <c r="Q169">
        <f>SUMIF('库存（子SKU）'!$C:$C,$A169,'库存（子SKU）'!S:S)</f>
        <v>254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3</v>
      </c>
      <c r="U169">
        <f>SUMIF('库存（子SKU）'!$C:$C,$A169,'库存（子SKU）'!W:W)</f>
        <v>5</v>
      </c>
      <c r="V169" s="22" t="str">
        <f t="shared" si="49"/>
        <v/>
      </c>
      <c r="W169" s="22">
        <f t="shared" si="50"/>
        <v>0</v>
      </c>
      <c r="X169" s="22">
        <f t="shared" si="51"/>
        <v>0.0126582278481013</v>
      </c>
      <c r="Y169" s="22">
        <f t="shared" si="52"/>
        <v>0.0196850393700787</v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0.42</v>
      </c>
      <c r="AC169">
        <f>SUMIF('库存（子SKU）'!$C:$C,$A169,'库存（子SKU）'!AE:AE)</f>
        <v>0.95</v>
      </c>
      <c r="AD169" s="22" t="str">
        <f t="shared" si="37"/>
        <v/>
      </c>
      <c r="AE169" s="22" t="str">
        <f t="shared" si="38"/>
        <v/>
      </c>
      <c r="AF169" s="22" t="str">
        <f t="shared" si="39"/>
        <v/>
      </c>
      <c r="AG169" s="22" t="str">
        <f t="shared" si="40"/>
        <v/>
      </c>
      <c r="AH169">
        <f>SUMIF('库存（子SKU）'!$C:$C,$A169,'库存（子SKU）'!AJ:AJ)</f>
        <v>465</v>
      </c>
      <c r="AI169">
        <f>SUMIF('库存（子SKU）'!$C:$C,$A169,'库存（子SKU）'!AK:AK)</f>
        <v>118</v>
      </c>
      <c r="AJ169">
        <f>SUMIF('库存（子SKU）'!$C:$C,$A169,'库存（子SKU）'!AL:AL)</f>
        <v>557</v>
      </c>
      <c r="AK169">
        <f>SUMIF('库存（子SKU）'!$C:$C,$A169,'库存（子SKU）'!AM:AM)</f>
        <v>514</v>
      </c>
      <c r="AL169" s="22">
        <f t="shared" si="41"/>
        <v>0.0258064516129032</v>
      </c>
      <c r="AM169" s="22">
        <f t="shared" si="42"/>
        <v>0.161016949152542</v>
      </c>
      <c r="AN169" s="22">
        <f t="shared" si="43"/>
        <v>0.0700179533213645</v>
      </c>
      <c r="AO169" s="22">
        <f t="shared" si="44"/>
        <v>0.066147859922179</v>
      </c>
      <c r="AP169" s="7">
        <f t="shared" si="45"/>
        <v>1.71428571428571</v>
      </c>
      <c r="AQ169" s="7">
        <f t="shared" si="46"/>
        <v>102.857142857143</v>
      </c>
      <c r="AR169" s="7">
        <f t="shared" si="47"/>
        <v>134.142857142857</v>
      </c>
      <c r="AS169">
        <f t="shared" si="48"/>
        <v>138</v>
      </c>
      <c r="AT169" s="2">
        <f>IFERROR(时间!$B$4+AS169,"上周无销量")</f>
        <v>43456</v>
      </c>
    </row>
    <row r="170" spans="1:46">
      <c r="A170" t="s">
        <v>2018</v>
      </c>
      <c r="B170" s="5">
        <f>SUMIF('库存（子SKU）'!$C:$C,$A170,'库存（子SKU）'!D:D)</f>
        <v>69</v>
      </c>
      <c r="C170" s="5">
        <f>SUMIF('库存（子SKU）'!$C:$C,$A170,'库存（子SKU）'!E:E)</f>
        <v>62</v>
      </c>
      <c r="D170" s="5">
        <f>SUMIF('库存（子SKU）'!$C:$C,$A170,'库存（子SKU）'!F:F)</f>
        <v>61</v>
      </c>
      <c r="E170" s="5">
        <f>SUMIF('库存（子SKU）'!$C:$C,$A170,'库存（子SKU）'!G:G)</f>
        <v>12</v>
      </c>
      <c r="F170" s="6" t="s">
        <v>53</v>
      </c>
      <c r="G170">
        <f>SUMIF('库存（子SKU）'!$C:$C,$A170,'库存（子SKU）'!I:I)</f>
        <v>138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7</v>
      </c>
      <c r="K170">
        <f t="shared" si="36"/>
        <v>145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2" t="str">
        <f t="shared" si="49"/>
        <v/>
      </c>
      <c r="W170" s="22" t="str">
        <f t="shared" si="50"/>
        <v/>
      </c>
      <c r="X170" s="22" t="str">
        <f t="shared" si="51"/>
        <v/>
      </c>
      <c r="Y170" s="22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2" t="str">
        <f t="shared" si="37"/>
        <v/>
      </c>
      <c r="AE170" s="22" t="str">
        <f t="shared" si="38"/>
        <v/>
      </c>
      <c r="AF170" s="22" t="str">
        <f t="shared" si="39"/>
        <v/>
      </c>
      <c r="AG170" s="22" t="str">
        <f t="shared" si="40"/>
        <v/>
      </c>
      <c r="AH170">
        <f>SUMIF('库存（子SKU）'!$C:$C,$A170,'库存（子SKU）'!AJ:AJ)</f>
        <v>1652</v>
      </c>
      <c r="AI170">
        <f>SUMIF('库存（子SKU）'!$C:$C,$A170,'库存（子SKU）'!AK:AK)</f>
        <v>994</v>
      </c>
      <c r="AJ170">
        <f>SUMIF('库存（子SKU）'!$C:$C,$A170,'库存（子SKU）'!AL:AL)</f>
        <v>370</v>
      </c>
      <c r="AK170">
        <f>SUMIF('库存（子SKU）'!$C:$C,$A170,'库存（子SKU）'!AM:AM)</f>
        <v>398</v>
      </c>
      <c r="AL170" s="22">
        <f t="shared" si="41"/>
        <v>0.0417675544794189</v>
      </c>
      <c r="AM170" s="22">
        <f t="shared" si="42"/>
        <v>0.062374245472837</v>
      </c>
      <c r="AN170" s="22">
        <f t="shared" si="43"/>
        <v>0.164864864864865</v>
      </c>
      <c r="AO170" s="22">
        <f t="shared" si="44"/>
        <v>0.0301507537688442</v>
      </c>
      <c r="AP170" s="7">
        <f t="shared" si="45"/>
        <v>9.85714285714286</v>
      </c>
      <c r="AQ170" s="7">
        <f t="shared" si="46"/>
        <v>591.428571428571</v>
      </c>
      <c r="AR170" s="7">
        <f t="shared" si="47"/>
        <v>-446.428571428571</v>
      </c>
      <c r="AS170">
        <f t="shared" si="48"/>
        <v>14</v>
      </c>
      <c r="AT170" s="2">
        <f>IFERROR(时间!$B$4+AS170,"上周无销量")</f>
        <v>43332</v>
      </c>
    </row>
    <row r="171" spans="1:46">
      <c r="A171" t="s">
        <v>2023</v>
      </c>
      <c r="B171" s="5">
        <f>SUMIF('库存（子SKU）'!$C:$C,$A171,'库存（子SKU）'!D:D)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6" t="s">
        <v>53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2" t="str">
        <f t="shared" si="49"/>
        <v/>
      </c>
      <c r="W171" s="22" t="str">
        <f t="shared" si="50"/>
        <v/>
      </c>
      <c r="X171" s="22" t="str">
        <f t="shared" si="51"/>
        <v/>
      </c>
      <c r="Y171" s="22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2" t="str">
        <f t="shared" si="37"/>
        <v/>
      </c>
      <c r="AE171" s="22" t="str">
        <f t="shared" si="38"/>
        <v/>
      </c>
      <c r="AF171" s="22" t="str">
        <f t="shared" si="39"/>
        <v/>
      </c>
      <c r="AG171" s="22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2" t="str">
        <f t="shared" si="41"/>
        <v/>
      </c>
      <c r="AM171" s="22" t="str">
        <f t="shared" si="42"/>
        <v/>
      </c>
      <c r="AN171" s="22" t="str">
        <f t="shared" si="43"/>
        <v/>
      </c>
      <c r="AO171" s="22" t="str">
        <f t="shared" si="44"/>
        <v/>
      </c>
      <c r="AP171" s="7">
        <f t="shared" si="45"/>
        <v>0</v>
      </c>
      <c r="AQ171" s="7">
        <f t="shared" si="46"/>
        <v>0</v>
      </c>
      <c r="AR171" s="7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2032</v>
      </c>
      <c r="B172" s="5">
        <f>SUMIF('库存（子SKU）'!$C:$C,$A172,'库存（子SKU）'!D:D)</f>
        <v>9</v>
      </c>
      <c r="C172" s="5">
        <f>SUMIF('库存（子SKU）'!$C:$C,$A172,'库存（子SKU）'!E:E)</f>
        <v>13</v>
      </c>
      <c r="D172" s="5">
        <f>SUMIF('库存（子SKU）'!$C:$C,$A172,'库存（子SKU）'!F:F)</f>
        <v>39</v>
      </c>
      <c r="E172" s="5">
        <f>SUMIF('库存（子SKU）'!$C:$C,$A172,'库存（子SKU）'!G:G)</f>
        <v>13</v>
      </c>
      <c r="F172" s="6">
        <v>12.99</v>
      </c>
      <c r="G172">
        <f>SUMIF('库存（子SKU）'!$C:$C,$A172,'库存（子SKU）'!I:I)</f>
        <v>199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12</v>
      </c>
      <c r="K172">
        <f t="shared" si="36"/>
        <v>211</v>
      </c>
      <c r="L172">
        <f>SUMIF('库存（子SKU）'!$C:$C,$A172,'库存（子SKU）'!N:N)</f>
        <v>2</v>
      </c>
      <c r="M172">
        <f>SUMIF('库存（子SKU）'!$C:$C,$A172,'库存（子SKU）'!O:O)</f>
        <v>0</v>
      </c>
      <c r="N172">
        <f>SUMIF('库存（子SKU）'!$C:$C,$A172,'库存（子SKU）'!P:P)</f>
        <v>24104</v>
      </c>
      <c r="O172">
        <f>SUMIF('库存（子SKU）'!$C:$C,$A172,'库存（子SKU）'!Q:Q)</f>
        <v>2203</v>
      </c>
      <c r="P172">
        <f>SUMIF('库存（子SKU）'!$C:$C,$A172,'库存（子SKU）'!R:R)</f>
        <v>2830</v>
      </c>
      <c r="Q172">
        <f>SUMIF('库存（子SKU）'!$C:$C,$A172,'库存（子SKU）'!S:S)</f>
        <v>19388</v>
      </c>
      <c r="R172">
        <f>SUMIF('库存（子SKU）'!$C:$C,$A172,'库存（子SKU）'!T:T)</f>
        <v>70</v>
      </c>
      <c r="S172">
        <f>SUMIF('库存（子SKU）'!$C:$C,$A172,'库存（子SKU）'!U:U)</f>
        <v>8</v>
      </c>
      <c r="T172">
        <f>SUMIF('库存（子SKU）'!$C:$C,$A172,'库存（子SKU）'!V:V)</f>
        <v>21</v>
      </c>
      <c r="U172">
        <f>SUMIF('库存（子SKU）'!$C:$C,$A172,'库存（子SKU）'!W:W)</f>
        <v>72</v>
      </c>
      <c r="V172" s="22">
        <f t="shared" si="49"/>
        <v>0.00290408230999004</v>
      </c>
      <c r="W172" s="22">
        <f t="shared" si="50"/>
        <v>0.00363141171130277</v>
      </c>
      <c r="X172" s="22">
        <f t="shared" si="51"/>
        <v>0.00742049469964664</v>
      </c>
      <c r="Y172" s="22">
        <f t="shared" si="52"/>
        <v>0.00371363730142356</v>
      </c>
      <c r="Z172">
        <f>SUMIF('库存（子SKU）'!$C:$C,$A172,'库存（子SKU）'!AB:AB)</f>
        <v>32.27</v>
      </c>
      <c r="AA172">
        <f>SUMIF('库存（子SKU）'!$C:$C,$A172,'库存（子SKU）'!AC:AC)</f>
        <v>3.25</v>
      </c>
      <c r="AB172">
        <f>SUMIF('库存（子SKU）'!$C:$C,$A172,'库存（子SKU）'!AD:AD)</f>
        <v>10.7</v>
      </c>
      <c r="AC172">
        <f>SUMIF('库存（子SKU）'!$C:$C,$A172,'库存（子SKU）'!AE:AE)</f>
        <v>34.17</v>
      </c>
      <c r="AD172" s="22">
        <f t="shared" si="37"/>
        <v>0.276024292190574</v>
      </c>
      <c r="AE172" s="22">
        <f t="shared" si="38"/>
        <v>0.0192455735180908</v>
      </c>
      <c r="AF172" s="22">
        <f t="shared" si="39"/>
        <v>0.0211207832454946</v>
      </c>
      <c r="AG172" s="22">
        <f t="shared" si="40"/>
        <v>0.202344999111743</v>
      </c>
      <c r="AH172">
        <f>SUMIF('库存（子SKU）'!$C:$C,$A172,'库存（子SKU）'!AJ:AJ)</f>
        <v>85</v>
      </c>
      <c r="AI172">
        <f>SUMIF('库存（子SKU）'!$C:$C,$A172,'库存（子SKU）'!AK:AK)</f>
        <v>71</v>
      </c>
      <c r="AJ172">
        <f>SUMIF('库存（子SKU）'!$C:$C,$A172,'库存（子SKU）'!AL:AL)</f>
        <v>114</v>
      </c>
      <c r="AK172">
        <f>SUMIF('库存（子SKU）'!$C:$C,$A172,'库存（子SKU）'!AM:AM)</f>
        <v>96</v>
      </c>
      <c r="AL172" s="22">
        <f t="shared" si="41"/>
        <v>0.105882352941176</v>
      </c>
      <c r="AM172" s="22">
        <f t="shared" si="42"/>
        <v>0.183098591549296</v>
      </c>
      <c r="AN172" s="22">
        <f t="shared" si="43"/>
        <v>0.342105263157895</v>
      </c>
      <c r="AO172" s="22">
        <f t="shared" si="44"/>
        <v>0.135416666666667</v>
      </c>
      <c r="AP172" s="7">
        <f t="shared" si="45"/>
        <v>1.28571428571429</v>
      </c>
      <c r="AQ172" s="7">
        <f t="shared" si="46"/>
        <v>77.1428571428572</v>
      </c>
      <c r="AR172" s="7">
        <f t="shared" si="47"/>
        <v>133.857142857143</v>
      </c>
      <c r="AS172">
        <f t="shared" si="48"/>
        <v>164</v>
      </c>
      <c r="AT172" s="2">
        <f>IFERROR(时间!$B$4+AS172,"上周无销量")</f>
        <v>43482</v>
      </c>
    </row>
    <row r="173" spans="1:46">
      <c r="A173" t="s">
        <v>2045</v>
      </c>
      <c r="B173" s="5">
        <f>SUMIF('库存（子SKU）'!$C:$C,$A173,'库存（子SKU）'!D:D)</f>
        <v>99</v>
      </c>
      <c r="C173" s="5">
        <f>SUMIF('库存（子SKU）'!$C:$C,$A173,'库存（子SKU）'!E:E)</f>
        <v>82</v>
      </c>
      <c r="D173" s="5">
        <f>SUMIF('库存（子SKU）'!$C:$C,$A173,'库存（子SKU）'!F:F)</f>
        <v>79</v>
      </c>
      <c r="E173" s="5">
        <f>SUMIF('库存（子SKU）'!$C:$C,$A173,'库存（子SKU）'!G:G)</f>
        <v>59</v>
      </c>
      <c r="F173" s="6">
        <v>22.6836990595612</v>
      </c>
      <c r="G173">
        <f>SUMIF('库存（子SKU）'!$C:$C,$A173,'库存（子SKU）'!I:I)</f>
        <v>508</v>
      </c>
      <c r="H173">
        <f>SUMIF('库存（子SKU）'!$C:$C,$A173,'库存（子SKU）'!J:J)</f>
        <v>55</v>
      </c>
      <c r="I173">
        <f>SUMIF('库存（子SKU）'!$C:$C,$A173,'库存（子SKU）'!K:K)</f>
        <v>0</v>
      </c>
      <c r="J173">
        <f>SUMIF('库存（子SKU）'!$C:$C,$A173,'库存（子SKU）'!L:L)</f>
        <v>7</v>
      </c>
      <c r="K173">
        <f t="shared" si="36"/>
        <v>570</v>
      </c>
      <c r="L173">
        <f>SUMIF('库存（子SKU）'!$C:$C,$A173,'库存（子SKU）'!N:N)</f>
        <v>6</v>
      </c>
      <c r="M173">
        <f>SUMIF('库存（子SKU）'!$C:$C,$A173,'库存（子SKU）'!O:O)</f>
        <v>0</v>
      </c>
      <c r="N173">
        <f>SUMIF('库存（子SKU）'!$C:$C,$A173,'库存（子SKU）'!P:P)</f>
        <v>67458</v>
      </c>
      <c r="O173">
        <f>SUMIF('库存（子SKU）'!$C:$C,$A173,'库存（子SKU）'!Q:Q)</f>
        <v>52921</v>
      </c>
      <c r="P173">
        <f>SUMIF('库存（子SKU）'!$C:$C,$A173,'库存（子SKU）'!R:R)</f>
        <v>114935</v>
      </c>
      <c r="Q173">
        <f>SUMIF('库存（子SKU）'!$C:$C,$A173,'库存（子SKU）'!S:S)</f>
        <v>56942</v>
      </c>
      <c r="R173">
        <f>SUMIF('库存（子SKU）'!$C:$C,$A173,'库存（子SKU）'!T:T)</f>
        <v>146</v>
      </c>
      <c r="S173">
        <f>SUMIF('库存（子SKU）'!$C:$C,$A173,'库存（子SKU）'!U:U)</f>
        <v>167</v>
      </c>
      <c r="T173">
        <f>SUMIF('库存（子SKU）'!$C:$C,$A173,'库存（子SKU）'!V:V)</f>
        <v>229</v>
      </c>
      <c r="U173">
        <f>SUMIF('库存（子SKU）'!$C:$C,$A173,'库存（子SKU）'!W:W)</f>
        <v>150</v>
      </c>
      <c r="V173" s="22">
        <f t="shared" si="49"/>
        <v>0.00216430964451955</v>
      </c>
      <c r="W173" s="22">
        <f t="shared" si="50"/>
        <v>0.00315564709661571</v>
      </c>
      <c r="X173" s="22">
        <f t="shared" si="51"/>
        <v>0.00199243050419802</v>
      </c>
      <c r="Y173" s="22">
        <f t="shared" si="52"/>
        <v>0.00263425942186787</v>
      </c>
      <c r="Z173">
        <f>SUMIF('库存（子SKU）'!$C:$C,$A173,'库存（子SKU）'!AB:AB)</f>
        <v>73.76</v>
      </c>
      <c r="AA173">
        <f>SUMIF('库存（子SKU）'!$C:$C,$A173,'库存（子SKU）'!AC:AC)</f>
        <v>86.77</v>
      </c>
      <c r="AB173">
        <f>SUMIF('库存（子SKU）'!$C:$C,$A173,'库存（子SKU）'!AD:AD)</f>
        <v>111.58</v>
      </c>
      <c r="AC173">
        <f>SUMIF('库存（子SKU）'!$C:$C,$A173,'库存（子SKU）'!AE:AE)</f>
        <v>66.64</v>
      </c>
      <c r="AD173" s="22">
        <f t="shared" si="37"/>
        <v>0.0328451943880143</v>
      </c>
      <c r="AE173" s="22">
        <f t="shared" si="38"/>
        <v>0.0466489494913881</v>
      </c>
      <c r="AF173" s="22">
        <f t="shared" si="39"/>
        <v>0.0622652002031304</v>
      </c>
      <c r="AG173" s="22">
        <f t="shared" si="40"/>
        <v>0.049793092495981</v>
      </c>
      <c r="AH173">
        <f>SUMIF('库存（子SKU）'!$C:$C,$A173,'库存（子SKU）'!AJ:AJ)</f>
        <v>1345</v>
      </c>
      <c r="AI173">
        <f>SUMIF('库存（子SKU）'!$C:$C,$A173,'库存（子SKU）'!AK:AK)</f>
        <v>1230</v>
      </c>
      <c r="AJ173">
        <f>SUMIF('库存（子SKU）'!$C:$C,$A173,'库存（子SKU）'!AL:AL)</f>
        <v>908</v>
      </c>
      <c r="AK173">
        <f>SUMIF('库存（子SKU）'!$C:$C,$A173,'库存（子SKU）'!AM:AM)</f>
        <v>927</v>
      </c>
      <c r="AL173" s="22">
        <f t="shared" si="41"/>
        <v>0.0736059479553903</v>
      </c>
      <c r="AM173" s="22">
        <f t="shared" si="42"/>
        <v>0.0666666666666667</v>
      </c>
      <c r="AN173" s="22">
        <f t="shared" si="43"/>
        <v>0.0870044052863436</v>
      </c>
      <c r="AO173" s="22">
        <f t="shared" si="44"/>
        <v>0.0636461704422869</v>
      </c>
      <c r="AP173" s="7">
        <f t="shared" si="45"/>
        <v>14.1428571428571</v>
      </c>
      <c r="AQ173" s="7">
        <f t="shared" si="46"/>
        <v>848.571428571429</v>
      </c>
      <c r="AR173" s="7">
        <f t="shared" si="47"/>
        <v>-278.571428571429</v>
      </c>
      <c r="AS173">
        <f t="shared" si="48"/>
        <v>40</v>
      </c>
      <c r="AT173" s="2">
        <f>IFERROR(时间!$B$4+AS173,"上周无销量")</f>
        <v>43358</v>
      </c>
    </row>
    <row r="174" spans="1:46">
      <c r="A174" t="s">
        <v>2056</v>
      </c>
      <c r="B174" s="5">
        <f>SUMIF('库存（子SKU）'!$C:$C,$A174,'库存（子SKU）'!D:D)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6" t="s">
        <v>53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 t="str">
        <f t="shared" si="37"/>
        <v/>
      </c>
      <c r="AE174" s="22" t="str">
        <f t="shared" si="38"/>
        <v/>
      </c>
      <c r="AF174" s="22" t="str">
        <f t="shared" si="39"/>
        <v/>
      </c>
      <c r="AG174" s="22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2" t="str">
        <f t="shared" si="41"/>
        <v/>
      </c>
      <c r="AM174" s="22" t="str">
        <f t="shared" si="42"/>
        <v/>
      </c>
      <c r="AN174" s="22" t="str">
        <f t="shared" si="43"/>
        <v/>
      </c>
      <c r="AO174" s="22" t="str">
        <f t="shared" si="44"/>
        <v/>
      </c>
      <c r="AP174" s="7">
        <f t="shared" si="45"/>
        <v>0</v>
      </c>
      <c r="AQ174" s="7">
        <f t="shared" si="46"/>
        <v>0</v>
      </c>
      <c r="AR174" s="7">
        <f t="shared" si="47"/>
        <v>0</v>
      </c>
      <c r="AS174" t="str">
        <f t="shared" si="48"/>
        <v>库存为0</v>
      </c>
      <c r="AT174" s="2" t="str">
        <f>IFERROR(时间!$B$4+AS174,"上周无销量")</f>
        <v>上周无销量</v>
      </c>
    </row>
    <row r="175" spans="1:46">
      <c r="A175" t="s">
        <v>2061</v>
      </c>
      <c r="B175" s="5">
        <f>SUMIF('库存（子SKU）'!$C:$C,$A175,'库存（子SKU）'!D:D)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6" t="s">
        <v>53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2" t="str">
        <f t="shared" si="49"/>
        <v/>
      </c>
      <c r="W175" s="22" t="str">
        <f t="shared" si="50"/>
        <v/>
      </c>
      <c r="X175" s="22" t="str">
        <f t="shared" si="51"/>
        <v/>
      </c>
      <c r="Y175" s="22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2" t="str">
        <f t="shared" si="37"/>
        <v/>
      </c>
      <c r="AE175" s="22" t="str">
        <f t="shared" si="38"/>
        <v/>
      </c>
      <c r="AF175" s="22" t="str">
        <f t="shared" si="39"/>
        <v/>
      </c>
      <c r="AG175" s="22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0</v>
      </c>
      <c r="AJ175">
        <f>SUMIF('库存（子SKU）'!$C:$C,$A175,'库存（子SKU）'!AL:AL)</f>
        <v>0</v>
      </c>
      <c r="AK175">
        <f>SUMIF('库存（子SKU）'!$C:$C,$A175,'库存（子SKU）'!AM:AM)</f>
        <v>0</v>
      </c>
      <c r="AL175" s="22" t="str">
        <f t="shared" si="41"/>
        <v/>
      </c>
      <c r="AM175" s="22" t="str">
        <f t="shared" si="42"/>
        <v/>
      </c>
      <c r="AN175" s="22" t="str">
        <f t="shared" si="43"/>
        <v/>
      </c>
      <c r="AO175" s="22" t="str">
        <f t="shared" si="44"/>
        <v/>
      </c>
      <c r="AP175" s="7">
        <f t="shared" si="45"/>
        <v>0</v>
      </c>
      <c r="AQ175" s="7">
        <f t="shared" si="46"/>
        <v>0</v>
      </c>
      <c r="AR175" s="7">
        <f t="shared" si="47"/>
        <v>0</v>
      </c>
      <c r="AS175" t="str">
        <f t="shared" si="48"/>
        <v>库存为0</v>
      </c>
      <c r="AT175" s="2" t="str">
        <f>IFERROR(时间!$B$4+AS175,"上周无销量")</f>
        <v>上周无销量</v>
      </c>
    </row>
    <row r="176" spans="1:46">
      <c r="A176" t="s">
        <v>2066</v>
      </c>
      <c r="B176" s="5">
        <f>SUMIF('库存（子SKU）'!$C:$C,$A176,'库存（子SKU）'!D:D)</f>
        <v>3</v>
      </c>
      <c r="C176" s="5">
        <f>SUMIF('库存（子SKU）'!$C:$C,$A176,'库存（子SKU）'!E:E)</f>
        <v>7</v>
      </c>
      <c r="D176" s="5">
        <f>SUMIF('库存（子SKU）'!$C:$C,$A176,'库存（子SKU）'!F:F)</f>
        <v>5</v>
      </c>
      <c r="E176" s="5">
        <f>SUMIF('库存（子SKU）'!$C:$C,$A176,'库存（子SKU）'!G:G)</f>
        <v>1</v>
      </c>
      <c r="F176" s="6">
        <v>20.115</v>
      </c>
      <c r="G176">
        <f>SUMIF('库存（子SKU）'!$C:$C,$A176,'库存（子SKU）'!I:I)</f>
        <v>108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1</v>
      </c>
      <c r="K176">
        <f t="shared" si="36"/>
        <v>109</v>
      </c>
      <c r="L176">
        <f>SUMIF('库存（子SKU）'!$C:$C,$A176,'库存（子SKU）'!N:N)</f>
        <v>0</v>
      </c>
      <c r="M176">
        <f>SUMIF('库存（子SKU）'!$C:$C,$A176,'库存（子SKU）'!O:O)</f>
        <v>96</v>
      </c>
      <c r="N176">
        <f>SUMIF('库存（子SKU）'!$C:$C,$A176,'库存（子SKU）'!P:P)</f>
        <v>31627</v>
      </c>
      <c r="O176">
        <f>SUMIF('库存（子SKU）'!$C:$C,$A176,'库存（子SKU）'!Q:Q)</f>
        <v>5454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56</v>
      </c>
      <c r="S176">
        <f>SUMIF('库存（子SKU）'!$C:$C,$A176,'库存（子SKU）'!U:U)</f>
        <v>26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>
        <f t="shared" si="49"/>
        <v>0.00177063901097164</v>
      </c>
      <c r="W176" s="22">
        <f t="shared" si="50"/>
        <v>0.00476714338100477</v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14.11</v>
      </c>
      <c r="AA176">
        <f>SUMIF('库存（子SKU）'!$C:$C,$A176,'库存（子SKU）'!AC:AC)</f>
        <v>10.12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>
        <f t="shared" si="37"/>
        <v>0.23382218907946</v>
      </c>
      <c r="AE176" s="22">
        <f t="shared" si="38"/>
        <v>0.0718724477113739</v>
      </c>
      <c r="AF176" s="22">
        <f t="shared" si="39"/>
        <v>0</v>
      </c>
      <c r="AG176" s="22">
        <f t="shared" si="40"/>
        <v>0</v>
      </c>
      <c r="AH176">
        <f>SUMIF('库存（子SKU）'!$C:$C,$A176,'库存（子SKU）'!AJ:AJ)</f>
        <v>145</v>
      </c>
      <c r="AI176">
        <f>SUMIF('库存（子SKU）'!$C:$C,$A176,'库存（子SKU）'!AK:AK)</f>
        <v>111</v>
      </c>
      <c r="AJ176">
        <f>SUMIF('库存（子SKU）'!$C:$C,$A176,'库存（子SKU）'!AL:AL)</f>
        <v>105</v>
      </c>
      <c r="AK176">
        <f>SUMIF('库存（子SKU）'!$C:$C,$A176,'库存（子SKU）'!AM:AM)</f>
        <v>98</v>
      </c>
      <c r="AL176" s="22">
        <f t="shared" si="41"/>
        <v>0.0206896551724138</v>
      </c>
      <c r="AM176" s="22">
        <f t="shared" si="42"/>
        <v>0.0630630630630631</v>
      </c>
      <c r="AN176" s="22">
        <f t="shared" si="43"/>
        <v>0.0476190476190476</v>
      </c>
      <c r="AO176" s="22">
        <f t="shared" si="44"/>
        <v>0.0102040816326531</v>
      </c>
      <c r="AP176" s="7">
        <f t="shared" si="45"/>
        <v>0.428571428571429</v>
      </c>
      <c r="AQ176" s="7">
        <f t="shared" si="46"/>
        <v>25.7142857142857</v>
      </c>
      <c r="AR176" s="7">
        <f t="shared" si="47"/>
        <v>83.2857142857143</v>
      </c>
      <c r="AS176">
        <f t="shared" si="48"/>
        <v>254</v>
      </c>
      <c r="AT176" s="2">
        <f>IFERROR(时间!$B$4+AS176,"上周无销量")</f>
        <v>43572</v>
      </c>
    </row>
    <row r="177" spans="1:46">
      <c r="A177" t="s">
        <v>2075</v>
      </c>
      <c r="B177" s="5">
        <f>SUMIF('库存（子SKU）'!$C:$C,$A177,'库存（子SKU）'!D:D)</f>
        <v>7</v>
      </c>
      <c r="C177" s="5">
        <f>SUMIF('库存（子SKU）'!$C:$C,$A177,'库存（子SKU）'!E:E)</f>
        <v>1</v>
      </c>
      <c r="D177" s="5">
        <f>SUMIF('库存（子SKU）'!$C:$C,$A177,'库存（子SKU）'!F:F)</f>
        <v>2</v>
      </c>
      <c r="E177" s="5">
        <f>SUMIF('库存（子SKU）'!$C:$C,$A177,'库存（子SKU）'!G:G)</f>
        <v>10</v>
      </c>
      <c r="F177" s="6">
        <v>17.3905</v>
      </c>
      <c r="G177">
        <f>SUMIF('库存（子SKU）'!$C:$C,$A177,'库存（子SKU）'!I:I)</f>
        <v>157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1</v>
      </c>
      <c r="K177">
        <f t="shared" si="36"/>
        <v>158</v>
      </c>
      <c r="L177">
        <f>SUMIF('库存（子SKU）'!$C:$C,$A177,'库存（子SKU）'!N:N)</f>
        <v>0</v>
      </c>
      <c r="M177">
        <f>SUMIF('库存（子SKU）'!$C:$C,$A177,'库存（子SKU）'!O:O)</f>
        <v>163</v>
      </c>
      <c r="N177">
        <f>SUMIF('库存（子SKU）'!$C:$C,$A177,'库存（子SKU）'!P:P)</f>
        <v>6547</v>
      </c>
      <c r="O177">
        <f>SUMIF('库存（子SKU）'!$C:$C,$A177,'库存（子SKU）'!Q:Q)</f>
        <v>3646</v>
      </c>
      <c r="P177">
        <f>SUMIF('库存（子SKU）'!$C:$C,$A177,'库存（子SKU）'!R:R)</f>
        <v>243</v>
      </c>
      <c r="Q177">
        <f>SUMIF('库存（子SKU）'!$C:$C,$A177,'库存（子SKU）'!S:S)</f>
        <v>0</v>
      </c>
      <c r="R177">
        <f>SUMIF('库存（子SKU）'!$C:$C,$A177,'库存（子SKU）'!T:T)</f>
        <v>74</v>
      </c>
      <c r="S177">
        <f>SUMIF('库存（子SKU）'!$C:$C,$A177,'库存（子SKU）'!U:U)</f>
        <v>43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2">
        <f t="shared" si="49"/>
        <v>0.0113028868183901</v>
      </c>
      <c r="W177" s="22">
        <f t="shared" si="50"/>
        <v>0.0117937465715853</v>
      </c>
      <c r="X177" s="22">
        <f t="shared" si="51"/>
        <v>0</v>
      </c>
      <c r="Y177" s="22" t="str">
        <f t="shared" si="52"/>
        <v/>
      </c>
      <c r="Z177">
        <f>SUMIF('库存（子SKU）'!$C:$C,$A177,'库存（子SKU）'!AB:AB)</f>
        <v>34.88</v>
      </c>
      <c r="AA177">
        <f>SUMIF('库存（子SKU）'!$C:$C,$A177,'库存（子SKU）'!AC:AC)</f>
        <v>15.98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2">
        <f t="shared" si="37"/>
        <v>0.2865275376129</v>
      </c>
      <c r="AE177" s="22">
        <f t="shared" si="38"/>
        <v>0.918892498778069</v>
      </c>
      <c r="AF177" s="22">
        <f t="shared" si="39"/>
        <v>0</v>
      </c>
      <c r="AG177" s="22">
        <f t="shared" si="40"/>
        <v>0</v>
      </c>
      <c r="AH177">
        <f>SUMIF('库存（子SKU）'!$C:$C,$A177,'库存（子SKU）'!AJ:AJ)</f>
        <v>168</v>
      </c>
      <c r="AI177">
        <f>SUMIF('库存（子SKU）'!$C:$C,$A177,'库存（子SKU）'!AK:AK)</f>
        <v>123</v>
      </c>
      <c r="AJ177">
        <f>SUMIF('库存（子SKU）'!$C:$C,$A177,'库存（子SKU）'!AL:AL)</f>
        <v>89</v>
      </c>
      <c r="AK177">
        <f>SUMIF('库存（子SKU）'!$C:$C,$A177,'库存（子SKU）'!AM:AM)</f>
        <v>178</v>
      </c>
      <c r="AL177" s="22">
        <f t="shared" si="41"/>
        <v>0.0416666666666667</v>
      </c>
      <c r="AM177" s="22">
        <f t="shared" si="42"/>
        <v>0.00813008130081301</v>
      </c>
      <c r="AN177" s="22">
        <f t="shared" si="43"/>
        <v>0.0224719101123595</v>
      </c>
      <c r="AO177" s="22">
        <f t="shared" si="44"/>
        <v>0.0561797752808989</v>
      </c>
      <c r="AP177" s="7">
        <f t="shared" si="45"/>
        <v>1</v>
      </c>
      <c r="AQ177" s="7">
        <f t="shared" si="46"/>
        <v>60</v>
      </c>
      <c r="AR177" s="7">
        <f t="shared" si="47"/>
        <v>98</v>
      </c>
      <c r="AS177">
        <f t="shared" si="48"/>
        <v>158</v>
      </c>
      <c r="AT177" s="2">
        <f>IFERROR(时间!$B$4+AS177,"上周无销量")</f>
        <v>43476</v>
      </c>
    </row>
    <row r="178" spans="1:46">
      <c r="A178" t="s">
        <v>2118</v>
      </c>
      <c r="B178" s="5">
        <f>SUMIF('库存（子SKU）'!$C:$C,$A178,'库存（子SKU）'!D:D)</f>
        <v>0</v>
      </c>
      <c r="C178" s="5">
        <f>SUMIF('库存（子SKU）'!$C:$C,$A178,'库存（子SKU）'!E:E)</f>
        <v>2</v>
      </c>
      <c r="D178" s="5">
        <f>SUMIF('库存（子SKU）'!$C:$C,$A178,'库存（子SKU）'!F:F)</f>
        <v>0</v>
      </c>
      <c r="E178" s="5">
        <f>SUMIF('库存（子SKU）'!$C:$C,$A178,'库存（子SKU）'!G:G)</f>
        <v>1</v>
      </c>
      <c r="F178" s="6">
        <v>14.7633333333333</v>
      </c>
      <c r="G178">
        <f>SUMIF('库存（子SKU）'!$C:$C,$A178,'库存（子SKU）'!I:I)</f>
        <v>37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37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 t="str">
        <f t="shared" si="37"/>
        <v/>
      </c>
      <c r="AE178" s="22">
        <f t="shared" si="38"/>
        <v>0</v>
      </c>
      <c r="AF178" s="22" t="str">
        <f t="shared" si="39"/>
        <v/>
      </c>
      <c r="AG178" s="22">
        <f t="shared" si="40"/>
        <v>0</v>
      </c>
      <c r="AH178">
        <f>SUMIF('库存（子SKU）'!$C:$C,$A178,'库存（子SKU）'!AJ:AJ)</f>
        <v>84</v>
      </c>
      <c r="AI178">
        <f>SUMIF('库存（子SKU）'!$C:$C,$A178,'库存（子SKU）'!AK:AK)</f>
        <v>90</v>
      </c>
      <c r="AJ178">
        <f>SUMIF('库存（子SKU）'!$C:$C,$A178,'库存（子SKU）'!AL:AL)</f>
        <v>90</v>
      </c>
      <c r="AK178">
        <f>SUMIF('库存（子SKU）'!$C:$C,$A178,'库存（子SKU）'!AM:AM)</f>
        <v>76</v>
      </c>
      <c r="AL178" s="22">
        <f t="shared" si="41"/>
        <v>0</v>
      </c>
      <c r="AM178" s="22">
        <f t="shared" si="42"/>
        <v>0.0222222222222222</v>
      </c>
      <c r="AN178" s="22">
        <f t="shared" si="43"/>
        <v>0</v>
      </c>
      <c r="AO178" s="22">
        <f t="shared" si="44"/>
        <v>0.0131578947368421</v>
      </c>
      <c r="AP178" s="7">
        <f t="shared" si="45"/>
        <v>0</v>
      </c>
      <c r="AQ178" s="7">
        <f t="shared" si="46"/>
        <v>0</v>
      </c>
      <c r="AR178" s="7">
        <f t="shared" si="47"/>
        <v>37</v>
      </c>
      <c r="AS178" t="str">
        <f t="shared" si="48"/>
        <v>库存为37</v>
      </c>
      <c r="AT178" s="2" t="str">
        <f>IFERROR(时间!$B$4+AS178,"上周无销量")</f>
        <v>上周无销量</v>
      </c>
    </row>
    <row r="179" spans="1:46">
      <c r="A179" t="s">
        <v>2123</v>
      </c>
      <c r="B179" s="5">
        <f>SUMIF('库存（子SKU）'!$C:$C,$A179,'库存（子SKU）'!D:D)</f>
        <v>2</v>
      </c>
      <c r="C179" s="5">
        <f>SUMIF('库存（子SKU）'!$C:$C,$A179,'库存（子SKU）'!E:E)</f>
        <v>3</v>
      </c>
      <c r="D179" s="5">
        <f>SUMIF('库存（子SKU）'!$C:$C,$A179,'库存（子SKU）'!F:F)</f>
        <v>6</v>
      </c>
      <c r="E179" s="5">
        <f>SUMIF('库存（子SKU）'!$C:$C,$A179,'库存（子SKU）'!G:G)</f>
        <v>4</v>
      </c>
      <c r="F179" s="6">
        <v>9.9</v>
      </c>
      <c r="G179">
        <f>SUMIF('库存（子SKU）'!$C:$C,$A179,'库存（子SKU）'!I:I)</f>
        <v>16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2</v>
      </c>
      <c r="K179">
        <f t="shared" si="36"/>
        <v>18</v>
      </c>
      <c r="L179">
        <f>SUMIF('库存（子SKU）'!$C:$C,$A179,'库存（子SKU）'!N:N)</f>
        <v>1</v>
      </c>
      <c r="M179">
        <f>SUMIF('库存（子SKU）'!$C:$C,$A179,'库存（子SKU）'!O:O)</f>
        <v>0</v>
      </c>
      <c r="N179">
        <f>SUMIF('库存（子SKU）'!$C:$C,$A179,'库存（子SKU）'!P:P)</f>
        <v>116</v>
      </c>
      <c r="O179">
        <f>SUMIF('库存（子SKU）'!$C:$C,$A179,'库存（子SKU）'!Q:Q)</f>
        <v>150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3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2">
        <f t="shared" si="49"/>
        <v>0</v>
      </c>
      <c r="W179" s="22">
        <f t="shared" si="50"/>
        <v>0.02</v>
      </c>
      <c r="X179" s="22" t="str">
        <f t="shared" si="51"/>
        <v/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0.45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2">
        <f t="shared" si="37"/>
        <v>0</v>
      </c>
      <c r="AE179" s="22">
        <f t="shared" si="38"/>
        <v>0.0151515151515152</v>
      </c>
      <c r="AF179" s="22">
        <f t="shared" si="39"/>
        <v>0</v>
      </c>
      <c r="AG179" s="22">
        <f t="shared" si="40"/>
        <v>0</v>
      </c>
      <c r="AH179">
        <f>SUMIF('库存（子SKU）'!$C:$C,$A179,'库存（子SKU）'!AJ:AJ)</f>
        <v>62</v>
      </c>
      <c r="AI179">
        <f>SUMIF('库存（子SKU）'!$C:$C,$A179,'库存（子SKU）'!AK:AK)</f>
        <v>56</v>
      </c>
      <c r="AJ179">
        <f>SUMIF('库存（子SKU）'!$C:$C,$A179,'库存（子SKU）'!AL:AL)</f>
        <v>64</v>
      </c>
      <c r="AK179">
        <f>SUMIF('库存（子SKU）'!$C:$C,$A179,'库存（子SKU）'!AM:AM)</f>
        <v>35</v>
      </c>
      <c r="AL179" s="22">
        <f t="shared" si="41"/>
        <v>0.032258064516129</v>
      </c>
      <c r="AM179" s="22">
        <f t="shared" si="42"/>
        <v>0.0535714285714286</v>
      </c>
      <c r="AN179" s="22">
        <f t="shared" si="43"/>
        <v>0.09375</v>
      </c>
      <c r="AO179" s="22">
        <f t="shared" si="44"/>
        <v>0.114285714285714</v>
      </c>
      <c r="AP179" s="7">
        <f t="shared" si="45"/>
        <v>0.285714285714286</v>
      </c>
      <c r="AQ179" s="7">
        <f t="shared" si="46"/>
        <v>17.1428571428571</v>
      </c>
      <c r="AR179" s="7">
        <f t="shared" si="47"/>
        <v>0.857142857142858</v>
      </c>
      <c r="AS179">
        <f t="shared" si="48"/>
        <v>63</v>
      </c>
      <c r="AT179" s="2">
        <f>IFERROR(时间!$B$4+AS179,"上周无销量")</f>
        <v>43381</v>
      </c>
    </row>
    <row r="180" spans="1:46">
      <c r="A180" t="s">
        <v>2126</v>
      </c>
      <c r="B180" s="5">
        <f>SUMIF('库存（子SKU）'!$C:$C,$A180,'库存（子SKU）'!D:D)</f>
        <v>4</v>
      </c>
      <c r="C180" s="5">
        <f>SUMIF('库存（子SKU）'!$C:$C,$A180,'库存（子SKU）'!E:E)</f>
        <v>3</v>
      </c>
      <c r="D180" s="5">
        <f>SUMIF('库存（子SKU）'!$C:$C,$A180,'库存（子SKU）'!F:F)</f>
        <v>4</v>
      </c>
      <c r="E180" s="5">
        <f>SUMIF('库存（子SKU）'!$C:$C,$A180,'库存（子SKU）'!G:G)</f>
        <v>4</v>
      </c>
      <c r="F180" s="6">
        <v>9.9</v>
      </c>
      <c r="G180">
        <f>SUMIF('库存（子SKU）'!$C:$C,$A180,'库存（子SKU）'!I:I)</f>
        <v>18</v>
      </c>
      <c r="H180">
        <f>SUMIF('库存（子SKU）'!$C:$C,$A180,'库存（子SKU）'!J:J)</f>
        <v>8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26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11</v>
      </c>
      <c r="P180">
        <f>SUMIF('库存（子SKU）'!$C:$C,$A180,'库存（子SKU）'!R:R)</f>
        <v>85</v>
      </c>
      <c r="Q180">
        <f>SUMIF('库存（子SKU）'!$C:$C,$A180,'库存（子SKU）'!S:S)</f>
        <v>74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1</v>
      </c>
      <c r="U180">
        <f>SUMIF('库存（子SKU）'!$C:$C,$A180,'库存（子SKU）'!W:W)</f>
        <v>0</v>
      </c>
      <c r="V180" s="22" t="str">
        <f t="shared" si="49"/>
        <v/>
      </c>
      <c r="W180" s="22">
        <f t="shared" si="50"/>
        <v>0</v>
      </c>
      <c r="X180" s="22">
        <f t="shared" si="51"/>
        <v>0.0117647058823529</v>
      </c>
      <c r="Y180" s="22">
        <f t="shared" si="52"/>
        <v>0</v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0.09</v>
      </c>
      <c r="AC180">
        <f>SUMIF('库存（子SKU）'!$C:$C,$A180,'库存（子SKU）'!AE:AE)</f>
        <v>0</v>
      </c>
      <c r="AD180" s="22">
        <f t="shared" si="37"/>
        <v>0</v>
      </c>
      <c r="AE180" s="22">
        <f t="shared" si="38"/>
        <v>0</v>
      </c>
      <c r="AF180" s="22">
        <f t="shared" si="39"/>
        <v>0.00227272727272727</v>
      </c>
      <c r="AG180" s="22">
        <f t="shared" si="40"/>
        <v>0</v>
      </c>
      <c r="AH180">
        <f>SUMIF('库存（子SKU）'!$C:$C,$A180,'库存（子SKU）'!AJ:AJ)</f>
        <v>116</v>
      </c>
      <c r="AI180">
        <f>SUMIF('库存（子SKU）'!$C:$C,$A180,'库存（子SKU）'!AK:AK)</f>
        <v>89</v>
      </c>
      <c r="AJ180">
        <f>SUMIF('库存（子SKU）'!$C:$C,$A180,'库存（子SKU）'!AL:AL)</f>
        <v>118</v>
      </c>
      <c r="AK180">
        <f>SUMIF('库存（子SKU）'!$C:$C,$A180,'库存（子SKU）'!AM:AM)</f>
        <v>101</v>
      </c>
      <c r="AL180" s="22">
        <f t="shared" si="41"/>
        <v>0.0344827586206897</v>
      </c>
      <c r="AM180" s="22">
        <f t="shared" si="42"/>
        <v>0.0337078651685393</v>
      </c>
      <c r="AN180" s="22">
        <f t="shared" si="43"/>
        <v>0.0338983050847458</v>
      </c>
      <c r="AO180" s="22">
        <f t="shared" si="44"/>
        <v>0.0396039603960396</v>
      </c>
      <c r="AP180" s="7">
        <f t="shared" si="45"/>
        <v>0.571428571428571</v>
      </c>
      <c r="AQ180" s="7">
        <f t="shared" si="46"/>
        <v>34.2857142857143</v>
      </c>
      <c r="AR180" s="7">
        <f t="shared" si="47"/>
        <v>-8.28571428571428</v>
      </c>
      <c r="AS180">
        <f t="shared" si="48"/>
        <v>45</v>
      </c>
      <c r="AT180" s="2">
        <f>IFERROR(时间!$B$4+AS180,"上周无销量")</f>
        <v>43363</v>
      </c>
    </row>
    <row r="181" spans="1:46">
      <c r="A181" t="s">
        <v>2131</v>
      </c>
      <c r="B181" s="5">
        <f>SUMIF('库存（子SKU）'!$C:$C,$A181,'库存（子SKU）'!D:D)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6" t="s">
        <v>53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4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2" t="str">
        <f t="shared" si="49"/>
        <v/>
      </c>
      <c r="W181" s="22" t="str">
        <f t="shared" si="50"/>
        <v/>
      </c>
      <c r="X181" s="22" t="str">
        <f t="shared" si="51"/>
        <v/>
      </c>
      <c r="Y181" s="22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2" t="str">
        <f t="shared" si="37"/>
        <v/>
      </c>
      <c r="AE181" s="22" t="str">
        <f t="shared" si="38"/>
        <v/>
      </c>
      <c r="AF181" s="22" t="str">
        <f t="shared" si="39"/>
        <v/>
      </c>
      <c r="AG181" s="22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2" t="str">
        <f t="shared" si="41"/>
        <v/>
      </c>
      <c r="AM181" s="22" t="str">
        <f t="shared" si="42"/>
        <v/>
      </c>
      <c r="AN181" s="22" t="str">
        <f t="shared" si="43"/>
        <v/>
      </c>
      <c r="AO181" s="22" t="str">
        <f t="shared" si="44"/>
        <v/>
      </c>
      <c r="AP181" s="7">
        <f t="shared" si="45"/>
        <v>0</v>
      </c>
      <c r="AQ181" s="7">
        <f t="shared" si="46"/>
        <v>0</v>
      </c>
      <c r="AR181" s="7">
        <f t="shared" si="47"/>
        <v>0</v>
      </c>
      <c r="AS181" t="str">
        <f t="shared" si="48"/>
        <v>库存为0</v>
      </c>
      <c r="AT181" s="2" t="str">
        <f>IFERROR(时间!$B$4+AS181,"上周无销量")</f>
        <v>上周无销量</v>
      </c>
    </row>
    <row r="182" spans="1:46">
      <c r="A182" t="s">
        <v>2134</v>
      </c>
      <c r="B182" s="5">
        <f>SUMIF('库存（子SKU）'!$C:$C,$A182,'库存（子SKU）'!D:D)</f>
        <v>6</v>
      </c>
      <c r="C182" s="5">
        <f>SUMIF('库存（子SKU）'!$C:$C,$A182,'库存（子SKU）'!E:E)</f>
        <v>6</v>
      </c>
      <c r="D182" s="5">
        <f>SUMIF('库存（子SKU）'!$C:$C,$A182,'库存（子SKU）'!F:F)</f>
        <v>9</v>
      </c>
      <c r="E182" s="5">
        <f>SUMIF('库存（子SKU）'!$C:$C,$A182,'库存（子SKU）'!G:G)</f>
        <v>9</v>
      </c>
      <c r="F182" s="6">
        <v>10.4543333333333</v>
      </c>
      <c r="G182">
        <f>SUMIF('库存（子SKU）'!$C:$C,$A182,'库存（子SKU）'!I:I)</f>
        <v>80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10</v>
      </c>
      <c r="K182">
        <f t="shared" si="36"/>
        <v>90</v>
      </c>
      <c r="L182">
        <f>SUMIF('库存（子SKU）'!$C:$C,$A182,'库存（子SKU）'!N:N)</f>
        <v>1</v>
      </c>
      <c r="M182">
        <f>SUMIF('库存（子SKU）'!$C:$C,$A182,'库存（子SKU）'!O:O)</f>
        <v>0</v>
      </c>
      <c r="N182">
        <f>SUMIF('库存（子SKU）'!$C:$C,$A182,'库存（子SKU）'!P:P)</f>
        <v>3278</v>
      </c>
      <c r="O182">
        <f>SUMIF('库存（子SKU）'!$C:$C,$A182,'库存（子SKU）'!Q:Q)</f>
        <v>7350</v>
      </c>
      <c r="P182">
        <f>SUMIF('库存（子SKU）'!$C:$C,$A182,'库存（子SKU）'!R:R)</f>
        <v>7386</v>
      </c>
      <c r="Q182">
        <f>SUMIF('库存（子SKU）'!$C:$C,$A182,'库存（子SKU）'!S:S)</f>
        <v>4695</v>
      </c>
      <c r="R182">
        <f>SUMIF('库存（子SKU）'!$C:$C,$A182,'库存（子SKU）'!T:T)</f>
        <v>24</v>
      </c>
      <c r="S182">
        <f>SUMIF('库存（子SKU）'!$C:$C,$A182,'库存（子SKU）'!U:U)</f>
        <v>89</v>
      </c>
      <c r="T182">
        <f>SUMIF('库存（子SKU）'!$C:$C,$A182,'库存（子SKU）'!V:V)</f>
        <v>66</v>
      </c>
      <c r="U182">
        <f>SUMIF('库存（子SKU）'!$C:$C,$A182,'库存（子SKU）'!W:W)</f>
        <v>59</v>
      </c>
      <c r="V182" s="22">
        <f t="shared" si="49"/>
        <v>0.0073215375228798</v>
      </c>
      <c r="W182" s="22">
        <f t="shared" si="50"/>
        <v>0.012108843537415</v>
      </c>
      <c r="X182" s="22">
        <f t="shared" si="51"/>
        <v>0.00893582453290008</v>
      </c>
      <c r="Y182" s="22">
        <f t="shared" si="52"/>
        <v>0.012566560170394</v>
      </c>
      <c r="Z182">
        <f>SUMIF('库存（子SKU）'!$C:$C,$A182,'库存（子SKU）'!AB:AB)</f>
        <v>3.15</v>
      </c>
      <c r="AA182">
        <f>SUMIF('库存（子SKU）'!$C:$C,$A182,'库存（子SKU）'!AC:AC)</f>
        <v>14.42</v>
      </c>
      <c r="AB182">
        <f>SUMIF('库存（子SKU）'!$C:$C,$A182,'库存（子SKU）'!AD:AD)</f>
        <v>11.53</v>
      </c>
      <c r="AC182">
        <f>SUMIF('库存（子SKU）'!$C:$C,$A182,'库存（子SKU）'!AE:AE)</f>
        <v>8.36</v>
      </c>
      <c r="AD182" s="22">
        <f t="shared" si="37"/>
        <v>0.0502184102286135</v>
      </c>
      <c r="AE182" s="22">
        <f t="shared" si="38"/>
        <v>0.229888722379875</v>
      </c>
      <c r="AF182" s="22">
        <f t="shared" si="39"/>
        <v>0.122543549192786</v>
      </c>
      <c r="AG182" s="22">
        <f t="shared" si="40"/>
        <v>0.0888520443409966</v>
      </c>
      <c r="AH182">
        <f>SUMIF('库存（子SKU）'!$C:$C,$A182,'库存（子SKU）'!AJ:AJ)</f>
        <v>140</v>
      </c>
      <c r="AI182">
        <f>SUMIF('库存（子SKU）'!$C:$C,$A182,'库存（子SKU）'!AK:AK)</f>
        <v>110</v>
      </c>
      <c r="AJ182">
        <f>SUMIF('库存（子SKU）'!$C:$C,$A182,'库存（子SKU）'!AL:AL)</f>
        <v>150</v>
      </c>
      <c r="AK182">
        <f>SUMIF('库存（子SKU）'!$C:$C,$A182,'库存（子SKU）'!AM:AM)</f>
        <v>105</v>
      </c>
      <c r="AL182" s="22">
        <f t="shared" si="41"/>
        <v>0.0428571428571429</v>
      </c>
      <c r="AM182" s="22">
        <f t="shared" si="42"/>
        <v>0.0545454545454545</v>
      </c>
      <c r="AN182" s="22">
        <f t="shared" si="43"/>
        <v>0.06</v>
      </c>
      <c r="AO182" s="22">
        <f t="shared" si="44"/>
        <v>0.0857142857142857</v>
      </c>
      <c r="AP182" s="7">
        <f t="shared" si="45"/>
        <v>0.857142857142857</v>
      </c>
      <c r="AQ182" s="7">
        <f t="shared" si="46"/>
        <v>51.4285714285714</v>
      </c>
      <c r="AR182" s="7">
        <f t="shared" si="47"/>
        <v>38.5714285714286</v>
      </c>
      <c r="AS182">
        <f t="shared" si="48"/>
        <v>105</v>
      </c>
      <c r="AT182" s="2">
        <f>IFERROR(时间!$B$4+AS182,"上周无销量")</f>
        <v>43423</v>
      </c>
    </row>
    <row r="183" spans="1:46">
      <c r="A183" t="s">
        <v>2139</v>
      </c>
      <c r="B183" s="5">
        <f>SUMIF('库存（子SKU）'!$C:$C,$A183,'库存（子SKU）'!D:D)</f>
        <v>66</v>
      </c>
      <c r="C183" s="5">
        <f>SUMIF('库存（子SKU）'!$C:$C,$A183,'库存（子SKU）'!E:E)</f>
        <v>60</v>
      </c>
      <c r="D183" s="5">
        <f>SUMIF('库存（子SKU）'!$C:$C,$A183,'库存（子SKU）'!F:F)</f>
        <v>47</v>
      </c>
      <c r="E183" s="5">
        <f>SUMIF('库存（子SKU）'!$C:$C,$A183,'库存（子SKU）'!G:G)</f>
        <v>54</v>
      </c>
      <c r="F183" s="6">
        <v>9.63140969162995</v>
      </c>
      <c r="G183">
        <f>SUMIF('库存（子SKU）'!$C:$C,$A183,'库存（子SKU）'!I:I)</f>
        <v>229</v>
      </c>
      <c r="H183">
        <f>SUMIF('库存（子SKU）'!$C:$C,$A183,'库存（子SKU）'!J:J)</f>
        <v>0</v>
      </c>
      <c r="I183">
        <f>SUMIF('库存（子SKU）'!$C:$C,$A183,'库存（子SKU）'!K:K)</f>
        <v>1</v>
      </c>
      <c r="J183">
        <f>SUMIF('库存（子SKU）'!$C:$C,$A183,'库存（子SKU）'!L:L)</f>
        <v>32</v>
      </c>
      <c r="K183">
        <f t="shared" si="36"/>
        <v>262</v>
      </c>
      <c r="L183">
        <f>SUMIF('库存（子SKU）'!$C:$C,$A183,'库存（子SKU）'!N:N)</f>
        <v>1</v>
      </c>
      <c r="M183">
        <f>SUMIF('库存（子SKU）'!$C:$C,$A183,'库存（子SKU）'!O:O)</f>
        <v>0</v>
      </c>
      <c r="N183">
        <f>SUMIF('库存（子SKU）'!$C:$C,$A183,'库存（子SKU）'!P:P)</f>
        <v>21229</v>
      </c>
      <c r="O183">
        <f>SUMIF('库存（子SKU）'!$C:$C,$A183,'库存（子SKU）'!Q:Q)</f>
        <v>28737</v>
      </c>
      <c r="P183">
        <f>SUMIF('库存（子SKU）'!$C:$C,$A183,'库存（子SKU）'!R:R)</f>
        <v>26675</v>
      </c>
      <c r="Q183">
        <f>SUMIF('库存（子SKU）'!$C:$C,$A183,'库存（子SKU）'!S:S)</f>
        <v>16127</v>
      </c>
      <c r="R183">
        <f>SUMIF('库存（子SKU）'!$C:$C,$A183,'库存（子SKU）'!T:T)</f>
        <v>203</v>
      </c>
      <c r="S183">
        <f>SUMIF('库存（子SKU）'!$C:$C,$A183,'库存（子SKU）'!U:U)</f>
        <v>268</v>
      </c>
      <c r="T183">
        <f>SUMIF('库存（子SKU）'!$C:$C,$A183,'库存（子SKU）'!V:V)</f>
        <v>289</v>
      </c>
      <c r="U183">
        <f>SUMIF('库存（子SKU）'!$C:$C,$A183,'库存（子SKU）'!W:W)</f>
        <v>164</v>
      </c>
      <c r="V183" s="22">
        <f t="shared" si="49"/>
        <v>0.00956239106882095</v>
      </c>
      <c r="W183" s="22">
        <f t="shared" si="50"/>
        <v>0.00932595608449038</v>
      </c>
      <c r="X183" s="22">
        <f t="shared" si="51"/>
        <v>0.010834114339269</v>
      </c>
      <c r="Y183" s="22">
        <f t="shared" si="52"/>
        <v>0.0101692813294475</v>
      </c>
      <c r="Z183">
        <f>SUMIF('库存（子SKU）'!$C:$C,$A183,'库存（子SKU）'!AB:AB)</f>
        <v>42.72</v>
      </c>
      <c r="AA183">
        <f>SUMIF('库存（子SKU）'!$C:$C,$A183,'库存（子SKU）'!AC:AC)</f>
        <v>57.63</v>
      </c>
      <c r="AB183">
        <f>SUMIF('库存（子SKU）'!$C:$C,$A183,'库存（子SKU）'!AD:AD)</f>
        <v>48.4</v>
      </c>
      <c r="AC183">
        <f>SUMIF('库存（子SKU）'!$C:$C,$A183,'库存（子SKU）'!AE:AE)</f>
        <v>27.68</v>
      </c>
      <c r="AD183" s="22">
        <f t="shared" si="37"/>
        <v>0.0672043603165621</v>
      </c>
      <c r="AE183" s="22">
        <f t="shared" si="38"/>
        <v>0.0997257961972804</v>
      </c>
      <c r="AF183" s="22">
        <f t="shared" si="39"/>
        <v>0.106919679155324</v>
      </c>
      <c r="AG183" s="22">
        <f t="shared" si="40"/>
        <v>0.0532209312036694</v>
      </c>
      <c r="AH183">
        <f>SUMIF('库存（子SKU）'!$C:$C,$A183,'库存（子SKU）'!AJ:AJ)</f>
        <v>493</v>
      </c>
      <c r="AI183">
        <f>SUMIF('库存（子SKU）'!$C:$C,$A183,'库存（子SKU）'!AK:AK)</f>
        <v>511</v>
      </c>
      <c r="AJ183">
        <f>SUMIF('库存（子SKU）'!$C:$C,$A183,'库存（子SKU）'!AL:AL)</f>
        <v>476</v>
      </c>
      <c r="AK183">
        <f>SUMIF('库存（子SKU）'!$C:$C,$A183,'库存（子SKU）'!AM:AM)</f>
        <v>508</v>
      </c>
      <c r="AL183" s="22">
        <f t="shared" si="41"/>
        <v>0.133874239350913</v>
      </c>
      <c r="AM183" s="22">
        <f t="shared" si="42"/>
        <v>0.117416829745597</v>
      </c>
      <c r="AN183" s="22">
        <f t="shared" si="43"/>
        <v>0.0987394957983193</v>
      </c>
      <c r="AO183" s="22">
        <f t="shared" si="44"/>
        <v>0.106299212598425</v>
      </c>
      <c r="AP183" s="7">
        <f t="shared" si="45"/>
        <v>9.42857142857143</v>
      </c>
      <c r="AQ183" s="7">
        <f t="shared" si="46"/>
        <v>565.714285714286</v>
      </c>
      <c r="AR183" s="7">
        <f t="shared" si="47"/>
        <v>-303.714285714286</v>
      </c>
      <c r="AS183">
        <f t="shared" si="48"/>
        <v>27</v>
      </c>
      <c r="AT183" s="2">
        <f>IFERROR(时间!$B$4+AS183,"上周无销量")</f>
        <v>43345</v>
      </c>
    </row>
    <row r="184" spans="1:46">
      <c r="A184" t="s">
        <v>2144</v>
      </c>
      <c r="B184" s="5">
        <f>SUMIF('库存（子SKU）'!$C:$C,$A184,'库存（子SKU）'!D:D)</f>
        <v>7</v>
      </c>
      <c r="C184" s="5">
        <f>SUMIF('库存（子SKU）'!$C:$C,$A184,'库存（子SKU）'!E:E)</f>
        <v>3</v>
      </c>
      <c r="D184" s="5">
        <f>SUMIF('库存（子SKU）'!$C:$C,$A184,'库存（子SKU）'!F:F)</f>
        <v>10</v>
      </c>
      <c r="E184" s="5">
        <f>SUMIF('库存（子SKU）'!$C:$C,$A184,'库存（子SKU）'!G:G)</f>
        <v>5</v>
      </c>
      <c r="F184" s="6">
        <v>12.9</v>
      </c>
      <c r="G184">
        <f>SUMIF('库存（子SKU）'!$C:$C,$A184,'库存（子SKU）'!I:I)</f>
        <v>46</v>
      </c>
      <c r="H184">
        <f>SUMIF('库存（子SKU）'!$C:$C,$A184,'库存（子SKU）'!J:J)</f>
        <v>20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66</v>
      </c>
      <c r="L184">
        <f>SUMIF('库存（子SKU）'!$C:$C,$A184,'库存（子SKU）'!N:N)</f>
        <v>0</v>
      </c>
      <c r="M184">
        <f>SUMIF('库存（子SKU）'!$C:$C,$A184,'库存（子SKU）'!O:O)</f>
        <v>24</v>
      </c>
      <c r="N184">
        <f>SUMIF('库存（子SKU）'!$C:$C,$A184,'库存（子SKU）'!P:P)</f>
        <v>3093</v>
      </c>
      <c r="O184">
        <f>SUMIF('库存（子SKU）'!$C:$C,$A184,'库存（子SKU）'!Q:Q)</f>
        <v>2089</v>
      </c>
      <c r="P184">
        <f>SUMIF('库存（子SKU）'!$C:$C,$A184,'库存（子SKU）'!R:R)</f>
        <v>587</v>
      </c>
      <c r="Q184">
        <f>SUMIF('库存（子SKU）'!$C:$C,$A184,'库存（子SKU）'!S:S)</f>
        <v>395</v>
      </c>
      <c r="R184">
        <f>SUMIF('库存（子SKU）'!$C:$C,$A184,'库存（子SKU）'!T:T)</f>
        <v>29</v>
      </c>
      <c r="S184">
        <f>SUMIF('库存（子SKU）'!$C:$C,$A184,'库存（子SKU）'!U:U)</f>
        <v>15</v>
      </c>
      <c r="T184">
        <f>SUMIF('库存（子SKU）'!$C:$C,$A184,'库存（子SKU）'!V:V)</f>
        <v>1</v>
      </c>
      <c r="U184">
        <f>SUMIF('库存（子SKU）'!$C:$C,$A184,'库存（子SKU）'!W:W)</f>
        <v>2</v>
      </c>
      <c r="V184" s="22">
        <f t="shared" si="49"/>
        <v>0.00937601034594245</v>
      </c>
      <c r="W184" s="22">
        <f t="shared" si="50"/>
        <v>0.00718046912398277</v>
      </c>
      <c r="X184" s="22">
        <f t="shared" si="51"/>
        <v>0.00170357751277683</v>
      </c>
      <c r="Y184" s="22">
        <f t="shared" si="52"/>
        <v>0.00506329113924051</v>
      </c>
      <c r="Z184">
        <f>SUMIF('库存（子SKU）'!$C:$C,$A184,'库存（子SKU）'!AB:AB)</f>
        <v>15.57</v>
      </c>
      <c r="AA184">
        <f>SUMIF('库存（子SKU）'!$C:$C,$A184,'库存（子SKU）'!AC:AC)</f>
        <v>8.09</v>
      </c>
      <c r="AB184">
        <f>SUMIF('库存（子SKU）'!$C:$C,$A184,'库存（子SKU）'!AD:AD)</f>
        <v>0.16</v>
      </c>
      <c r="AC184">
        <f>SUMIF('库存（子SKU）'!$C:$C,$A184,'库存（子SKU）'!AE:AE)</f>
        <v>0.24</v>
      </c>
      <c r="AD184" s="22">
        <f t="shared" si="37"/>
        <v>0.172425249169435</v>
      </c>
      <c r="AE184" s="22">
        <f t="shared" si="38"/>
        <v>0.209043927648579</v>
      </c>
      <c r="AF184" s="22">
        <f t="shared" si="39"/>
        <v>0.00124031007751938</v>
      </c>
      <c r="AG184" s="22">
        <f t="shared" si="40"/>
        <v>0.00372093023255814</v>
      </c>
      <c r="AH184">
        <f>SUMIF('库存（子SKU）'!$C:$C,$A184,'库存（子SKU）'!AJ:AJ)</f>
        <v>105</v>
      </c>
      <c r="AI184">
        <f>SUMIF('库存（子SKU）'!$C:$C,$A184,'库存（子SKU）'!AK:AK)</f>
        <v>97</v>
      </c>
      <c r="AJ184">
        <f>SUMIF('库存（子SKU）'!$C:$C,$A184,'库存（子SKU）'!AL:AL)</f>
        <v>97</v>
      </c>
      <c r="AK184">
        <f>SUMIF('库存（子SKU）'!$C:$C,$A184,'库存（子SKU）'!AM:AM)</f>
        <v>73</v>
      </c>
      <c r="AL184" s="22">
        <f t="shared" si="41"/>
        <v>0.0666666666666667</v>
      </c>
      <c r="AM184" s="22">
        <f t="shared" si="42"/>
        <v>0.0309278350515464</v>
      </c>
      <c r="AN184" s="22">
        <f t="shared" si="43"/>
        <v>0.103092783505155</v>
      </c>
      <c r="AO184" s="22">
        <f t="shared" si="44"/>
        <v>0.0684931506849315</v>
      </c>
      <c r="AP184" s="7">
        <f t="shared" si="45"/>
        <v>1</v>
      </c>
      <c r="AQ184" s="7">
        <f t="shared" si="46"/>
        <v>60</v>
      </c>
      <c r="AR184" s="7">
        <f t="shared" si="47"/>
        <v>6</v>
      </c>
      <c r="AS184">
        <f t="shared" si="48"/>
        <v>66</v>
      </c>
      <c r="AT184" s="2">
        <f>IFERROR(时间!$B$4+AS184,"上周无销量")</f>
        <v>43384</v>
      </c>
    </row>
    <row r="185" spans="1:46">
      <c r="A185" t="s">
        <v>2150</v>
      </c>
      <c r="B185" s="5">
        <f>SUMIF('库存（子SKU）'!$C:$C,$A185,'库存（子SKU）'!D:D)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6" t="s">
        <v>53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2" t="str">
        <f t="shared" si="49"/>
        <v/>
      </c>
      <c r="W185" s="22" t="str">
        <f t="shared" si="50"/>
        <v/>
      </c>
      <c r="X185" s="22" t="str">
        <f t="shared" si="51"/>
        <v/>
      </c>
      <c r="Y185" s="22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2" t="str">
        <f t="shared" si="37"/>
        <v/>
      </c>
      <c r="AE185" s="22" t="str">
        <f t="shared" si="38"/>
        <v/>
      </c>
      <c r="AF185" s="22" t="str">
        <f t="shared" si="39"/>
        <v/>
      </c>
      <c r="AG185" s="22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22" t="str">
        <f t="shared" si="41"/>
        <v/>
      </c>
      <c r="AM185" s="22" t="str">
        <f t="shared" si="42"/>
        <v/>
      </c>
      <c r="AN185" s="22" t="str">
        <f t="shared" si="43"/>
        <v/>
      </c>
      <c r="AO185" s="22" t="str">
        <f t="shared" si="44"/>
        <v/>
      </c>
      <c r="AP185" s="7">
        <f t="shared" si="45"/>
        <v>0</v>
      </c>
      <c r="AQ185" s="7">
        <f t="shared" si="46"/>
        <v>0</v>
      </c>
      <c r="AR185" s="7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2153</v>
      </c>
      <c r="B186" s="5">
        <f>SUMIF('库存（子SKU）'!$C:$C,$A186,'库存（子SKU）'!D:D)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6" t="s">
        <v>53</v>
      </c>
      <c r="G186">
        <f>SUMIF('库存（子SKU）'!$C:$C,$A186,'库存（子SKU）'!I:I)</f>
        <v>2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2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2" t="str">
        <f t="shared" si="49"/>
        <v/>
      </c>
      <c r="W186" s="22" t="str">
        <f t="shared" si="50"/>
        <v/>
      </c>
      <c r="X186" s="22" t="str">
        <f t="shared" si="51"/>
        <v/>
      </c>
      <c r="Y186" s="22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2" t="str">
        <f t="shared" si="37"/>
        <v/>
      </c>
      <c r="AE186" s="22" t="str">
        <f t="shared" si="38"/>
        <v/>
      </c>
      <c r="AF186" s="22" t="str">
        <f t="shared" si="39"/>
        <v/>
      </c>
      <c r="AG186" s="22" t="str">
        <f t="shared" si="40"/>
        <v/>
      </c>
      <c r="AH186">
        <f>SUMIF('库存（子SKU）'!$C:$C,$A186,'库存（子SKU）'!AJ:AJ)</f>
        <v>24</v>
      </c>
      <c r="AI186">
        <f>SUMIF('库存（子SKU）'!$C:$C,$A186,'库存（子SKU）'!AK:AK)</f>
        <v>24</v>
      </c>
      <c r="AJ186">
        <f>SUMIF('库存（子SKU）'!$C:$C,$A186,'库存（子SKU）'!AL:AL)</f>
        <v>31</v>
      </c>
      <c r="AK186">
        <f>SUMIF('库存（子SKU）'!$C:$C,$A186,'库存（子SKU）'!AM:AM)</f>
        <v>24</v>
      </c>
      <c r="AL186" s="22">
        <f t="shared" si="41"/>
        <v>0</v>
      </c>
      <c r="AM186" s="22">
        <f t="shared" si="42"/>
        <v>0</v>
      </c>
      <c r="AN186" s="22">
        <f t="shared" si="43"/>
        <v>0</v>
      </c>
      <c r="AO186" s="22">
        <f t="shared" si="44"/>
        <v>0</v>
      </c>
      <c r="AP186" s="7">
        <f t="shared" si="45"/>
        <v>0</v>
      </c>
      <c r="AQ186" s="7">
        <f t="shared" si="46"/>
        <v>0</v>
      </c>
      <c r="AR186" s="7">
        <f t="shared" si="47"/>
        <v>2</v>
      </c>
      <c r="AS186" t="str">
        <f t="shared" si="48"/>
        <v>库存为2</v>
      </c>
      <c r="AT186" s="2" t="str">
        <f>IFERROR(时间!$B$4+AS186,"上周无销量")</f>
        <v>上周无销量</v>
      </c>
    </row>
    <row r="187" spans="1:46">
      <c r="A187" t="s">
        <v>2156</v>
      </c>
      <c r="B187" s="5">
        <f>SUMIF('库存（子SKU）'!$C:$C,$A187,'库存（子SKU）'!D:D)</f>
        <v>0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6" t="s">
        <v>53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2" t="str">
        <f t="shared" si="49"/>
        <v/>
      </c>
      <c r="W187" s="22" t="str">
        <f t="shared" si="50"/>
        <v/>
      </c>
      <c r="X187" s="22" t="str">
        <f t="shared" si="51"/>
        <v/>
      </c>
      <c r="Y187" s="22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2" t="str">
        <f t="shared" si="37"/>
        <v/>
      </c>
      <c r="AE187" s="22" t="str">
        <f t="shared" si="38"/>
        <v/>
      </c>
      <c r="AF187" s="22" t="str">
        <f t="shared" si="39"/>
        <v/>
      </c>
      <c r="AG187" s="22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2" t="str">
        <f t="shared" si="41"/>
        <v/>
      </c>
      <c r="AM187" s="22" t="str">
        <f t="shared" si="42"/>
        <v/>
      </c>
      <c r="AN187" s="22" t="str">
        <f t="shared" si="43"/>
        <v/>
      </c>
      <c r="AO187" s="22" t="str">
        <f t="shared" si="44"/>
        <v/>
      </c>
      <c r="AP187" s="7">
        <f t="shared" si="45"/>
        <v>0</v>
      </c>
      <c r="AQ187" s="7">
        <f t="shared" si="46"/>
        <v>0</v>
      </c>
      <c r="AR187" s="7">
        <f t="shared" si="47"/>
        <v>0</v>
      </c>
      <c r="AS187" t="str">
        <f t="shared" si="48"/>
        <v>库存为0</v>
      </c>
      <c r="AT187" s="2" t="str">
        <f>IFERROR(时间!$B$4+AS187,"上周无销量")</f>
        <v>上周无销量</v>
      </c>
    </row>
    <row r="188" spans="1:46">
      <c r="A188" t="s">
        <v>2159</v>
      </c>
      <c r="B188" s="5">
        <f>SUMIF('库存（子SKU）'!$C:$C,$A188,'库存（子SKU）'!D:D)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6" t="s">
        <v>53</v>
      </c>
      <c r="G188">
        <f>SUMIF('库存（子SKU）'!$C:$C,$A188,'库存（子SKU）'!I:I)</f>
        <v>2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2</v>
      </c>
      <c r="L188">
        <f>SUMIF('库存（子SKU）'!$C:$C,$A188,'库存（子SKU）'!N:N)</f>
        <v>0</v>
      </c>
      <c r="M188">
        <f>SUMIF('库存（子SKU）'!$C:$C,$A188,'库存（子SKU）'!O:O)</f>
        <v>2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2" t="str">
        <f t="shared" si="49"/>
        <v/>
      </c>
      <c r="W188" s="22" t="str">
        <f t="shared" si="50"/>
        <v/>
      </c>
      <c r="X188" s="22" t="str">
        <f t="shared" si="51"/>
        <v/>
      </c>
      <c r="Y188" s="22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2" t="str">
        <f t="shared" si="37"/>
        <v/>
      </c>
      <c r="AE188" s="22" t="str">
        <f t="shared" si="38"/>
        <v/>
      </c>
      <c r="AF188" s="22" t="str">
        <f t="shared" si="39"/>
        <v/>
      </c>
      <c r="AG188" s="22" t="str">
        <f t="shared" si="40"/>
        <v/>
      </c>
      <c r="AH188">
        <f>SUMIF('库存（子SKU）'!$C:$C,$A188,'库存（子SKU）'!AJ:AJ)</f>
        <v>2</v>
      </c>
      <c r="AI188">
        <f>SUMIF('库存（子SKU）'!$C:$C,$A188,'库存（子SKU）'!AK:AK)</f>
        <v>3</v>
      </c>
      <c r="AJ188">
        <f>SUMIF('库存（子SKU）'!$C:$C,$A188,'库存（子SKU）'!AL:AL)</f>
        <v>0</v>
      </c>
      <c r="AK188">
        <f>SUMIF('库存（子SKU）'!$C:$C,$A188,'库存（子SKU）'!AM:AM)</f>
        <v>2</v>
      </c>
      <c r="AL188" s="22">
        <f t="shared" si="41"/>
        <v>0</v>
      </c>
      <c r="AM188" s="22">
        <f t="shared" si="42"/>
        <v>0</v>
      </c>
      <c r="AN188" s="22" t="str">
        <f t="shared" si="43"/>
        <v/>
      </c>
      <c r="AO188" s="22">
        <f t="shared" si="44"/>
        <v>0</v>
      </c>
      <c r="AP188" s="7">
        <f t="shared" si="45"/>
        <v>0</v>
      </c>
      <c r="AQ188" s="7">
        <f t="shared" si="46"/>
        <v>0</v>
      </c>
      <c r="AR188" s="7">
        <f t="shared" si="47"/>
        <v>2</v>
      </c>
      <c r="AS188" t="str">
        <f t="shared" si="48"/>
        <v>库存为2</v>
      </c>
      <c r="AT188" s="2" t="str">
        <f>IFERROR(时间!$B$4+AS188,"上周无销量")</f>
        <v>上周无销量</v>
      </c>
    </row>
    <row r="189" spans="1:46">
      <c r="A189" t="s">
        <v>2162</v>
      </c>
      <c r="B189" s="5">
        <f>SUMIF('库存（子SKU）'!$C:$C,$A189,'库存（子SKU）'!D:D)</f>
        <v>7</v>
      </c>
      <c r="C189" s="5">
        <f>SUMIF('库存（子SKU）'!$C:$C,$A189,'库存（子SKU）'!E:E)</f>
        <v>5</v>
      </c>
      <c r="D189" s="5">
        <f>SUMIF('库存（子SKU）'!$C:$C,$A189,'库存（子SKU）'!F:F)</f>
        <v>2</v>
      </c>
      <c r="E189" s="5">
        <f>SUMIF('库存（子SKU）'!$C:$C,$A189,'库存（子SKU）'!G:G)</f>
        <v>0</v>
      </c>
      <c r="F189" s="6">
        <v>22.8471428571429</v>
      </c>
      <c r="G189">
        <f>SUMIF('库存（子SKU）'!$C:$C,$A189,'库存（子SKU）'!I:I)</f>
        <v>6</v>
      </c>
      <c r="H189">
        <f>SUMIF('库存（子SKU）'!$C:$C,$A189,'库存（子SKU）'!J:J)</f>
        <v>13</v>
      </c>
      <c r="I189">
        <f>SUMIF('库存（子SKU）'!$C:$C,$A189,'库存（子SKU）'!K:K)</f>
        <v>9</v>
      </c>
      <c r="J189">
        <f>SUMIF('库存（子SKU）'!$C:$C,$A189,'库存（子SKU）'!L:L)</f>
        <v>5</v>
      </c>
      <c r="K189">
        <f t="shared" si="36"/>
        <v>33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1142</v>
      </c>
      <c r="O189">
        <f>SUMIF('库存（子SKU）'!$C:$C,$A189,'库存（子SKU）'!Q:Q)</f>
        <v>19915</v>
      </c>
      <c r="P189">
        <f>SUMIF('库存（子SKU）'!$C:$C,$A189,'库存（子SKU）'!R:R)</f>
        <v>4621</v>
      </c>
      <c r="Q189">
        <f>SUMIF('库存（子SKU）'!$C:$C,$A189,'库存（子SKU）'!S:S)</f>
        <v>1335</v>
      </c>
      <c r="R189">
        <f>SUMIF('库存（子SKU）'!$C:$C,$A189,'库存（子SKU）'!T:T)</f>
        <v>9</v>
      </c>
      <c r="S189">
        <f>SUMIF('库存（子SKU）'!$C:$C,$A189,'库存（子SKU）'!U:U)</f>
        <v>142</v>
      </c>
      <c r="T189">
        <f>SUMIF('库存（子SKU）'!$C:$C,$A189,'库存（子SKU）'!V:V)</f>
        <v>38</v>
      </c>
      <c r="U189">
        <f>SUMIF('库存（子SKU）'!$C:$C,$A189,'库存（子SKU）'!W:W)</f>
        <v>17</v>
      </c>
      <c r="V189" s="22">
        <f t="shared" si="49"/>
        <v>0.00788091068301226</v>
      </c>
      <c r="W189" s="22">
        <f t="shared" si="50"/>
        <v>0.00713030379111223</v>
      </c>
      <c r="X189" s="22">
        <f t="shared" si="51"/>
        <v>0.00822332828392123</v>
      </c>
      <c r="Y189" s="22">
        <f t="shared" si="52"/>
        <v>0.0127340823970037</v>
      </c>
      <c r="Z189">
        <f>SUMIF('库存（子SKU）'!$C:$C,$A189,'库存（子SKU）'!AB:AB)</f>
        <v>3.51</v>
      </c>
      <c r="AA189">
        <f>SUMIF('库存（子SKU）'!$C:$C,$A189,'库存（子SKU）'!AC:AC)</f>
        <v>58.32</v>
      </c>
      <c r="AB189">
        <f>SUMIF('库存（子SKU）'!$C:$C,$A189,'库存（子SKU）'!AD:AD)</f>
        <v>16.32</v>
      </c>
      <c r="AC189">
        <f>SUMIF('库存（子SKU）'!$C:$C,$A189,'库存（子SKU）'!AE:AE)</f>
        <v>6.21</v>
      </c>
      <c r="AD189" s="22">
        <f t="shared" si="37"/>
        <v>0.0219471018570624</v>
      </c>
      <c r="AE189" s="22">
        <f t="shared" si="38"/>
        <v>0.51052335396736</v>
      </c>
      <c r="AF189" s="22">
        <f t="shared" si="39"/>
        <v>0.357156255861939</v>
      </c>
      <c r="AG189" s="22" t="str">
        <f t="shared" si="40"/>
        <v>无销量广告费为6.21</v>
      </c>
      <c r="AH189">
        <f>SUMIF('库存（子SKU）'!$C:$C,$A189,'库存（子SKU）'!AJ:AJ)</f>
        <v>145</v>
      </c>
      <c r="AI189">
        <f>SUMIF('库存（子SKU）'!$C:$C,$A189,'库存（子SKU）'!AK:AK)</f>
        <v>213</v>
      </c>
      <c r="AJ189">
        <f>SUMIF('库存（子SKU）'!$C:$C,$A189,'库存（子SKU）'!AL:AL)</f>
        <v>63</v>
      </c>
      <c r="AK189">
        <f>SUMIF('库存（子SKU）'!$C:$C,$A189,'库存（子SKU）'!AM:AM)</f>
        <v>29</v>
      </c>
      <c r="AL189" s="22">
        <f t="shared" si="41"/>
        <v>0.0482758620689655</v>
      </c>
      <c r="AM189" s="22">
        <f t="shared" si="42"/>
        <v>0.0234741784037559</v>
      </c>
      <c r="AN189" s="22">
        <f t="shared" si="43"/>
        <v>0.0317460317460317</v>
      </c>
      <c r="AO189" s="22">
        <f t="shared" si="44"/>
        <v>0</v>
      </c>
      <c r="AP189" s="7">
        <f t="shared" si="45"/>
        <v>1</v>
      </c>
      <c r="AQ189" s="7">
        <f t="shared" si="46"/>
        <v>60</v>
      </c>
      <c r="AR189" s="7">
        <f t="shared" si="47"/>
        <v>-27</v>
      </c>
      <c r="AS189">
        <f t="shared" si="48"/>
        <v>33</v>
      </c>
      <c r="AT189" s="2">
        <f>IFERROR(时间!$B$4+AS189,"上周无销量")</f>
        <v>43351</v>
      </c>
    </row>
    <row r="190" spans="1:46">
      <c r="A190" t="s">
        <v>2180</v>
      </c>
      <c r="B190" s="5">
        <f>SUMIF('库存（子SKU）'!$C:$C,$A190,'库存（子SKU）'!D:D)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1</v>
      </c>
      <c r="E190" s="5">
        <f>SUMIF('库存（子SKU）'!$C:$C,$A190,'库存（子SKU）'!G:G)</f>
        <v>0</v>
      </c>
      <c r="F190" s="6">
        <v>27</v>
      </c>
      <c r="G190">
        <f>SUMIF('库存（子SKU）'!$C:$C,$A190,'库存（子SKU）'!I:I)</f>
        <v>3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3</v>
      </c>
      <c r="L190">
        <f>SUMIF('库存（子SKU）'!$C:$C,$A190,'库存（子SKU）'!N:N)</f>
        <v>0</v>
      </c>
      <c r="M190">
        <f>SUMIF('库存（子SKU）'!$C:$C,$A190,'库存（子SKU）'!O:O)</f>
        <v>3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2" t="str">
        <f t="shared" si="49"/>
        <v/>
      </c>
      <c r="W190" s="22" t="str">
        <f t="shared" si="50"/>
        <v/>
      </c>
      <c r="X190" s="22" t="str">
        <f t="shared" si="51"/>
        <v/>
      </c>
      <c r="Y190" s="22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2" t="str">
        <f t="shared" si="37"/>
        <v/>
      </c>
      <c r="AE190" s="22" t="str">
        <f t="shared" si="38"/>
        <v/>
      </c>
      <c r="AF190" s="22">
        <f t="shared" si="39"/>
        <v>0</v>
      </c>
      <c r="AG190" s="22" t="str">
        <f t="shared" si="40"/>
        <v/>
      </c>
      <c r="AH190">
        <f>SUMIF('库存（子SKU）'!$C:$C,$A190,'库存（子SKU）'!AJ:AJ)</f>
        <v>7</v>
      </c>
      <c r="AI190">
        <f>SUMIF('库存（子SKU）'!$C:$C,$A190,'库存（子SKU）'!AK:AK)</f>
        <v>2</v>
      </c>
      <c r="AJ190">
        <f>SUMIF('库存（子SKU）'!$C:$C,$A190,'库存（子SKU）'!AL:AL)</f>
        <v>7</v>
      </c>
      <c r="AK190">
        <f>SUMIF('库存（子SKU）'!$C:$C,$A190,'库存（子SKU）'!AM:AM)</f>
        <v>7</v>
      </c>
      <c r="AL190" s="22">
        <f t="shared" si="41"/>
        <v>0</v>
      </c>
      <c r="AM190" s="22">
        <f t="shared" si="42"/>
        <v>0</v>
      </c>
      <c r="AN190" s="22">
        <f t="shared" si="43"/>
        <v>0.142857142857143</v>
      </c>
      <c r="AO190" s="22">
        <f t="shared" si="44"/>
        <v>0</v>
      </c>
      <c r="AP190" s="7">
        <f t="shared" si="45"/>
        <v>0</v>
      </c>
      <c r="AQ190" s="7">
        <f t="shared" si="46"/>
        <v>0</v>
      </c>
      <c r="AR190" s="7">
        <f t="shared" si="47"/>
        <v>3</v>
      </c>
      <c r="AS190" t="str">
        <f t="shared" si="48"/>
        <v>库存为3</v>
      </c>
      <c r="AT190" s="2" t="str">
        <f>IFERROR(时间!$B$4+AS190,"上周无销量")</f>
        <v>上周无销量</v>
      </c>
    </row>
    <row r="191" spans="1:46">
      <c r="A191" t="s">
        <v>2183</v>
      </c>
      <c r="B191" s="5">
        <f>SUMIF('库存（子SKU）'!$C:$C,$A191,'库存（子SKU）'!D:D)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6" t="s">
        <v>53</v>
      </c>
      <c r="G191">
        <f>SUMIF('库存（子SKU）'!$C:$C,$A191,'库存（子SKU）'!I:I)</f>
        <v>5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5</v>
      </c>
      <c r="L191">
        <f>SUMIF('库存（子SKU）'!$C:$C,$A191,'库存（子SKU）'!N:N)</f>
        <v>0</v>
      </c>
      <c r="M191">
        <f>SUMIF('库存（子SKU）'!$C:$C,$A191,'库存（子SKU）'!O:O)</f>
        <v>5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2" t="str">
        <f t="shared" si="49"/>
        <v/>
      </c>
      <c r="W191" s="22" t="str">
        <f t="shared" si="50"/>
        <v/>
      </c>
      <c r="X191" s="22" t="str">
        <f t="shared" si="51"/>
        <v/>
      </c>
      <c r="Y191" s="22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2" t="str">
        <f t="shared" si="37"/>
        <v/>
      </c>
      <c r="AE191" s="22" t="str">
        <f t="shared" si="38"/>
        <v/>
      </c>
      <c r="AF191" s="22" t="str">
        <f t="shared" si="39"/>
        <v/>
      </c>
      <c r="AG191" s="22" t="str">
        <f t="shared" si="40"/>
        <v/>
      </c>
      <c r="AH191">
        <f>SUMIF('库存（子SKU）'!$C:$C,$A191,'库存（子SKU）'!AJ:AJ)</f>
        <v>1</v>
      </c>
      <c r="AI191">
        <f>SUMIF('库存（子SKU）'!$C:$C,$A191,'库存（子SKU）'!AK:AK)</f>
        <v>2</v>
      </c>
      <c r="AJ191">
        <f>SUMIF('库存（子SKU）'!$C:$C,$A191,'库存（子SKU）'!AL:AL)</f>
        <v>1</v>
      </c>
      <c r="AK191">
        <f>SUMIF('库存（子SKU）'!$C:$C,$A191,'库存（子SKU）'!AM:AM)</f>
        <v>2</v>
      </c>
      <c r="AL191" s="22">
        <f t="shared" si="41"/>
        <v>0</v>
      </c>
      <c r="AM191" s="22">
        <f t="shared" si="42"/>
        <v>0</v>
      </c>
      <c r="AN191" s="22">
        <f t="shared" si="43"/>
        <v>0</v>
      </c>
      <c r="AO191" s="22">
        <f t="shared" si="44"/>
        <v>0</v>
      </c>
      <c r="AP191" s="7">
        <f t="shared" si="45"/>
        <v>0</v>
      </c>
      <c r="AQ191" s="7">
        <f t="shared" si="46"/>
        <v>0</v>
      </c>
      <c r="AR191" s="7">
        <f t="shared" si="47"/>
        <v>5</v>
      </c>
      <c r="AS191" t="str">
        <f t="shared" si="48"/>
        <v>库存为5</v>
      </c>
      <c r="AT191" s="2" t="str">
        <f>IFERROR(时间!$B$4+AS191,"上周无销量")</f>
        <v>上周无销量</v>
      </c>
    </row>
    <row r="192" spans="1:46">
      <c r="A192" t="s">
        <v>2186</v>
      </c>
      <c r="B192" s="5">
        <f>SUMIF('库存（子SKU）'!$C:$C,$A192,'库存（子SKU）'!D:D)</f>
        <v>17</v>
      </c>
      <c r="C192" s="5">
        <f>SUMIF('库存（子SKU）'!$C:$C,$A192,'库存（子SKU）'!E:E)</f>
        <v>14</v>
      </c>
      <c r="D192" s="5">
        <f>SUMIF('库存（子SKU）'!$C:$C,$A192,'库存（子SKU）'!F:F)</f>
        <v>11</v>
      </c>
      <c r="E192" s="5">
        <f>SUMIF('库存（子SKU）'!$C:$C,$A192,'库存（子SKU）'!G:G)</f>
        <v>8</v>
      </c>
      <c r="F192" s="6">
        <v>44.99</v>
      </c>
      <c r="G192">
        <f>SUMIF('库存（子SKU）'!$C:$C,$A192,'库存（子SKU）'!I:I)</f>
        <v>35</v>
      </c>
      <c r="H192">
        <f>SUMIF('库存（子SKU）'!$C:$C,$A192,'库存（子SKU）'!J:J)</f>
        <v>115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150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58714</v>
      </c>
      <c r="O192">
        <f>SUMIF('库存（子SKU）'!$C:$C,$A192,'库存（子SKU）'!Q:Q)</f>
        <v>86451</v>
      </c>
      <c r="P192">
        <f>SUMIF('库存（子SKU）'!$C:$C,$A192,'库存（子SKU）'!R:R)</f>
        <v>24831</v>
      </c>
      <c r="Q192">
        <f>SUMIF('库存（子SKU）'!$C:$C,$A192,'库存（子SKU）'!S:S)</f>
        <v>1927</v>
      </c>
      <c r="R192">
        <f>SUMIF('库存（子SKU）'!$C:$C,$A192,'库存（子SKU）'!T:T)</f>
        <v>246</v>
      </c>
      <c r="S192">
        <f>SUMIF('库存（子SKU）'!$C:$C,$A192,'库存（子SKU）'!U:U)</f>
        <v>337</v>
      </c>
      <c r="T192">
        <f>SUMIF('库存（子SKU）'!$C:$C,$A192,'库存（子SKU）'!V:V)</f>
        <v>182</v>
      </c>
      <c r="U192">
        <f>SUMIF('库存（子SKU）'!$C:$C,$A192,'库存（子SKU）'!W:W)</f>
        <v>45</v>
      </c>
      <c r="V192" s="22">
        <f t="shared" si="49"/>
        <v>0.00418980141022584</v>
      </c>
      <c r="W192" s="22">
        <f t="shared" si="50"/>
        <v>0.00389816196458109</v>
      </c>
      <c r="X192" s="22">
        <f t="shared" si="51"/>
        <v>0.00732954774274093</v>
      </c>
      <c r="Y192" s="22">
        <f t="shared" si="52"/>
        <v>0.0233523611831863</v>
      </c>
      <c r="Z192">
        <f>SUMIF('库存（子SKU）'!$C:$C,$A192,'库存（子SKU）'!AB:AB)</f>
        <v>104.28</v>
      </c>
      <c r="AA192">
        <f>SUMIF('库存（子SKU）'!$C:$C,$A192,'库存（子SKU）'!AC:AC)</f>
        <v>176.19</v>
      </c>
      <c r="AB192">
        <f>SUMIF('库存（子SKU）'!$C:$C,$A192,'库存（子SKU）'!AD:AD)</f>
        <v>88.49</v>
      </c>
      <c r="AC192">
        <f>SUMIF('库存（子SKU）'!$C:$C,$A192,'库存（子SKU）'!AE:AE)</f>
        <v>15.75</v>
      </c>
      <c r="AD192" s="22">
        <f t="shared" si="37"/>
        <v>0.136344024162232</v>
      </c>
      <c r="AE192" s="22">
        <f t="shared" si="38"/>
        <v>0.279728828628584</v>
      </c>
      <c r="AF192" s="22">
        <f t="shared" si="39"/>
        <v>0.178807411748065</v>
      </c>
      <c r="AG192" s="22">
        <f t="shared" si="40"/>
        <v>0.0437597243831963</v>
      </c>
      <c r="AH192">
        <f>SUMIF('库存（子SKU）'!$C:$C,$A192,'库存（子SKU）'!AJ:AJ)</f>
        <v>440</v>
      </c>
      <c r="AI192">
        <f>SUMIF('库存（子SKU）'!$C:$C,$A192,'库存（子SKU）'!AK:AK)</f>
        <v>435</v>
      </c>
      <c r="AJ192">
        <f>SUMIF('库存（子SKU）'!$C:$C,$A192,'库存（子SKU）'!AL:AL)</f>
        <v>240</v>
      </c>
      <c r="AK192">
        <f>SUMIF('库存（子SKU）'!$C:$C,$A192,'库存（子SKU）'!AM:AM)</f>
        <v>211</v>
      </c>
      <c r="AL192" s="22">
        <f t="shared" si="41"/>
        <v>0.0386363636363636</v>
      </c>
      <c r="AM192" s="22">
        <f t="shared" si="42"/>
        <v>0.032183908045977</v>
      </c>
      <c r="AN192" s="22">
        <f t="shared" si="43"/>
        <v>0.0458333333333333</v>
      </c>
      <c r="AO192" s="22">
        <f t="shared" si="44"/>
        <v>0.037914691943128</v>
      </c>
      <c r="AP192" s="7">
        <f t="shared" si="45"/>
        <v>2.42857142857143</v>
      </c>
      <c r="AQ192" s="7">
        <f t="shared" si="46"/>
        <v>145.714285714286</v>
      </c>
      <c r="AR192" s="7">
        <f t="shared" si="47"/>
        <v>4.28571428571431</v>
      </c>
      <c r="AS192">
        <f t="shared" si="48"/>
        <v>61</v>
      </c>
      <c r="AT192" s="2">
        <f>IFERROR(时间!$B$4+AS192,"上周无销量")</f>
        <v>43379</v>
      </c>
    </row>
    <row r="193" spans="1:46">
      <c r="A193" t="s">
        <v>2188</v>
      </c>
      <c r="B193" s="5">
        <f>SUMIF('库存（子SKU）'!$C:$C,$A193,'库存（子SKU）'!D:D)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6" t="s">
        <v>53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2" t="str">
        <f t="shared" si="49"/>
        <v/>
      </c>
      <c r="W193" s="22" t="str">
        <f t="shared" si="50"/>
        <v/>
      </c>
      <c r="X193" s="22" t="str">
        <f t="shared" si="51"/>
        <v/>
      </c>
      <c r="Y193" s="22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2" t="str">
        <f t="shared" si="37"/>
        <v/>
      </c>
      <c r="AE193" s="22" t="str">
        <f t="shared" si="38"/>
        <v/>
      </c>
      <c r="AF193" s="22" t="str">
        <f t="shared" si="39"/>
        <v/>
      </c>
      <c r="AG193" s="22" t="str">
        <f t="shared" si="40"/>
        <v/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1</v>
      </c>
      <c r="AL193" s="22" t="str">
        <f t="shared" si="41"/>
        <v/>
      </c>
      <c r="AM193" s="22" t="str">
        <f t="shared" si="42"/>
        <v/>
      </c>
      <c r="AN193" s="22" t="str">
        <f t="shared" si="43"/>
        <v/>
      </c>
      <c r="AO193" s="22">
        <f t="shared" si="44"/>
        <v>0</v>
      </c>
      <c r="AP193" s="7">
        <f t="shared" si="45"/>
        <v>0</v>
      </c>
      <c r="AQ193" s="7">
        <f t="shared" si="46"/>
        <v>0</v>
      </c>
      <c r="AR193" s="7">
        <f t="shared" si="47"/>
        <v>0</v>
      </c>
      <c r="AS193" t="str">
        <f t="shared" si="48"/>
        <v>库存为0</v>
      </c>
      <c r="AT193" s="2" t="str">
        <f>IFERROR(时间!$B$4+AS193,"上周无销量")</f>
        <v>上周无销量</v>
      </c>
    </row>
    <row r="194" spans="1:46">
      <c r="A194" t="s">
        <v>2190</v>
      </c>
      <c r="B194" s="5">
        <f>SUMIF('库存（子SKU）'!$C:$C,$A194,'库存（子SKU）'!D:D)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6" t="s">
        <v>53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2" t="str">
        <f t="shared" si="49"/>
        <v/>
      </c>
      <c r="W194" s="22" t="str">
        <f t="shared" si="50"/>
        <v/>
      </c>
      <c r="X194" s="22" t="str">
        <f t="shared" si="51"/>
        <v/>
      </c>
      <c r="Y194" s="22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2" t="str">
        <f t="shared" si="37"/>
        <v/>
      </c>
      <c r="AE194" s="22" t="str">
        <f t="shared" si="38"/>
        <v/>
      </c>
      <c r="AF194" s="22" t="str">
        <f t="shared" si="39"/>
        <v/>
      </c>
      <c r="AG194" s="22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4</v>
      </c>
      <c r="AL194" s="22" t="str">
        <f t="shared" si="41"/>
        <v/>
      </c>
      <c r="AM194" s="22" t="str">
        <f t="shared" si="42"/>
        <v/>
      </c>
      <c r="AN194" s="22" t="str">
        <f t="shared" si="43"/>
        <v/>
      </c>
      <c r="AO194" s="22">
        <f t="shared" si="44"/>
        <v>0</v>
      </c>
      <c r="AP194" s="7">
        <f t="shared" si="45"/>
        <v>0</v>
      </c>
      <c r="AQ194" s="7">
        <f t="shared" si="46"/>
        <v>0</v>
      </c>
      <c r="AR194" s="7">
        <f t="shared" si="47"/>
        <v>0</v>
      </c>
      <c r="AS194" t="str">
        <f t="shared" si="48"/>
        <v>库存为0</v>
      </c>
      <c r="AT194" s="2" t="str">
        <f>IFERROR(时间!$B$4+AS194,"上周无销量")</f>
        <v>上周无销量</v>
      </c>
    </row>
    <row r="195" spans="1:46">
      <c r="A195" t="s">
        <v>2196</v>
      </c>
      <c r="B195" s="5">
        <f>SUMIF('库存（子SKU）'!$C:$C,$A195,'库存（子SKU）'!D:D)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2</v>
      </c>
      <c r="E195" s="5">
        <f>SUMIF('库存（子SKU）'!$C:$C,$A195,'库存（子SKU）'!G:G)</f>
        <v>0</v>
      </c>
      <c r="F195" s="6">
        <v>17.99</v>
      </c>
      <c r="G195">
        <f>SUMIF('库存（子SKU）'!$C:$C,$A195,'库存（子SKU）'!I:I)</f>
        <v>17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17</v>
      </c>
      <c r="L195">
        <f>SUMIF('库存（子SKU）'!$C:$C,$A195,'库存（子SKU）'!N:N)</f>
        <v>0</v>
      </c>
      <c r="M195">
        <f>SUMIF('库存（子SKU）'!$C:$C,$A195,'库存（子SKU）'!O:O)</f>
        <v>17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2" t="str">
        <f t="shared" si="49"/>
        <v/>
      </c>
      <c r="W195" s="22" t="str">
        <f t="shared" si="50"/>
        <v/>
      </c>
      <c r="X195" s="22" t="str">
        <f t="shared" si="51"/>
        <v/>
      </c>
      <c r="Y195" s="22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2" t="str">
        <f t="shared" si="37"/>
        <v/>
      </c>
      <c r="AE195" s="22" t="str">
        <f t="shared" si="38"/>
        <v/>
      </c>
      <c r="AF195" s="22">
        <f t="shared" si="39"/>
        <v>0</v>
      </c>
      <c r="AG195" s="22" t="str">
        <f t="shared" si="40"/>
        <v/>
      </c>
      <c r="AH195">
        <f>SUMIF('库存（子SKU）'!$C:$C,$A195,'库存（子SKU）'!AJ:AJ)</f>
        <v>31</v>
      </c>
      <c r="AI195">
        <f>SUMIF('库存（子SKU）'!$C:$C,$A195,'库存（子SKU）'!AK:AK)</f>
        <v>9</v>
      </c>
      <c r="AJ195">
        <f>SUMIF('库存（子SKU）'!$C:$C,$A195,'库存（子SKU）'!AL:AL)</f>
        <v>6</v>
      </c>
      <c r="AK195">
        <f>SUMIF('库存（子SKU）'!$C:$C,$A195,'库存（子SKU）'!AM:AM)</f>
        <v>31</v>
      </c>
      <c r="AL195" s="22">
        <f t="shared" si="41"/>
        <v>0</v>
      </c>
      <c r="AM195" s="22">
        <f t="shared" si="42"/>
        <v>0</v>
      </c>
      <c r="AN195" s="22">
        <f t="shared" si="43"/>
        <v>0.333333333333333</v>
      </c>
      <c r="AO195" s="22">
        <f t="shared" si="44"/>
        <v>0</v>
      </c>
      <c r="AP195" s="7">
        <f t="shared" si="45"/>
        <v>0</v>
      </c>
      <c r="AQ195" s="7">
        <f t="shared" si="46"/>
        <v>0</v>
      </c>
      <c r="AR195" s="7">
        <f t="shared" si="47"/>
        <v>17</v>
      </c>
      <c r="AS195" t="str">
        <f t="shared" si="48"/>
        <v>库存为17</v>
      </c>
      <c r="AT195" s="2" t="str">
        <f>IFERROR(时间!$B$4+AS195,"上周无销量")</f>
        <v>上周无销量</v>
      </c>
    </row>
    <row r="196" spans="1:46">
      <c r="A196" t="s">
        <v>2213</v>
      </c>
      <c r="B196" s="5">
        <f>SUMIF('库存（子SKU）'!$C:$C,$A196,'库存（子SKU）'!D:D)</f>
        <v>4</v>
      </c>
      <c r="C196" s="5">
        <f>SUMIF('库存（子SKU）'!$C:$C,$A196,'库存（子SKU）'!E:E)</f>
        <v>2</v>
      </c>
      <c r="D196" s="5">
        <f>SUMIF('库存（子SKU）'!$C:$C,$A196,'库存（子SKU）'!F:F)</f>
        <v>4</v>
      </c>
      <c r="E196" s="5">
        <f>SUMIF('库存（子SKU）'!$C:$C,$A196,'库存（子SKU）'!G:G)</f>
        <v>0</v>
      </c>
      <c r="F196" s="6">
        <v>20.99</v>
      </c>
      <c r="G196">
        <f>SUMIF('库存（子SKU）'!$C:$C,$A196,'库存（子SKU）'!I:I)</f>
        <v>28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1</v>
      </c>
      <c r="K196">
        <f t="shared" si="36"/>
        <v>29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14085</v>
      </c>
      <c r="O196">
        <f>SUMIF('库存（子SKU）'!$C:$C,$A196,'库存（子SKU）'!Q:Q)</f>
        <v>9809</v>
      </c>
      <c r="P196">
        <f>SUMIF('库存（子SKU）'!$C:$C,$A196,'库存（子SKU）'!R:R)</f>
        <v>3951</v>
      </c>
      <c r="Q196">
        <f>SUMIF('库存（子SKU）'!$C:$C,$A196,'库存（子SKU）'!S:S)</f>
        <v>0</v>
      </c>
      <c r="R196">
        <f>SUMIF('库存（子SKU）'!$C:$C,$A196,'库存（子SKU）'!T:T)</f>
        <v>57</v>
      </c>
      <c r="S196">
        <f>SUMIF('库存（子SKU）'!$C:$C,$A196,'库存（子SKU）'!U:U)</f>
        <v>46</v>
      </c>
      <c r="T196">
        <f>SUMIF('库存（子SKU）'!$C:$C,$A196,'库存（子SKU）'!V:V)</f>
        <v>23</v>
      </c>
      <c r="U196">
        <f>SUMIF('库存（子SKU）'!$C:$C,$A196,'库存（子SKU）'!W:W)</f>
        <v>0</v>
      </c>
      <c r="V196" s="22">
        <f t="shared" si="49"/>
        <v>0.0040468583599574</v>
      </c>
      <c r="W196" s="22">
        <f t="shared" si="50"/>
        <v>0.0046895708023244</v>
      </c>
      <c r="X196" s="22">
        <f t="shared" si="51"/>
        <v>0.00582131106049101</v>
      </c>
      <c r="Y196" s="22" t="str">
        <f t="shared" si="52"/>
        <v/>
      </c>
      <c r="Z196">
        <f>SUMIF('库存（子SKU）'!$C:$C,$A196,'库存（子SKU）'!AB:AB)</f>
        <v>38.07</v>
      </c>
      <c r="AA196">
        <f>SUMIF('库存（子SKU）'!$C:$C,$A196,'库存（子SKU）'!AC:AC)</f>
        <v>29.05</v>
      </c>
      <c r="AB196">
        <f>SUMIF('库存（子SKU）'!$C:$C,$A196,'库存（子SKU）'!AD:AD)</f>
        <v>11.51</v>
      </c>
      <c r="AC196">
        <f>SUMIF('库存（子SKU）'!$C:$C,$A196,'库存（子SKU）'!AE:AE)</f>
        <v>0</v>
      </c>
      <c r="AD196" s="22">
        <f t="shared" si="37"/>
        <v>0.453430204859457</v>
      </c>
      <c r="AE196" s="22">
        <f t="shared" si="38"/>
        <v>0.691996188661267</v>
      </c>
      <c r="AF196" s="22">
        <f t="shared" si="39"/>
        <v>0.137089090042878</v>
      </c>
      <c r="AG196" s="22" t="str">
        <f t="shared" si="40"/>
        <v/>
      </c>
      <c r="AH196">
        <f>SUMIF('库存（子SKU）'!$C:$C,$A196,'库存（子SKU）'!AJ:AJ)</f>
        <v>83</v>
      </c>
      <c r="AI196">
        <f>SUMIF('库存（子SKU）'!$C:$C,$A196,'库存（子SKU）'!AK:AK)</f>
        <v>111</v>
      </c>
      <c r="AJ196">
        <f>SUMIF('库存（子SKU）'!$C:$C,$A196,'库存（子SKU）'!AL:AL)</f>
        <v>53</v>
      </c>
      <c r="AK196">
        <f>SUMIF('库存（子SKU）'!$C:$C,$A196,'库存（子SKU）'!AM:AM)</f>
        <v>14</v>
      </c>
      <c r="AL196" s="22">
        <f t="shared" si="41"/>
        <v>0.0481927710843374</v>
      </c>
      <c r="AM196" s="22">
        <f t="shared" si="42"/>
        <v>0.018018018018018</v>
      </c>
      <c r="AN196" s="22">
        <f t="shared" si="43"/>
        <v>0.0754716981132075</v>
      </c>
      <c r="AO196" s="22">
        <f t="shared" si="44"/>
        <v>0</v>
      </c>
      <c r="AP196" s="7">
        <f t="shared" si="45"/>
        <v>0.571428571428571</v>
      </c>
      <c r="AQ196" s="7">
        <f t="shared" si="46"/>
        <v>34.2857142857143</v>
      </c>
      <c r="AR196" s="7">
        <f t="shared" si="47"/>
        <v>-5.28571428571428</v>
      </c>
      <c r="AS196">
        <f t="shared" si="48"/>
        <v>50</v>
      </c>
      <c r="AT196" s="2">
        <f>IFERROR(时间!$B$4+AS196,"上周无销量")</f>
        <v>43368</v>
      </c>
    </row>
    <row r="197" spans="1:46">
      <c r="A197" t="s">
        <v>2219</v>
      </c>
      <c r="B197" s="5">
        <f>SUMIF('库存（子SKU）'!$C:$C,$A197,'库存（子SKU）'!D:D)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6" t="s">
        <v>53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00" si="53">SUM(G197:J197)</f>
        <v>0</v>
      </c>
      <c r="L197">
        <f>SUMIF('库存（子SKU）'!$C:$C,$A197,'库存（子SKU）'!N:N)</f>
        <v>39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2" t="str">
        <f t="shared" si="49"/>
        <v/>
      </c>
      <c r="W197" s="22" t="str">
        <f t="shared" si="50"/>
        <v/>
      </c>
      <c r="X197" s="22" t="str">
        <f t="shared" si="51"/>
        <v/>
      </c>
      <c r="Y197" s="22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2" t="str">
        <f t="shared" ref="AD197:AD200" si="54">IF(AND(Z197&gt;0,B197=0),"无销量广告费为"&amp;Z197,IFERROR(Z197/(B197*$F197),""))</f>
        <v/>
      </c>
      <c r="AE197" s="22" t="str">
        <f t="shared" ref="AE197:AE200" si="55">IF(AND(AA197&gt;0,C197=0),"无销量广告费为"&amp;AA197,IFERROR(AA197/(C197*$F197),""))</f>
        <v/>
      </c>
      <c r="AF197" s="22" t="str">
        <f t="shared" ref="AF197:AF200" si="56">IF(AND(AB197&gt;0,D197=0),"无销量广告费为"&amp;AB197,IFERROR(AB197/(D197*$F197),""))</f>
        <v/>
      </c>
      <c r="AG197" s="22" t="str">
        <f t="shared" ref="AG197:AG200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22" t="str">
        <f t="shared" ref="AL197:AL200" si="58">IFERROR(B197/AH197,"")</f>
        <v/>
      </c>
      <c r="AM197" s="22" t="str">
        <f t="shared" ref="AM197:AM200" si="59">IFERROR(C197/AI197,"")</f>
        <v/>
      </c>
      <c r="AN197" s="22" t="str">
        <f t="shared" ref="AN197:AN200" si="60">IFERROR(D197/AJ197,"")</f>
        <v/>
      </c>
      <c r="AO197" s="22" t="str">
        <f t="shared" ref="AO197:AO200" si="61">IFERROR(E197/AK197,"")</f>
        <v/>
      </c>
      <c r="AP197" s="7">
        <f t="shared" ref="AP197:AP200" si="62">B197/7</f>
        <v>0</v>
      </c>
      <c r="AQ197" s="7">
        <f t="shared" ref="AQ197:AQ200" si="63">AP197*60</f>
        <v>0</v>
      </c>
      <c r="AR197" s="7">
        <f t="shared" ref="AR197:AR200" si="64">K197-AQ197</f>
        <v>0</v>
      </c>
      <c r="AS197" t="str">
        <f t="shared" ref="AS197:AS200" si="65">IF(AP197=0,"库存为"&amp;K197,INT(K197/AP197))</f>
        <v>库存为0</v>
      </c>
      <c r="AT197" s="2" t="str">
        <f>IFERROR(时间!$B$4+AS197,"上周无销量")</f>
        <v>上周无销量</v>
      </c>
    </row>
    <row r="198" spans="1:46">
      <c r="A198" t="s">
        <v>2251</v>
      </c>
      <c r="B198" s="5">
        <f>SUMIF('库存（子SKU）'!$C:$C,$A198,'库存（子SKU）'!D:D)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6" t="s">
        <v>53</v>
      </c>
      <c r="G198">
        <f>SUMIF('库存（子SKU）'!$C:$C,$A198,'库存（子SKU）'!I:I)</f>
        <v>52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52</v>
      </c>
      <c r="L198">
        <f>SUMIF('库存（子SKU）'!$C:$C,$A198,'库存（子SKU）'!N:N)</f>
        <v>0</v>
      </c>
      <c r="M198">
        <f>SUMIF('库存（子SKU）'!$C:$C,$A198,'库存（子SKU）'!O:O)</f>
        <v>23</v>
      </c>
      <c r="N198">
        <f>SUMIF('库存（子SKU）'!$C:$C,$A198,'库存（子SKU）'!P:P)</f>
        <v>1135</v>
      </c>
      <c r="O198">
        <f>SUMIF('库存（子SKU）'!$C:$C,$A198,'库存（子SKU）'!Q:Q)</f>
        <v>3741</v>
      </c>
      <c r="P198">
        <f>SUMIF('库存（子SKU）'!$C:$C,$A198,'库存（子SKU）'!R:R)</f>
        <v>1167</v>
      </c>
      <c r="Q198">
        <f>SUMIF('库存（子SKU）'!$C:$C,$A198,'库存（子SKU）'!S:S)</f>
        <v>0</v>
      </c>
      <c r="R198">
        <f>SUMIF('库存（子SKU）'!$C:$C,$A198,'库存（子SKU）'!T:T)</f>
        <v>4</v>
      </c>
      <c r="S198">
        <f>SUMIF('库存（子SKU）'!$C:$C,$A198,'库存（子SKU）'!U:U)</f>
        <v>19</v>
      </c>
      <c r="T198">
        <f>SUMIF('库存（子SKU）'!$C:$C,$A198,'库存（子SKU）'!V:V)</f>
        <v>5</v>
      </c>
      <c r="U198">
        <f>SUMIF('库存（子SKU）'!$C:$C,$A198,'库存（子SKU）'!W:W)</f>
        <v>0</v>
      </c>
      <c r="V198" s="22">
        <f t="shared" ref="V198:V200" si="66">IFERROR(R198/N198,"")</f>
        <v>0.00352422907488987</v>
      </c>
      <c r="W198" s="22">
        <f t="shared" ref="W198:W200" si="67">IFERROR(S198/O198,"")</f>
        <v>0.00507885592087677</v>
      </c>
      <c r="X198" s="22">
        <f t="shared" ref="X198:X200" si="68">IFERROR(T198/P198,"")</f>
        <v>0.00428449014567267</v>
      </c>
      <c r="Y198" s="22" t="str">
        <f t="shared" ref="Y198:Y200" si="69">IFERROR(U198/Q198,"")</f>
        <v/>
      </c>
      <c r="Z198">
        <f>SUMIF('库存（子SKU）'!$C:$C,$A198,'库存（子SKU）'!AB:AB)</f>
        <v>0.51</v>
      </c>
      <c r="AA198">
        <f>SUMIF('库存（子SKU）'!$C:$C,$A198,'库存（子SKU）'!AC:AC)</f>
        <v>5.65</v>
      </c>
      <c r="AB198">
        <f>SUMIF('库存（子SKU）'!$C:$C,$A198,'库存（子SKU）'!AD:AD)</f>
        <v>1.79</v>
      </c>
      <c r="AC198">
        <f>SUMIF('库存（子SKU）'!$C:$C,$A198,'库存（子SKU）'!AE:AE)</f>
        <v>0</v>
      </c>
      <c r="AD198" s="22" t="str">
        <f t="shared" si="54"/>
        <v>无销量广告费为0.51</v>
      </c>
      <c r="AE198" s="22" t="str">
        <f t="shared" si="55"/>
        <v>无销量广告费为5.65</v>
      </c>
      <c r="AF198" s="22" t="str">
        <f t="shared" si="56"/>
        <v>无销量广告费为1.79</v>
      </c>
      <c r="AG198" s="22" t="str">
        <f t="shared" si="57"/>
        <v/>
      </c>
      <c r="AH198">
        <f>SUMIF('库存（子SKU）'!$C:$C,$A198,'库存（子SKU）'!AJ:AJ)</f>
        <v>31</v>
      </c>
      <c r="AI198">
        <f>SUMIF('库存（子SKU）'!$C:$C,$A198,'库存（子SKU）'!AK:AK)</f>
        <v>47</v>
      </c>
      <c r="AJ198">
        <f>SUMIF('库存（子SKU）'!$C:$C,$A198,'库存（子SKU）'!AL:AL)</f>
        <v>27</v>
      </c>
      <c r="AK198">
        <f>SUMIF('库存（子SKU）'!$C:$C,$A198,'库存（子SKU）'!AM:AM)</f>
        <v>21</v>
      </c>
      <c r="AL198" s="22">
        <f t="shared" si="58"/>
        <v>0</v>
      </c>
      <c r="AM198" s="22">
        <f t="shared" si="59"/>
        <v>0</v>
      </c>
      <c r="AN198" s="22">
        <f t="shared" si="60"/>
        <v>0</v>
      </c>
      <c r="AO198" s="22">
        <f t="shared" si="61"/>
        <v>0</v>
      </c>
      <c r="AP198" s="7">
        <f t="shared" si="62"/>
        <v>0</v>
      </c>
      <c r="AQ198" s="7">
        <f t="shared" si="63"/>
        <v>0</v>
      </c>
      <c r="AR198" s="7">
        <f t="shared" si="64"/>
        <v>52</v>
      </c>
      <c r="AS198" t="str">
        <f t="shared" si="65"/>
        <v>库存为52</v>
      </c>
      <c r="AT198" s="2" t="str">
        <f>IFERROR(时间!$B$4+AS198,"上周无销量")</f>
        <v>上周无销量</v>
      </c>
    </row>
    <row r="199" spans="1:46">
      <c r="A199" t="s">
        <v>2275</v>
      </c>
      <c r="B199" s="5">
        <f>SUMIF('库存（子SKU）'!$C:$C,$A199,'库存（子SKU）'!D:D)</f>
        <v>0</v>
      </c>
      <c r="C199" s="5">
        <f>SUMIF('库存（子SKU）'!$C:$C,$A199,'库存（子SKU）'!E:E)</f>
        <v>0</v>
      </c>
      <c r="D199" s="5">
        <f>SUMIF('库存（子SKU）'!$C:$C,$A199,'库存（子SKU）'!F:F)</f>
        <v>0</v>
      </c>
      <c r="E199" s="5">
        <f>SUMIF('库存（子SKU）'!$C:$C,$A199,'库存（子SKU）'!G:G)</f>
        <v>0</v>
      </c>
      <c r="F199" s="6" t="s">
        <v>53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9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2" t="str">
        <f t="shared" si="66"/>
        <v/>
      </c>
      <c r="W199" s="22" t="str">
        <f t="shared" si="67"/>
        <v/>
      </c>
      <c r="X199" s="22" t="str">
        <f t="shared" si="68"/>
        <v/>
      </c>
      <c r="Y199" s="22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2" t="str">
        <f t="shared" si="54"/>
        <v/>
      </c>
      <c r="AE199" s="22" t="str">
        <f t="shared" si="55"/>
        <v/>
      </c>
      <c r="AF199" s="22" t="str">
        <f t="shared" si="56"/>
        <v/>
      </c>
      <c r="AG199" s="22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22" t="str">
        <f t="shared" si="58"/>
        <v/>
      </c>
      <c r="AM199" s="22" t="str">
        <f t="shared" si="59"/>
        <v/>
      </c>
      <c r="AN199" s="22" t="str">
        <f t="shared" si="60"/>
        <v/>
      </c>
      <c r="AO199" s="22" t="str">
        <f t="shared" si="61"/>
        <v/>
      </c>
      <c r="AP199" s="7">
        <f t="shared" si="62"/>
        <v>0</v>
      </c>
      <c r="AQ199" s="7">
        <f t="shared" si="63"/>
        <v>0</v>
      </c>
      <c r="AR199" s="7">
        <f t="shared" si="64"/>
        <v>0</v>
      </c>
      <c r="AS199" t="str">
        <f t="shared" si="65"/>
        <v>库存为0</v>
      </c>
      <c r="AT199" s="2" t="str">
        <f>IFERROR(时间!$B$4+AS199,"上周无销量")</f>
        <v>上周无销量</v>
      </c>
    </row>
    <row r="200" spans="1:46">
      <c r="A200" t="s">
        <v>2279</v>
      </c>
      <c r="B200" s="5">
        <f>SUMIF('库存（子SKU）'!$C:$C,$A200,'库存（子SKU）'!D:D)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59</v>
      </c>
      <c r="E200" s="5">
        <f>SUMIF('库存（子SKU）'!$C:$C,$A200,'库存（子SKU）'!G:G)</f>
        <v>20</v>
      </c>
      <c r="F200" s="6">
        <v>21.99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2" t="str">
        <f t="shared" si="66"/>
        <v/>
      </c>
      <c r="W200" s="22" t="str">
        <f t="shared" si="67"/>
        <v/>
      </c>
      <c r="X200" s="22" t="str">
        <f t="shared" si="68"/>
        <v/>
      </c>
      <c r="Y200" s="22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2" t="str">
        <f t="shared" si="54"/>
        <v/>
      </c>
      <c r="AE200" s="22" t="str">
        <f t="shared" si="55"/>
        <v/>
      </c>
      <c r="AF200" s="22">
        <f t="shared" si="56"/>
        <v>0</v>
      </c>
      <c r="AG200" s="22">
        <f t="shared" si="57"/>
        <v>0</v>
      </c>
      <c r="AH200">
        <f>SUMIF('库存（子SKU）'!$C:$C,$A200,'库存（子SKU）'!AJ:AJ)</f>
        <v>4309</v>
      </c>
      <c r="AI200">
        <f>SUMIF('库存（子SKU）'!$C:$C,$A200,'库存（子SKU）'!AK:AK)</f>
        <v>4539</v>
      </c>
      <c r="AJ200">
        <f>SUMIF('库存（子SKU）'!$C:$C,$A200,'库存（子SKU）'!AL:AL)</f>
        <v>5955</v>
      </c>
      <c r="AK200">
        <f>SUMIF('库存（子SKU）'!$C:$C,$A200,'库存（子SKU）'!AM:AM)</f>
        <v>3081</v>
      </c>
      <c r="AL200" s="22">
        <f t="shared" si="58"/>
        <v>0</v>
      </c>
      <c r="AM200" s="22">
        <f t="shared" si="59"/>
        <v>0</v>
      </c>
      <c r="AN200" s="22">
        <f t="shared" si="60"/>
        <v>0.00990764063811923</v>
      </c>
      <c r="AO200" s="22">
        <f t="shared" si="61"/>
        <v>0.00649139889646219</v>
      </c>
      <c r="AP200" s="7">
        <f t="shared" si="62"/>
        <v>0</v>
      </c>
      <c r="AQ200" s="7">
        <f t="shared" si="63"/>
        <v>0</v>
      </c>
      <c r="AR200" s="7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5016" operator="lessThan">
      <formula>20</formula>
    </cfRule>
    <cfRule type="cellIs" dxfId="1" priority="5015" operator="greaterThan">
      <formula>120</formula>
    </cfRule>
    <cfRule type="containsText" dxfId="3" priority="5014" operator="between" text="库存">
      <formula>NOT(ISERROR(SEARCH("库存",AS2)))</formula>
    </cfRule>
  </conditionalFormatting>
  <conditionalFormatting sqref="AS6">
    <cfRule type="cellIs" dxfId="0" priority="585" operator="lessThan">
      <formula>20</formula>
    </cfRule>
    <cfRule type="cellIs" dxfId="1" priority="390" operator="greaterThan">
      <formula>120</formula>
    </cfRule>
    <cfRule type="containsText" dxfId="3" priority="195" operator="between" text="库存">
      <formula>NOT(ISERROR(SEARCH("库存",AS6)))</formula>
    </cfRule>
  </conditionalFormatting>
  <conditionalFormatting sqref="AS7">
    <cfRule type="cellIs" dxfId="0" priority="584" operator="lessThan">
      <formula>20</formula>
    </cfRule>
    <cfRule type="cellIs" dxfId="1" priority="389" operator="greaterThan">
      <formula>120</formula>
    </cfRule>
    <cfRule type="containsText" dxfId="3" priority="194" operator="between" text="库存">
      <formula>NOT(ISERROR(SEARCH("库存",AS7)))</formula>
    </cfRule>
  </conditionalFormatting>
  <conditionalFormatting sqref="AS8">
    <cfRule type="cellIs" dxfId="0" priority="583" operator="lessThan">
      <formula>20</formula>
    </cfRule>
    <cfRule type="cellIs" dxfId="1" priority="388" operator="greaterThan">
      <formula>120</formula>
    </cfRule>
    <cfRule type="containsText" dxfId="3" priority="193" operator="between" text="库存">
      <formula>NOT(ISERROR(SEARCH("库存",AS8)))</formula>
    </cfRule>
  </conditionalFormatting>
  <conditionalFormatting sqref="AS9">
    <cfRule type="cellIs" dxfId="0" priority="582" operator="lessThan">
      <formula>20</formula>
    </cfRule>
    <cfRule type="cellIs" dxfId="1" priority="387" operator="greaterThan">
      <formula>120</formula>
    </cfRule>
    <cfRule type="containsText" dxfId="3" priority="192" operator="between" text="库存">
      <formula>NOT(ISERROR(SEARCH("库存",AS9)))</formula>
    </cfRule>
  </conditionalFormatting>
  <conditionalFormatting sqref="AS10">
    <cfRule type="cellIs" dxfId="0" priority="581" operator="lessThan">
      <formula>20</formula>
    </cfRule>
    <cfRule type="cellIs" dxfId="1" priority="386" operator="greaterThan">
      <formula>120</formula>
    </cfRule>
    <cfRule type="containsText" dxfId="3" priority="191" operator="between" text="库存">
      <formula>NOT(ISERROR(SEARCH("库存",AS10)))</formula>
    </cfRule>
  </conditionalFormatting>
  <conditionalFormatting sqref="AS11">
    <cfRule type="cellIs" dxfId="0" priority="580" operator="lessThan">
      <formula>20</formula>
    </cfRule>
    <cfRule type="cellIs" dxfId="1" priority="385" operator="greaterThan">
      <formula>120</formula>
    </cfRule>
    <cfRule type="containsText" dxfId="3" priority="190" operator="between" text="库存">
      <formula>NOT(ISERROR(SEARCH("库存",AS11)))</formula>
    </cfRule>
  </conditionalFormatting>
  <conditionalFormatting sqref="AS12">
    <cfRule type="cellIs" dxfId="0" priority="579" operator="lessThan">
      <formula>20</formula>
    </cfRule>
    <cfRule type="cellIs" dxfId="1" priority="384" operator="greaterThan">
      <formula>120</formula>
    </cfRule>
    <cfRule type="containsText" dxfId="3" priority="189" operator="between" text="库存">
      <formula>NOT(ISERROR(SEARCH("库存",AS12)))</formula>
    </cfRule>
  </conditionalFormatting>
  <conditionalFormatting sqref="AS13">
    <cfRule type="cellIs" dxfId="0" priority="578" operator="lessThan">
      <formula>20</formula>
    </cfRule>
    <cfRule type="cellIs" dxfId="1" priority="383" operator="greaterThan">
      <formula>120</formula>
    </cfRule>
    <cfRule type="containsText" dxfId="3" priority="188" operator="between" text="库存">
      <formula>NOT(ISERROR(SEARCH("库存",AS13)))</formula>
    </cfRule>
  </conditionalFormatting>
  <conditionalFormatting sqref="AS14">
    <cfRule type="cellIs" dxfId="0" priority="577" operator="lessThan">
      <formula>20</formula>
    </cfRule>
    <cfRule type="cellIs" dxfId="1" priority="382" operator="greaterThan">
      <formula>120</formula>
    </cfRule>
    <cfRule type="containsText" dxfId="3" priority="187" operator="between" text="库存">
      <formula>NOT(ISERROR(SEARCH("库存",AS14)))</formula>
    </cfRule>
  </conditionalFormatting>
  <conditionalFormatting sqref="AS15">
    <cfRule type="cellIs" dxfId="0" priority="576" operator="lessThan">
      <formula>20</formula>
    </cfRule>
    <cfRule type="cellIs" dxfId="1" priority="381" operator="greaterThan">
      <formula>120</formula>
    </cfRule>
    <cfRule type="containsText" dxfId="3" priority="186" operator="between" text="库存">
      <formula>NOT(ISERROR(SEARCH("库存",AS15)))</formula>
    </cfRule>
  </conditionalFormatting>
  <conditionalFormatting sqref="AS16">
    <cfRule type="cellIs" dxfId="0" priority="575" operator="lessThan">
      <formula>20</formula>
    </cfRule>
    <cfRule type="cellIs" dxfId="1" priority="380" operator="greaterThan">
      <formula>120</formula>
    </cfRule>
    <cfRule type="containsText" dxfId="3" priority="185" operator="between" text="库存">
      <formula>NOT(ISERROR(SEARCH("库存",AS16)))</formula>
    </cfRule>
  </conditionalFormatting>
  <conditionalFormatting sqref="AS17">
    <cfRule type="cellIs" dxfId="0" priority="574" operator="lessThan">
      <formula>20</formula>
    </cfRule>
    <cfRule type="cellIs" dxfId="1" priority="379" operator="greaterThan">
      <formula>120</formula>
    </cfRule>
    <cfRule type="containsText" dxfId="3" priority="184" operator="between" text="库存">
      <formula>NOT(ISERROR(SEARCH("库存",AS17)))</formula>
    </cfRule>
  </conditionalFormatting>
  <conditionalFormatting sqref="AS18">
    <cfRule type="cellIs" dxfId="0" priority="573" operator="lessThan">
      <formula>20</formula>
    </cfRule>
    <cfRule type="cellIs" dxfId="1" priority="378" operator="greaterThan">
      <formula>120</formula>
    </cfRule>
    <cfRule type="containsText" dxfId="3" priority="183" operator="between" text="库存">
      <formula>NOT(ISERROR(SEARCH("库存",AS18)))</formula>
    </cfRule>
  </conditionalFormatting>
  <conditionalFormatting sqref="AS19">
    <cfRule type="cellIs" dxfId="0" priority="572" operator="lessThan">
      <formula>20</formula>
    </cfRule>
    <cfRule type="cellIs" dxfId="1" priority="377" operator="greaterThan">
      <formula>120</formula>
    </cfRule>
    <cfRule type="containsText" dxfId="3" priority="182" operator="between" text="库存">
      <formula>NOT(ISERROR(SEARCH("库存",AS19)))</formula>
    </cfRule>
  </conditionalFormatting>
  <conditionalFormatting sqref="AS20">
    <cfRule type="cellIs" dxfId="0" priority="571" operator="lessThan">
      <formula>20</formula>
    </cfRule>
    <cfRule type="cellIs" dxfId="1" priority="376" operator="greaterThan">
      <formula>120</formula>
    </cfRule>
    <cfRule type="containsText" dxfId="3" priority="181" operator="between" text="库存">
      <formula>NOT(ISERROR(SEARCH("库存",AS20)))</formula>
    </cfRule>
  </conditionalFormatting>
  <conditionalFormatting sqref="AS21">
    <cfRule type="cellIs" dxfId="0" priority="570" operator="lessThan">
      <formula>20</formula>
    </cfRule>
    <cfRule type="cellIs" dxfId="1" priority="375" operator="greaterThan">
      <formula>120</formula>
    </cfRule>
    <cfRule type="containsText" dxfId="3" priority="180" operator="between" text="库存">
      <formula>NOT(ISERROR(SEARCH("库存",AS21)))</formula>
    </cfRule>
  </conditionalFormatting>
  <conditionalFormatting sqref="AS22">
    <cfRule type="cellIs" dxfId="0" priority="569" operator="lessThan">
      <formula>20</formula>
    </cfRule>
    <cfRule type="cellIs" dxfId="1" priority="374" operator="greaterThan">
      <formula>120</formula>
    </cfRule>
    <cfRule type="containsText" dxfId="3" priority="179" operator="between" text="库存">
      <formula>NOT(ISERROR(SEARCH("库存",AS22)))</formula>
    </cfRule>
  </conditionalFormatting>
  <conditionalFormatting sqref="AS23">
    <cfRule type="cellIs" dxfId="0" priority="568" operator="lessThan">
      <formula>20</formula>
    </cfRule>
    <cfRule type="cellIs" dxfId="1" priority="373" operator="greaterThan">
      <formula>120</formula>
    </cfRule>
    <cfRule type="containsText" dxfId="3" priority="178" operator="between" text="库存">
      <formula>NOT(ISERROR(SEARCH("库存",AS23)))</formula>
    </cfRule>
  </conditionalFormatting>
  <conditionalFormatting sqref="AS24">
    <cfRule type="cellIs" dxfId="0" priority="567" operator="lessThan">
      <formula>20</formula>
    </cfRule>
    <cfRule type="cellIs" dxfId="1" priority="372" operator="greaterThan">
      <formula>120</formula>
    </cfRule>
    <cfRule type="containsText" dxfId="3" priority="177" operator="between" text="库存">
      <formula>NOT(ISERROR(SEARCH("库存",AS24)))</formula>
    </cfRule>
  </conditionalFormatting>
  <conditionalFormatting sqref="AS25">
    <cfRule type="cellIs" dxfId="0" priority="566" operator="lessThan">
      <formula>20</formula>
    </cfRule>
    <cfRule type="cellIs" dxfId="1" priority="371" operator="greaterThan">
      <formula>120</formula>
    </cfRule>
    <cfRule type="containsText" dxfId="3" priority="176" operator="between" text="库存">
      <formula>NOT(ISERROR(SEARCH("库存",AS25)))</formula>
    </cfRule>
  </conditionalFormatting>
  <conditionalFormatting sqref="AS26">
    <cfRule type="cellIs" dxfId="0" priority="565" operator="lessThan">
      <formula>20</formula>
    </cfRule>
    <cfRule type="cellIs" dxfId="1" priority="370" operator="greaterThan">
      <formula>120</formula>
    </cfRule>
    <cfRule type="containsText" dxfId="3" priority="175" operator="between" text="库存">
      <formula>NOT(ISERROR(SEARCH("库存",AS26)))</formula>
    </cfRule>
  </conditionalFormatting>
  <conditionalFormatting sqref="AS27">
    <cfRule type="cellIs" dxfId="0" priority="564" operator="lessThan">
      <formula>20</formula>
    </cfRule>
    <cfRule type="cellIs" dxfId="1" priority="369" operator="greaterThan">
      <formula>120</formula>
    </cfRule>
    <cfRule type="containsText" dxfId="3" priority="174" operator="between" text="库存">
      <formula>NOT(ISERROR(SEARCH("库存",AS27)))</formula>
    </cfRule>
  </conditionalFormatting>
  <conditionalFormatting sqref="AS28">
    <cfRule type="cellIs" dxfId="0" priority="563" operator="lessThan">
      <formula>20</formula>
    </cfRule>
    <cfRule type="cellIs" dxfId="1" priority="368" operator="greaterThan">
      <formula>120</formula>
    </cfRule>
    <cfRule type="containsText" dxfId="3" priority="173" operator="between" text="库存">
      <formula>NOT(ISERROR(SEARCH("库存",AS28)))</formula>
    </cfRule>
  </conditionalFormatting>
  <conditionalFormatting sqref="AS29">
    <cfRule type="cellIs" dxfId="0" priority="562" operator="lessThan">
      <formula>20</formula>
    </cfRule>
    <cfRule type="cellIs" dxfId="1" priority="367" operator="greaterThan">
      <formula>120</formula>
    </cfRule>
    <cfRule type="containsText" dxfId="3" priority="172" operator="between" text="库存">
      <formula>NOT(ISERROR(SEARCH("库存",AS29)))</formula>
    </cfRule>
  </conditionalFormatting>
  <conditionalFormatting sqref="AS30">
    <cfRule type="cellIs" dxfId="0" priority="561" operator="lessThan">
      <formula>20</formula>
    </cfRule>
    <cfRule type="cellIs" dxfId="1" priority="366" operator="greaterThan">
      <formula>120</formula>
    </cfRule>
    <cfRule type="containsText" dxfId="3" priority="171" operator="between" text="库存">
      <formula>NOT(ISERROR(SEARCH("库存",AS30)))</formula>
    </cfRule>
  </conditionalFormatting>
  <conditionalFormatting sqref="AS31">
    <cfRule type="cellIs" dxfId="0" priority="560" operator="lessThan">
      <formula>20</formula>
    </cfRule>
    <cfRule type="cellIs" dxfId="1" priority="365" operator="greaterThan">
      <formula>120</formula>
    </cfRule>
    <cfRule type="containsText" dxfId="3" priority="170" operator="between" text="库存">
      <formula>NOT(ISERROR(SEARCH("库存",AS31)))</formula>
    </cfRule>
  </conditionalFormatting>
  <conditionalFormatting sqref="AS32">
    <cfRule type="cellIs" dxfId="0" priority="559" operator="lessThan">
      <formula>20</formula>
    </cfRule>
    <cfRule type="cellIs" dxfId="1" priority="364" operator="greaterThan">
      <formula>120</formula>
    </cfRule>
    <cfRule type="containsText" dxfId="3" priority="169" operator="between" text="库存">
      <formula>NOT(ISERROR(SEARCH("库存",AS32)))</formula>
    </cfRule>
  </conditionalFormatting>
  <conditionalFormatting sqref="AS33">
    <cfRule type="cellIs" dxfId="0" priority="558" operator="lessThan">
      <formula>20</formula>
    </cfRule>
    <cfRule type="cellIs" dxfId="1" priority="363" operator="greaterThan">
      <formula>120</formula>
    </cfRule>
    <cfRule type="containsText" dxfId="3" priority="168" operator="between" text="库存">
      <formula>NOT(ISERROR(SEARCH("库存",AS33)))</formula>
    </cfRule>
  </conditionalFormatting>
  <conditionalFormatting sqref="AS34">
    <cfRule type="cellIs" dxfId="0" priority="557" operator="lessThan">
      <formula>20</formula>
    </cfRule>
    <cfRule type="cellIs" dxfId="1" priority="362" operator="greaterThan">
      <formula>120</formula>
    </cfRule>
    <cfRule type="containsText" dxfId="3" priority="167" operator="between" text="库存">
      <formula>NOT(ISERROR(SEARCH("库存",AS34)))</formula>
    </cfRule>
  </conditionalFormatting>
  <conditionalFormatting sqref="AS35">
    <cfRule type="cellIs" dxfId="0" priority="556" operator="lessThan">
      <formula>20</formula>
    </cfRule>
    <cfRule type="cellIs" dxfId="1" priority="361" operator="greaterThan">
      <formula>120</formula>
    </cfRule>
    <cfRule type="containsText" dxfId="3" priority="166" operator="between" text="库存">
      <formula>NOT(ISERROR(SEARCH("库存",AS35)))</formula>
    </cfRule>
  </conditionalFormatting>
  <conditionalFormatting sqref="AS36">
    <cfRule type="cellIs" dxfId="0" priority="555" operator="lessThan">
      <formula>20</formula>
    </cfRule>
    <cfRule type="cellIs" dxfId="1" priority="360" operator="greaterThan">
      <formula>120</formula>
    </cfRule>
    <cfRule type="containsText" dxfId="3" priority="165" operator="between" text="库存">
      <formula>NOT(ISERROR(SEARCH("库存",AS36)))</formula>
    </cfRule>
  </conditionalFormatting>
  <conditionalFormatting sqref="AS37">
    <cfRule type="cellIs" dxfId="0" priority="554" operator="lessThan">
      <formula>20</formula>
    </cfRule>
    <cfRule type="cellIs" dxfId="1" priority="359" operator="greaterThan">
      <formula>120</formula>
    </cfRule>
    <cfRule type="containsText" dxfId="3" priority="164" operator="between" text="库存">
      <formula>NOT(ISERROR(SEARCH("库存",AS37)))</formula>
    </cfRule>
  </conditionalFormatting>
  <conditionalFormatting sqref="AS38">
    <cfRule type="cellIs" dxfId="0" priority="553" operator="lessThan">
      <formula>20</formula>
    </cfRule>
    <cfRule type="cellIs" dxfId="1" priority="358" operator="greaterThan">
      <formula>120</formula>
    </cfRule>
    <cfRule type="containsText" dxfId="3" priority="163" operator="between" text="库存">
      <formula>NOT(ISERROR(SEARCH("库存",AS38)))</formula>
    </cfRule>
  </conditionalFormatting>
  <conditionalFormatting sqref="AS39">
    <cfRule type="cellIs" dxfId="0" priority="552" operator="lessThan">
      <formula>20</formula>
    </cfRule>
    <cfRule type="cellIs" dxfId="1" priority="357" operator="greaterThan">
      <formula>120</formula>
    </cfRule>
    <cfRule type="containsText" dxfId="3" priority="162" operator="between" text="库存">
      <formula>NOT(ISERROR(SEARCH("库存",AS39)))</formula>
    </cfRule>
  </conditionalFormatting>
  <conditionalFormatting sqref="AS40">
    <cfRule type="cellIs" dxfId="0" priority="551" operator="lessThan">
      <formula>20</formula>
    </cfRule>
    <cfRule type="cellIs" dxfId="1" priority="356" operator="greaterThan">
      <formula>120</formula>
    </cfRule>
    <cfRule type="containsText" dxfId="3" priority="161" operator="between" text="库存">
      <formula>NOT(ISERROR(SEARCH("库存",AS40)))</formula>
    </cfRule>
  </conditionalFormatting>
  <conditionalFormatting sqref="AS41">
    <cfRule type="cellIs" dxfId="0" priority="550" operator="lessThan">
      <formula>20</formula>
    </cfRule>
    <cfRule type="cellIs" dxfId="1" priority="355" operator="greaterThan">
      <formula>120</formula>
    </cfRule>
    <cfRule type="containsText" dxfId="3" priority="160" operator="between" text="库存">
      <formula>NOT(ISERROR(SEARCH("库存",AS41)))</formula>
    </cfRule>
  </conditionalFormatting>
  <conditionalFormatting sqref="AS42">
    <cfRule type="cellIs" dxfId="0" priority="549" operator="lessThan">
      <formula>20</formula>
    </cfRule>
    <cfRule type="cellIs" dxfId="1" priority="354" operator="greaterThan">
      <formula>120</formula>
    </cfRule>
    <cfRule type="containsText" dxfId="3" priority="159" operator="between" text="库存">
      <formula>NOT(ISERROR(SEARCH("库存",AS42)))</formula>
    </cfRule>
  </conditionalFormatting>
  <conditionalFormatting sqref="AS43">
    <cfRule type="cellIs" dxfId="0" priority="548" operator="lessThan">
      <formula>20</formula>
    </cfRule>
    <cfRule type="cellIs" dxfId="1" priority="353" operator="greaterThan">
      <formula>120</formula>
    </cfRule>
    <cfRule type="containsText" dxfId="3" priority="158" operator="between" text="库存">
      <formula>NOT(ISERROR(SEARCH("库存",AS43)))</formula>
    </cfRule>
  </conditionalFormatting>
  <conditionalFormatting sqref="AS44">
    <cfRule type="cellIs" dxfId="0" priority="547" operator="lessThan">
      <formula>20</formula>
    </cfRule>
    <cfRule type="cellIs" dxfId="1" priority="352" operator="greaterThan">
      <formula>120</formula>
    </cfRule>
    <cfRule type="containsText" dxfId="3" priority="157" operator="between" text="库存">
      <formula>NOT(ISERROR(SEARCH("库存",AS44)))</formula>
    </cfRule>
  </conditionalFormatting>
  <conditionalFormatting sqref="AS45">
    <cfRule type="cellIs" dxfId="0" priority="546" operator="lessThan">
      <formula>20</formula>
    </cfRule>
    <cfRule type="cellIs" dxfId="1" priority="351" operator="greaterThan">
      <formula>120</formula>
    </cfRule>
    <cfRule type="containsText" dxfId="3" priority="156" operator="between" text="库存">
      <formula>NOT(ISERROR(SEARCH("库存",AS45)))</formula>
    </cfRule>
  </conditionalFormatting>
  <conditionalFormatting sqref="AS46">
    <cfRule type="cellIs" dxfId="0" priority="545" operator="lessThan">
      <formula>20</formula>
    </cfRule>
    <cfRule type="cellIs" dxfId="1" priority="350" operator="greaterThan">
      <formula>120</formula>
    </cfRule>
    <cfRule type="containsText" dxfId="3" priority="155" operator="between" text="库存">
      <formula>NOT(ISERROR(SEARCH("库存",AS46)))</formula>
    </cfRule>
  </conditionalFormatting>
  <conditionalFormatting sqref="AS47">
    <cfRule type="cellIs" dxfId="0" priority="544" operator="lessThan">
      <formula>20</formula>
    </cfRule>
    <cfRule type="cellIs" dxfId="1" priority="349" operator="greaterThan">
      <formula>120</formula>
    </cfRule>
    <cfRule type="containsText" dxfId="3" priority="154" operator="between" text="库存">
      <formula>NOT(ISERROR(SEARCH("库存",AS47)))</formula>
    </cfRule>
  </conditionalFormatting>
  <conditionalFormatting sqref="AS48">
    <cfRule type="cellIs" dxfId="0" priority="543" operator="lessThan">
      <formula>20</formula>
    </cfRule>
    <cfRule type="cellIs" dxfId="1" priority="348" operator="greaterThan">
      <formula>120</formula>
    </cfRule>
    <cfRule type="containsText" dxfId="3" priority="153" operator="between" text="库存">
      <formula>NOT(ISERROR(SEARCH("库存",AS48)))</formula>
    </cfRule>
  </conditionalFormatting>
  <conditionalFormatting sqref="AS49">
    <cfRule type="cellIs" dxfId="0" priority="542" operator="lessThan">
      <formula>20</formula>
    </cfRule>
    <cfRule type="cellIs" dxfId="1" priority="347" operator="greaterThan">
      <formula>120</formula>
    </cfRule>
    <cfRule type="containsText" dxfId="3" priority="152" operator="between" text="库存">
      <formula>NOT(ISERROR(SEARCH("库存",AS49)))</formula>
    </cfRule>
  </conditionalFormatting>
  <conditionalFormatting sqref="AS50">
    <cfRule type="cellIs" dxfId="0" priority="541" operator="lessThan">
      <formula>20</formula>
    </cfRule>
    <cfRule type="cellIs" dxfId="1" priority="346" operator="greaterThan">
      <formula>120</formula>
    </cfRule>
    <cfRule type="containsText" dxfId="3" priority="151" operator="between" text="库存">
      <formula>NOT(ISERROR(SEARCH("库存",AS50)))</formula>
    </cfRule>
  </conditionalFormatting>
  <conditionalFormatting sqref="AS51">
    <cfRule type="cellIs" dxfId="0" priority="540" operator="lessThan">
      <formula>20</formula>
    </cfRule>
    <cfRule type="cellIs" dxfId="1" priority="345" operator="greaterThan">
      <formula>120</formula>
    </cfRule>
    <cfRule type="containsText" dxfId="3" priority="150" operator="between" text="库存">
      <formula>NOT(ISERROR(SEARCH("库存",AS51)))</formula>
    </cfRule>
  </conditionalFormatting>
  <conditionalFormatting sqref="AS52">
    <cfRule type="cellIs" dxfId="0" priority="539" operator="lessThan">
      <formula>20</formula>
    </cfRule>
    <cfRule type="cellIs" dxfId="1" priority="344" operator="greaterThan">
      <formula>120</formula>
    </cfRule>
    <cfRule type="containsText" dxfId="3" priority="149" operator="between" text="库存">
      <formula>NOT(ISERROR(SEARCH("库存",AS52)))</formula>
    </cfRule>
  </conditionalFormatting>
  <conditionalFormatting sqref="AS53">
    <cfRule type="cellIs" dxfId="0" priority="538" operator="lessThan">
      <formula>20</formula>
    </cfRule>
    <cfRule type="cellIs" dxfId="1" priority="343" operator="greaterThan">
      <formula>120</formula>
    </cfRule>
    <cfRule type="containsText" dxfId="3" priority="148" operator="between" text="库存">
      <formula>NOT(ISERROR(SEARCH("库存",AS53)))</formula>
    </cfRule>
  </conditionalFormatting>
  <conditionalFormatting sqref="AS54">
    <cfRule type="cellIs" dxfId="0" priority="537" operator="lessThan">
      <formula>20</formula>
    </cfRule>
    <cfRule type="cellIs" dxfId="1" priority="342" operator="greaterThan">
      <formula>120</formula>
    </cfRule>
    <cfRule type="containsText" dxfId="3" priority="147" operator="between" text="库存">
      <formula>NOT(ISERROR(SEARCH("库存",AS54)))</formula>
    </cfRule>
  </conditionalFormatting>
  <conditionalFormatting sqref="AS55">
    <cfRule type="cellIs" dxfId="0" priority="536" operator="lessThan">
      <formula>20</formula>
    </cfRule>
    <cfRule type="cellIs" dxfId="1" priority="341" operator="greaterThan">
      <formula>120</formula>
    </cfRule>
    <cfRule type="containsText" dxfId="3" priority="146" operator="between" text="库存">
      <formula>NOT(ISERROR(SEARCH("库存",AS55)))</formula>
    </cfRule>
  </conditionalFormatting>
  <conditionalFormatting sqref="AS56">
    <cfRule type="cellIs" dxfId="0" priority="535" operator="lessThan">
      <formula>20</formula>
    </cfRule>
    <cfRule type="cellIs" dxfId="1" priority="340" operator="greaterThan">
      <formula>120</formula>
    </cfRule>
    <cfRule type="containsText" dxfId="3" priority="145" operator="between" text="库存">
      <formula>NOT(ISERROR(SEARCH("库存",AS56)))</formula>
    </cfRule>
  </conditionalFormatting>
  <conditionalFormatting sqref="AS57">
    <cfRule type="cellIs" dxfId="0" priority="534" operator="lessThan">
      <formula>20</formula>
    </cfRule>
    <cfRule type="cellIs" dxfId="1" priority="339" operator="greaterThan">
      <formula>120</formula>
    </cfRule>
    <cfRule type="containsText" dxfId="3" priority="144" operator="between" text="库存">
      <formula>NOT(ISERROR(SEARCH("库存",AS57)))</formula>
    </cfRule>
  </conditionalFormatting>
  <conditionalFormatting sqref="AS58">
    <cfRule type="cellIs" dxfId="0" priority="533" operator="lessThan">
      <formula>20</formula>
    </cfRule>
    <cfRule type="cellIs" dxfId="1" priority="338" operator="greaterThan">
      <formula>120</formula>
    </cfRule>
    <cfRule type="containsText" dxfId="3" priority="143" operator="between" text="库存">
      <formula>NOT(ISERROR(SEARCH("库存",AS58)))</formula>
    </cfRule>
  </conditionalFormatting>
  <conditionalFormatting sqref="AS59">
    <cfRule type="cellIs" dxfId="0" priority="532" operator="lessThan">
      <formula>20</formula>
    </cfRule>
    <cfRule type="cellIs" dxfId="1" priority="337" operator="greaterThan">
      <formula>120</formula>
    </cfRule>
    <cfRule type="containsText" dxfId="3" priority="142" operator="between" text="库存">
      <formula>NOT(ISERROR(SEARCH("库存",AS59)))</formula>
    </cfRule>
  </conditionalFormatting>
  <conditionalFormatting sqref="AS60">
    <cfRule type="cellIs" dxfId="0" priority="531" operator="lessThan">
      <formula>20</formula>
    </cfRule>
    <cfRule type="cellIs" dxfId="1" priority="336" operator="greaterThan">
      <formula>120</formula>
    </cfRule>
    <cfRule type="containsText" dxfId="3" priority="141" operator="between" text="库存">
      <formula>NOT(ISERROR(SEARCH("库存",AS60)))</formula>
    </cfRule>
  </conditionalFormatting>
  <conditionalFormatting sqref="AS61">
    <cfRule type="cellIs" dxfId="0" priority="530" operator="lessThan">
      <formula>20</formula>
    </cfRule>
    <cfRule type="cellIs" dxfId="1" priority="335" operator="greaterThan">
      <formula>120</formula>
    </cfRule>
    <cfRule type="containsText" dxfId="3" priority="140" operator="between" text="库存">
      <formula>NOT(ISERROR(SEARCH("库存",AS61)))</formula>
    </cfRule>
  </conditionalFormatting>
  <conditionalFormatting sqref="AS62">
    <cfRule type="cellIs" dxfId="0" priority="529" operator="lessThan">
      <formula>20</formula>
    </cfRule>
    <cfRule type="cellIs" dxfId="1" priority="334" operator="greaterThan">
      <formula>120</formula>
    </cfRule>
    <cfRule type="containsText" dxfId="3" priority="139" operator="between" text="库存">
      <formula>NOT(ISERROR(SEARCH("库存",AS62)))</formula>
    </cfRule>
  </conditionalFormatting>
  <conditionalFormatting sqref="AS63">
    <cfRule type="cellIs" dxfId="0" priority="528" operator="lessThan">
      <formula>20</formula>
    </cfRule>
    <cfRule type="cellIs" dxfId="1" priority="333" operator="greaterThan">
      <formula>120</formula>
    </cfRule>
    <cfRule type="containsText" dxfId="3" priority="138" operator="between" text="库存">
      <formula>NOT(ISERROR(SEARCH("库存",AS63)))</formula>
    </cfRule>
  </conditionalFormatting>
  <conditionalFormatting sqref="AS64">
    <cfRule type="cellIs" dxfId="0" priority="527" operator="lessThan">
      <formula>20</formula>
    </cfRule>
    <cfRule type="cellIs" dxfId="1" priority="332" operator="greaterThan">
      <formula>120</formula>
    </cfRule>
    <cfRule type="containsText" dxfId="3" priority="137" operator="between" text="库存">
      <formula>NOT(ISERROR(SEARCH("库存",AS64)))</formula>
    </cfRule>
  </conditionalFormatting>
  <conditionalFormatting sqref="AS65">
    <cfRule type="cellIs" dxfId="0" priority="526" operator="lessThan">
      <formula>20</formula>
    </cfRule>
    <cfRule type="cellIs" dxfId="1" priority="331" operator="greaterThan">
      <formula>120</formula>
    </cfRule>
    <cfRule type="containsText" dxfId="3" priority="136" operator="between" text="库存">
      <formula>NOT(ISERROR(SEARCH("库存",AS65)))</formula>
    </cfRule>
  </conditionalFormatting>
  <conditionalFormatting sqref="AS66">
    <cfRule type="cellIs" dxfId="0" priority="525" operator="lessThan">
      <formula>20</formula>
    </cfRule>
    <cfRule type="cellIs" dxfId="1" priority="330" operator="greaterThan">
      <formula>120</formula>
    </cfRule>
    <cfRule type="containsText" dxfId="3" priority="135" operator="between" text="库存">
      <formula>NOT(ISERROR(SEARCH("库存",AS66)))</formula>
    </cfRule>
  </conditionalFormatting>
  <conditionalFormatting sqref="AS67">
    <cfRule type="cellIs" dxfId="0" priority="524" operator="lessThan">
      <formula>20</formula>
    </cfRule>
    <cfRule type="cellIs" dxfId="1" priority="329" operator="greaterThan">
      <formula>120</formula>
    </cfRule>
    <cfRule type="containsText" dxfId="3" priority="134" operator="between" text="库存">
      <formula>NOT(ISERROR(SEARCH("库存",AS67)))</formula>
    </cfRule>
  </conditionalFormatting>
  <conditionalFormatting sqref="AS68">
    <cfRule type="cellIs" dxfId="0" priority="523" operator="lessThan">
      <formula>20</formula>
    </cfRule>
    <cfRule type="cellIs" dxfId="1" priority="328" operator="greaterThan">
      <formula>120</formula>
    </cfRule>
    <cfRule type="containsText" dxfId="3" priority="133" operator="between" text="库存">
      <formula>NOT(ISERROR(SEARCH("库存",AS68)))</formula>
    </cfRule>
  </conditionalFormatting>
  <conditionalFormatting sqref="AS69">
    <cfRule type="cellIs" dxfId="0" priority="522" operator="lessThan">
      <formula>20</formula>
    </cfRule>
    <cfRule type="cellIs" dxfId="1" priority="327" operator="greaterThan">
      <formula>120</formula>
    </cfRule>
    <cfRule type="containsText" dxfId="3" priority="132" operator="between" text="库存">
      <formula>NOT(ISERROR(SEARCH("库存",AS69)))</formula>
    </cfRule>
  </conditionalFormatting>
  <conditionalFormatting sqref="AS70">
    <cfRule type="cellIs" dxfId="0" priority="521" operator="lessThan">
      <formula>20</formula>
    </cfRule>
    <cfRule type="cellIs" dxfId="1" priority="326" operator="greaterThan">
      <formula>120</formula>
    </cfRule>
    <cfRule type="containsText" dxfId="3" priority="131" operator="between" text="库存">
      <formula>NOT(ISERROR(SEARCH("库存",AS70)))</formula>
    </cfRule>
  </conditionalFormatting>
  <conditionalFormatting sqref="AS71">
    <cfRule type="cellIs" dxfId="0" priority="520" operator="lessThan">
      <formula>20</formula>
    </cfRule>
    <cfRule type="cellIs" dxfId="1" priority="325" operator="greaterThan">
      <formula>120</formula>
    </cfRule>
    <cfRule type="containsText" dxfId="3" priority="130" operator="between" text="库存">
      <formula>NOT(ISERROR(SEARCH("库存",AS71)))</formula>
    </cfRule>
  </conditionalFormatting>
  <conditionalFormatting sqref="AS72">
    <cfRule type="cellIs" dxfId="0" priority="519" operator="lessThan">
      <formula>20</formula>
    </cfRule>
    <cfRule type="cellIs" dxfId="1" priority="324" operator="greaterThan">
      <formula>120</formula>
    </cfRule>
    <cfRule type="containsText" dxfId="3" priority="129" operator="between" text="库存">
      <formula>NOT(ISERROR(SEARCH("库存",AS72)))</formula>
    </cfRule>
  </conditionalFormatting>
  <conditionalFormatting sqref="AS73">
    <cfRule type="cellIs" dxfId="0" priority="518" operator="lessThan">
      <formula>20</formula>
    </cfRule>
    <cfRule type="cellIs" dxfId="1" priority="323" operator="greaterThan">
      <formula>120</formula>
    </cfRule>
    <cfRule type="containsText" dxfId="3" priority="128" operator="between" text="库存">
      <formula>NOT(ISERROR(SEARCH("库存",AS73)))</formula>
    </cfRule>
  </conditionalFormatting>
  <conditionalFormatting sqref="AS74">
    <cfRule type="cellIs" dxfId="0" priority="517" operator="lessThan">
      <formula>20</formula>
    </cfRule>
    <cfRule type="cellIs" dxfId="1" priority="322" operator="greaterThan">
      <formula>120</formula>
    </cfRule>
    <cfRule type="containsText" dxfId="3" priority="127" operator="between" text="库存">
      <formula>NOT(ISERROR(SEARCH("库存",AS74)))</formula>
    </cfRule>
  </conditionalFormatting>
  <conditionalFormatting sqref="AS75">
    <cfRule type="cellIs" dxfId="0" priority="516" operator="lessThan">
      <formula>20</formula>
    </cfRule>
    <cfRule type="cellIs" dxfId="1" priority="321" operator="greaterThan">
      <formula>120</formula>
    </cfRule>
    <cfRule type="containsText" dxfId="3" priority="126" operator="between" text="库存">
      <formula>NOT(ISERROR(SEARCH("库存",AS75)))</formula>
    </cfRule>
  </conditionalFormatting>
  <conditionalFormatting sqref="AS76">
    <cfRule type="cellIs" dxfId="0" priority="515" operator="lessThan">
      <formula>20</formula>
    </cfRule>
    <cfRule type="cellIs" dxfId="1" priority="320" operator="greaterThan">
      <formula>120</formula>
    </cfRule>
    <cfRule type="containsText" dxfId="3" priority="125" operator="between" text="库存">
      <formula>NOT(ISERROR(SEARCH("库存",AS76)))</formula>
    </cfRule>
  </conditionalFormatting>
  <conditionalFormatting sqref="AS77">
    <cfRule type="cellIs" dxfId="0" priority="514" operator="lessThan">
      <formula>20</formula>
    </cfRule>
    <cfRule type="cellIs" dxfId="1" priority="319" operator="greaterThan">
      <formula>120</formula>
    </cfRule>
    <cfRule type="containsText" dxfId="3" priority="124" operator="between" text="库存">
      <formula>NOT(ISERROR(SEARCH("库存",AS77)))</formula>
    </cfRule>
  </conditionalFormatting>
  <conditionalFormatting sqref="AS78">
    <cfRule type="cellIs" dxfId="0" priority="513" operator="lessThan">
      <formula>20</formula>
    </cfRule>
    <cfRule type="cellIs" dxfId="1" priority="318" operator="greaterThan">
      <formula>120</formula>
    </cfRule>
    <cfRule type="containsText" dxfId="3" priority="123" operator="between" text="库存">
      <formula>NOT(ISERROR(SEARCH("库存",AS78)))</formula>
    </cfRule>
  </conditionalFormatting>
  <conditionalFormatting sqref="AS79">
    <cfRule type="cellIs" dxfId="0" priority="512" operator="lessThan">
      <formula>20</formula>
    </cfRule>
    <cfRule type="cellIs" dxfId="1" priority="317" operator="greaterThan">
      <formula>120</formula>
    </cfRule>
    <cfRule type="containsText" dxfId="3" priority="122" operator="between" text="库存">
      <formula>NOT(ISERROR(SEARCH("库存",AS79)))</formula>
    </cfRule>
  </conditionalFormatting>
  <conditionalFormatting sqref="AS80">
    <cfRule type="cellIs" dxfId="0" priority="511" operator="lessThan">
      <formula>20</formula>
    </cfRule>
    <cfRule type="cellIs" dxfId="1" priority="316" operator="greaterThan">
      <formula>120</formula>
    </cfRule>
    <cfRule type="containsText" dxfId="3" priority="121" operator="between" text="库存">
      <formula>NOT(ISERROR(SEARCH("库存",AS80)))</formula>
    </cfRule>
  </conditionalFormatting>
  <conditionalFormatting sqref="AS81">
    <cfRule type="cellIs" dxfId="0" priority="510" operator="lessThan">
      <formula>20</formula>
    </cfRule>
    <cfRule type="cellIs" dxfId="1" priority="315" operator="greaterThan">
      <formula>120</formula>
    </cfRule>
    <cfRule type="containsText" dxfId="3" priority="120" operator="between" text="库存">
      <formula>NOT(ISERROR(SEARCH("库存",AS81)))</formula>
    </cfRule>
  </conditionalFormatting>
  <conditionalFormatting sqref="AS82">
    <cfRule type="cellIs" dxfId="0" priority="509" operator="lessThan">
      <formula>20</formula>
    </cfRule>
    <cfRule type="cellIs" dxfId="1" priority="314" operator="greaterThan">
      <formula>120</formula>
    </cfRule>
    <cfRule type="containsText" dxfId="3" priority="119" operator="between" text="库存">
      <formula>NOT(ISERROR(SEARCH("库存",AS82)))</formula>
    </cfRule>
  </conditionalFormatting>
  <conditionalFormatting sqref="AS83">
    <cfRule type="cellIs" dxfId="0" priority="508" operator="lessThan">
      <formula>20</formula>
    </cfRule>
    <cfRule type="cellIs" dxfId="1" priority="313" operator="greaterThan">
      <formula>120</formula>
    </cfRule>
    <cfRule type="containsText" dxfId="3" priority="118" operator="between" text="库存">
      <formula>NOT(ISERROR(SEARCH("库存",AS83)))</formula>
    </cfRule>
  </conditionalFormatting>
  <conditionalFormatting sqref="AS84">
    <cfRule type="cellIs" dxfId="0" priority="507" operator="lessThan">
      <formula>20</formula>
    </cfRule>
    <cfRule type="cellIs" dxfId="1" priority="312" operator="greaterThan">
      <formula>120</formula>
    </cfRule>
    <cfRule type="containsText" dxfId="3" priority="117" operator="between" text="库存">
      <formula>NOT(ISERROR(SEARCH("库存",AS84)))</formula>
    </cfRule>
  </conditionalFormatting>
  <conditionalFormatting sqref="AS85">
    <cfRule type="cellIs" dxfId="0" priority="506" operator="lessThan">
      <formula>20</formula>
    </cfRule>
    <cfRule type="cellIs" dxfId="1" priority="311" operator="greaterThan">
      <formula>120</formula>
    </cfRule>
    <cfRule type="containsText" dxfId="3" priority="116" operator="between" text="库存">
      <formula>NOT(ISERROR(SEARCH("库存",AS85)))</formula>
    </cfRule>
  </conditionalFormatting>
  <conditionalFormatting sqref="AS86">
    <cfRule type="cellIs" dxfId="0" priority="505" operator="lessThan">
      <formula>20</formula>
    </cfRule>
    <cfRule type="cellIs" dxfId="1" priority="310" operator="greaterThan">
      <formula>120</formula>
    </cfRule>
    <cfRule type="containsText" dxfId="3" priority="115" operator="between" text="库存">
      <formula>NOT(ISERROR(SEARCH("库存",AS86)))</formula>
    </cfRule>
  </conditionalFormatting>
  <conditionalFormatting sqref="AS87">
    <cfRule type="cellIs" dxfId="0" priority="504" operator="lessThan">
      <formula>20</formula>
    </cfRule>
    <cfRule type="cellIs" dxfId="1" priority="309" operator="greaterThan">
      <formula>120</formula>
    </cfRule>
    <cfRule type="containsText" dxfId="3" priority="114" operator="between" text="库存">
      <formula>NOT(ISERROR(SEARCH("库存",AS87)))</formula>
    </cfRule>
  </conditionalFormatting>
  <conditionalFormatting sqref="AS88">
    <cfRule type="cellIs" dxfId="0" priority="503" operator="lessThan">
      <formula>20</formula>
    </cfRule>
    <cfRule type="cellIs" dxfId="1" priority="308" operator="greaterThan">
      <formula>120</formula>
    </cfRule>
    <cfRule type="containsText" dxfId="3" priority="113" operator="between" text="库存">
      <formula>NOT(ISERROR(SEARCH("库存",AS88)))</formula>
    </cfRule>
  </conditionalFormatting>
  <conditionalFormatting sqref="AS89">
    <cfRule type="cellIs" dxfId="0" priority="502" operator="lessThan">
      <formula>20</formula>
    </cfRule>
    <cfRule type="cellIs" dxfId="1" priority="307" operator="greaterThan">
      <formula>120</formula>
    </cfRule>
    <cfRule type="containsText" dxfId="3" priority="112" operator="between" text="库存">
      <formula>NOT(ISERROR(SEARCH("库存",AS89)))</formula>
    </cfRule>
  </conditionalFormatting>
  <conditionalFormatting sqref="AS90">
    <cfRule type="cellIs" dxfId="0" priority="501" operator="lessThan">
      <formula>20</formula>
    </cfRule>
    <cfRule type="cellIs" dxfId="1" priority="306" operator="greaterThan">
      <formula>120</formula>
    </cfRule>
    <cfRule type="containsText" dxfId="3" priority="111" operator="between" text="库存">
      <formula>NOT(ISERROR(SEARCH("库存",AS90)))</formula>
    </cfRule>
  </conditionalFormatting>
  <conditionalFormatting sqref="AS91">
    <cfRule type="cellIs" dxfId="0" priority="500" operator="lessThan">
      <formula>20</formula>
    </cfRule>
    <cfRule type="cellIs" dxfId="1" priority="305" operator="greaterThan">
      <formula>120</formula>
    </cfRule>
    <cfRule type="containsText" dxfId="3" priority="110" operator="between" text="库存">
      <formula>NOT(ISERROR(SEARCH("库存",AS91)))</formula>
    </cfRule>
  </conditionalFormatting>
  <conditionalFormatting sqref="AS92">
    <cfRule type="cellIs" dxfId="0" priority="499" operator="lessThan">
      <formula>20</formula>
    </cfRule>
    <cfRule type="cellIs" dxfId="1" priority="304" operator="greaterThan">
      <formula>120</formula>
    </cfRule>
    <cfRule type="containsText" dxfId="3" priority="109" operator="between" text="库存">
      <formula>NOT(ISERROR(SEARCH("库存",AS92)))</formula>
    </cfRule>
  </conditionalFormatting>
  <conditionalFormatting sqref="AS93">
    <cfRule type="cellIs" dxfId="0" priority="498" operator="lessThan">
      <formula>20</formula>
    </cfRule>
    <cfRule type="cellIs" dxfId="1" priority="303" operator="greaterThan">
      <formula>120</formula>
    </cfRule>
    <cfRule type="containsText" dxfId="3" priority="108" operator="between" text="库存">
      <formula>NOT(ISERROR(SEARCH("库存",AS93)))</formula>
    </cfRule>
  </conditionalFormatting>
  <conditionalFormatting sqref="AS94">
    <cfRule type="cellIs" dxfId="0" priority="497" operator="lessThan">
      <formula>20</formula>
    </cfRule>
    <cfRule type="cellIs" dxfId="1" priority="302" operator="greaterThan">
      <formula>120</formula>
    </cfRule>
    <cfRule type="containsText" dxfId="3" priority="107" operator="between" text="库存">
      <formula>NOT(ISERROR(SEARCH("库存",AS94)))</formula>
    </cfRule>
  </conditionalFormatting>
  <conditionalFormatting sqref="AS95">
    <cfRule type="cellIs" dxfId="0" priority="496" operator="lessThan">
      <formula>20</formula>
    </cfRule>
    <cfRule type="cellIs" dxfId="1" priority="301" operator="greaterThan">
      <formula>120</formula>
    </cfRule>
    <cfRule type="containsText" dxfId="3" priority="106" operator="between" text="库存">
      <formula>NOT(ISERROR(SEARCH("库存",AS95)))</formula>
    </cfRule>
  </conditionalFormatting>
  <conditionalFormatting sqref="AS96">
    <cfRule type="cellIs" dxfId="0" priority="495" operator="lessThan">
      <formula>20</formula>
    </cfRule>
    <cfRule type="cellIs" dxfId="1" priority="300" operator="greaterThan">
      <formula>120</formula>
    </cfRule>
    <cfRule type="containsText" dxfId="3" priority="105" operator="between" text="库存">
      <formula>NOT(ISERROR(SEARCH("库存",AS96)))</formula>
    </cfRule>
  </conditionalFormatting>
  <conditionalFormatting sqref="AS97">
    <cfRule type="cellIs" dxfId="0" priority="494" operator="lessThan">
      <formula>20</formula>
    </cfRule>
    <cfRule type="cellIs" dxfId="1" priority="299" operator="greaterThan">
      <formula>120</formula>
    </cfRule>
    <cfRule type="containsText" dxfId="3" priority="104" operator="between" text="库存">
      <formula>NOT(ISERROR(SEARCH("库存",AS97)))</formula>
    </cfRule>
  </conditionalFormatting>
  <conditionalFormatting sqref="AS98">
    <cfRule type="cellIs" dxfId="0" priority="493" operator="lessThan">
      <formula>20</formula>
    </cfRule>
    <cfRule type="cellIs" dxfId="1" priority="298" operator="greaterThan">
      <formula>120</formula>
    </cfRule>
    <cfRule type="containsText" dxfId="3" priority="103" operator="between" text="库存">
      <formula>NOT(ISERROR(SEARCH("库存",AS98)))</formula>
    </cfRule>
  </conditionalFormatting>
  <conditionalFormatting sqref="AS99">
    <cfRule type="cellIs" dxfId="0" priority="492" operator="lessThan">
      <formula>20</formula>
    </cfRule>
    <cfRule type="cellIs" dxfId="1" priority="297" operator="greaterThan">
      <formula>120</formula>
    </cfRule>
    <cfRule type="containsText" dxfId="3" priority="102" operator="between" text="库存">
      <formula>NOT(ISERROR(SEARCH("库存",AS99)))</formula>
    </cfRule>
  </conditionalFormatting>
  <conditionalFormatting sqref="AS100">
    <cfRule type="cellIs" dxfId="0" priority="491" operator="lessThan">
      <formula>20</formula>
    </cfRule>
    <cfRule type="cellIs" dxfId="1" priority="296" operator="greaterThan">
      <formula>120</formula>
    </cfRule>
    <cfRule type="containsText" dxfId="3" priority="101" operator="between" text="库存">
      <formula>NOT(ISERROR(SEARCH("库存",AS100)))</formula>
    </cfRule>
  </conditionalFormatting>
  <conditionalFormatting sqref="AS101">
    <cfRule type="cellIs" dxfId="0" priority="490" operator="lessThan">
      <formula>20</formula>
    </cfRule>
    <cfRule type="cellIs" dxfId="1" priority="295" operator="greaterThan">
      <formula>120</formula>
    </cfRule>
    <cfRule type="containsText" dxfId="3" priority="100" operator="between" text="库存">
      <formula>NOT(ISERROR(SEARCH("库存",AS101)))</formula>
    </cfRule>
  </conditionalFormatting>
  <conditionalFormatting sqref="AS102">
    <cfRule type="cellIs" dxfId="0" priority="489" operator="lessThan">
      <formula>20</formula>
    </cfRule>
    <cfRule type="cellIs" dxfId="1" priority="294" operator="greaterThan">
      <formula>120</formula>
    </cfRule>
    <cfRule type="containsText" dxfId="3" priority="99" operator="between" text="库存">
      <formula>NOT(ISERROR(SEARCH("库存",AS102)))</formula>
    </cfRule>
  </conditionalFormatting>
  <conditionalFormatting sqref="AS103">
    <cfRule type="cellIs" dxfId="0" priority="488" operator="lessThan">
      <formula>20</formula>
    </cfRule>
    <cfRule type="cellIs" dxfId="1" priority="293" operator="greaterThan">
      <formula>120</formula>
    </cfRule>
    <cfRule type="containsText" dxfId="3" priority="98" operator="between" text="库存">
      <formula>NOT(ISERROR(SEARCH("库存",AS103)))</formula>
    </cfRule>
  </conditionalFormatting>
  <conditionalFormatting sqref="AS104">
    <cfRule type="cellIs" dxfId="0" priority="487" operator="lessThan">
      <formula>20</formula>
    </cfRule>
    <cfRule type="cellIs" dxfId="1" priority="292" operator="greaterThan">
      <formula>120</formula>
    </cfRule>
    <cfRule type="containsText" dxfId="3" priority="97" operator="between" text="库存">
      <formula>NOT(ISERROR(SEARCH("库存",AS104)))</formula>
    </cfRule>
  </conditionalFormatting>
  <conditionalFormatting sqref="AS105">
    <cfRule type="cellIs" dxfId="0" priority="486" operator="lessThan">
      <formula>20</formula>
    </cfRule>
    <cfRule type="cellIs" dxfId="1" priority="291" operator="greaterThan">
      <formula>120</formula>
    </cfRule>
    <cfRule type="containsText" dxfId="3" priority="96" operator="between" text="库存">
      <formula>NOT(ISERROR(SEARCH("库存",AS105)))</formula>
    </cfRule>
  </conditionalFormatting>
  <conditionalFormatting sqref="AS106">
    <cfRule type="cellIs" dxfId="0" priority="485" operator="lessThan">
      <formula>20</formula>
    </cfRule>
    <cfRule type="cellIs" dxfId="1" priority="290" operator="greaterThan">
      <formula>120</formula>
    </cfRule>
    <cfRule type="containsText" dxfId="3" priority="95" operator="between" text="库存">
      <formula>NOT(ISERROR(SEARCH("库存",AS106)))</formula>
    </cfRule>
  </conditionalFormatting>
  <conditionalFormatting sqref="AS107">
    <cfRule type="cellIs" dxfId="0" priority="484" operator="lessThan">
      <formula>20</formula>
    </cfRule>
    <cfRule type="cellIs" dxfId="1" priority="289" operator="greaterThan">
      <formula>120</formula>
    </cfRule>
    <cfRule type="containsText" dxfId="3" priority="94" operator="between" text="库存">
      <formula>NOT(ISERROR(SEARCH("库存",AS107)))</formula>
    </cfRule>
  </conditionalFormatting>
  <conditionalFormatting sqref="AS108">
    <cfRule type="cellIs" dxfId="0" priority="483" operator="lessThan">
      <formula>20</formula>
    </cfRule>
    <cfRule type="cellIs" dxfId="1" priority="288" operator="greaterThan">
      <formula>120</formula>
    </cfRule>
    <cfRule type="containsText" dxfId="3" priority="93" operator="between" text="库存">
      <formula>NOT(ISERROR(SEARCH("库存",AS108)))</formula>
    </cfRule>
  </conditionalFormatting>
  <conditionalFormatting sqref="AS109">
    <cfRule type="cellIs" dxfId="0" priority="482" operator="lessThan">
      <formula>20</formula>
    </cfRule>
    <cfRule type="cellIs" dxfId="1" priority="287" operator="greaterThan">
      <formula>120</formula>
    </cfRule>
    <cfRule type="containsText" dxfId="3" priority="92" operator="between" text="库存">
      <formula>NOT(ISERROR(SEARCH("库存",AS109)))</formula>
    </cfRule>
  </conditionalFormatting>
  <conditionalFormatting sqref="AS110">
    <cfRule type="cellIs" dxfId="0" priority="481" operator="lessThan">
      <formula>20</formula>
    </cfRule>
    <cfRule type="cellIs" dxfId="1" priority="286" operator="greaterThan">
      <formula>120</formula>
    </cfRule>
    <cfRule type="containsText" dxfId="3" priority="91" operator="between" text="库存">
      <formula>NOT(ISERROR(SEARCH("库存",AS110)))</formula>
    </cfRule>
  </conditionalFormatting>
  <conditionalFormatting sqref="AS111">
    <cfRule type="cellIs" dxfId="0" priority="480" operator="lessThan">
      <formula>20</formula>
    </cfRule>
    <cfRule type="cellIs" dxfId="1" priority="285" operator="greaterThan">
      <formula>120</formula>
    </cfRule>
    <cfRule type="containsText" dxfId="3" priority="90" operator="between" text="库存">
      <formula>NOT(ISERROR(SEARCH("库存",AS111)))</formula>
    </cfRule>
  </conditionalFormatting>
  <conditionalFormatting sqref="AS112">
    <cfRule type="cellIs" dxfId="0" priority="479" operator="lessThan">
      <formula>20</formula>
    </cfRule>
    <cfRule type="cellIs" dxfId="1" priority="284" operator="greaterThan">
      <formula>120</formula>
    </cfRule>
    <cfRule type="containsText" dxfId="3" priority="89" operator="between" text="库存">
      <formula>NOT(ISERROR(SEARCH("库存",AS112)))</formula>
    </cfRule>
  </conditionalFormatting>
  <conditionalFormatting sqref="AS113">
    <cfRule type="cellIs" dxfId="0" priority="478" operator="lessThan">
      <formula>20</formula>
    </cfRule>
    <cfRule type="cellIs" dxfId="1" priority="283" operator="greaterThan">
      <formula>120</formula>
    </cfRule>
    <cfRule type="containsText" dxfId="3" priority="88" operator="between" text="库存">
      <formula>NOT(ISERROR(SEARCH("库存",AS113)))</formula>
    </cfRule>
  </conditionalFormatting>
  <conditionalFormatting sqref="AS114">
    <cfRule type="cellIs" dxfId="0" priority="477" operator="lessThan">
      <formula>20</formula>
    </cfRule>
    <cfRule type="cellIs" dxfId="1" priority="282" operator="greaterThan">
      <formula>120</formula>
    </cfRule>
    <cfRule type="containsText" dxfId="3" priority="87" operator="between" text="库存">
      <formula>NOT(ISERROR(SEARCH("库存",AS114)))</formula>
    </cfRule>
  </conditionalFormatting>
  <conditionalFormatting sqref="AS115">
    <cfRule type="cellIs" dxfId="0" priority="476" operator="lessThan">
      <formula>20</formula>
    </cfRule>
    <cfRule type="cellIs" dxfId="1" priority="281" operator="greaterThan">
      <formula>120</formula>
    </cfRule>
    <cfRule type="containsText" dxfId="3" priority="86" operator="between" text="库存">
      <formula>NOT(ISERROR(SEARCH("库存",AS115)))</formula>
    </cfRule>
  </conditionalFormatting>
  <conditionalFormatting sqref="AS116">
    <cfRule type="cellIs" dxfId="0" priority="475" operator="lessThan">
      <formula>20</formula>
    </cfRule>
    <cfRule type="cellIs" dxfId="1" priority="280" operator="greaterThan">
      <formula>120</formula>
    </cfRule>
    <cfRule type="containsText" dxfId="3" priority="85" operator="between" text="库存">
      <formula>NOT(ISERROR(SEARCH("库存",AS116)))</formula>
    </cfRule>
  </conditionalFormatting>
  <conditionalFormatting sqref="AS117">
    <cfRule type="cellIs" dxfId="0" priority="474" operator="lessThan">
      <formula>20</formula>
    </cfRule>
    <cfRule type="cellIs" dxfId="1" priority="279" operator="greaterThan">
      <formula>120</formula>
    </cfRule>
    <cfRule type="containsText" dxfId="3" priority="84" operator="between" text="库存">
      <formula>NOT(ISERROR(SEARCH("库存",AS117)))</formula>
    </cfRule>
  </conditionalFormatting>
  <conditionalFormatting sqref="AS118">
    <cfRule type="cellIs" dxfId="0" priority="473" operator="lessThan">
      <formula>20</formula>
    </cfRule>
    <cfRule type="cellIs" dxfId="1" priority="278" operator="greaterThan">
      <formula>120</formula>
    </cfRule>
    <cfRule type="containsText" dxfId="3" priority="83" operator="between" text="库存">
      <formula>NOT(ISERROR(SEARCH("库存",AS118)))</formula>
    </cfRule>
  </conditionalFormatting>
  <conditionalFormatting sqref="AS119">
    <cfRule type="cellIs" dxfId="0" priority="472" operator="lessThan">
      <formula>20</formula>
    </cfRule>
    <cfRule type="cellIs" dxfId="1" priority="277" operator="greaterThan">
      <formula>120</formula>
    </cfRule>
    <cfRule type="containsText" dxfId="3" priority="82" operator="between" text="库存">
      <formula>NOT(ISERROR(SEARCH("库存",AS119)))</formula>
    </cfRule>
  </conditionalFormatting>
  <conditionalFormatting sqref="AS120">
    <cfRule type="cellIs" dxfId="0" priority="471" operator="lessThan">
      <formula>20</formula>
    </cfRule>
    <cfRule type="cellIs" dxfId="1" priority="276" operator="greaterThan">
      <formula>120</formula>
    </cfRule>
    <cfRule type="containsText" dxfId="3" priority="81" operator="between" text="库存">
      <formula>NOT(ISERROR(SEARCH("库存",AS120)))</formula>
    </cfRule>
  </conditionalFormatting>
  <conditionalFormatting sqref="AS121">
    <cfRule type="cellIs" dxfId="0" priority="470" operator="lessThan">
      <formula>20</formula>
    </cfRule>
    <cfRule type="cellIs" dxfId="1" priority="275" operator="greaterThan">
      <formula>120</formula>
    </cfRule>
    <cfRule type="containsText" dxfId="3" priority="80" operator="between" text="库存">
      <formula>NOT(ISERROR(SEARCH("库存",AS121)))</formula>
    </cfRule>
  </conditionalFormatting>
  <conditionalFormatting sqref="AS122">
    <cfRule type="cellIs" dxfId="0" priority="469" operator="lessThan">
      <formula>20</formula>
    </cfRule>
    <cfRule type="cellIs" dxfId="1" priority="274" operator="greaterThan">
      <formula>120</formula>
    </cfRule>
    <cfRule type="containsText" dxfId="3" priority="79" operator="between" text="库存">
      <formula>NOT(ISERROR(SEARCH("库存",AS122)))</formula>
    </cfRule>
  </conditionalFormatting>
  <conditionalFormatting sqref="AS123">
    <cfRule type="cellIs" dxfId="0" priority="468" operator="lessThan">
      <formula>20</formula>
    </cfRule>
    <cfRule type="cellIs" dxfId="1" priority="273" operator="greaterThan">
      <formula>120</formula>
    </cfRule>
    <cfRule type="containsText" dxfId="3" priority="78" operator="between" text="库存">
      <formula>NOT(ISERROR(SEARCH("库存",AS123)))</formula>
    </cfRule>
  </conditionalFormatting>
  <conditionalFormatting sqref="AS124">
    <cfRule type="cellIs" dxfId="0" priority="467" operator="lessThan">
      <formula>20</formula>
    </cfRule>
    <cfRule type="cellIs" dxfId="1" priority="272" operator="greaterThan">
      <formula>120</formula>
    </cfRule>
    <cfRule type="containsText" dxfId="3" priority="77" operator="between" text="库存">
      <formula>NOT(ISERROR(SEARCH("库存",AS124)))</formula>
    </cfRule>
  </conditionalFormatting>
  <conditionalFormatting sqref="AS125">
    <cfRule type="cellIs" dxfId="0" priority="466" operator="lessThan">
      <formula>20</formula>
    </cfRule>
    <cfRule type="cellIs" dxfId="1" priority="271" operator="greaterThan">
      <formula>120</formula>
    </cfRule>
    <cfRule type="containsText" dxfId="3" priority="76" operator="between" text="库存">
      <formula>NOT(ISERROR(SEARCH("库存",AS125)))</formula>
    </cfRule>
  </conditionalFormatting>
  <conditionalFormatting sqref="AS126">
    <cfRule type="cellIs" dxfId="0" priority="465" operator="lessThan">
      <formula>20</formula>
    </cfRule>
    <cfRule type="cellIs" dxfId="1" priority="270" operator="greaterThan">
      <formula>120</formula>
    </cfRule>
    <cfRule type="containsText" dxfId="3" priority="75" operator="between" text="库存">
      <formula>NOT(ISERROR(SEARCH("库存",AS126)))</formula>
    </cfRule>
  </conditionalFormatting>
  <conditionalFormatting sqref="AS127">
    <cfRule type="cellIs" dxfId="0" priority="464" operator="lessThan">
      <formula>20</formula>
    </cfRule>
    <cfRule type="cellIs" dxfId="1" priority="269" operator="greaterThan">
      <formula>120</formula>
    </cfRule>
    <cfRule type="containsText" dxfId="3" priority="74" operator="between" text="库存">
      <formula>NOT(ISERROR(SEARCH("库存",AS127)))</formula>
    </cfRule>
  </conditionalFormatting>
  <conditionalFormatting sqref="AS128">
    <cfRule type="cellIs" dxfId="0" priority="463" operator="lessThan">
      <formula>20</formula>
    </cfRule>
    <cfRule type="cellIs" dxfId="1" priority="268" operator="greaterThan">
      <formula>120</formula>
    </cfRule>
    <cfRule type="containsText" dxfId="3" priority="73" operator="between" text="库存">
      <formula>NOT(ISERROR(SEARCH("库存",AS128)))</formula>
    </cfRule>
  </conditionalFormatting>
  <conditionalFormatting sqref="AS129">
    <cfRule type="cellIs" dxfId="0" priority="462" operator="lessThan">
      <formula>20</formula>
    </cfRule>
    <cfRule type="cellIs" dxfId="1" priority="267" operator="greaterThan">
      <formula>120</formula>
    </cfRule>
    <cfRule type="containsText" dxfId="3" priority="72" operator="between" text="库存">
      <formula>NOT(ISERROR(SEARCH("库存",AS129)))</formula>
    </cfRule>
  </conditionalFormatting>
  <conditionalFormatting sqref="AS130">
    <cfRule type="cellIs" dxfId="0" priority="461" operator="lessThan">
      <formula>20</formula>
    </cfRule>
    <cfRule type="cellIs" dxfId="1" priority="266" operator="greaterThan">
      <formula>120</formula>
    </cfRule>
    <cfRule type="containsText" dxfId="3" priority="71" operator="between" text="库存">
      <formula>NOT(ISERROR(SEARCH("库存",AS130)))</formula>
    </cfRule>
  </conditionalFormatting>
  <conditionalFormatting sqref="AS131">
    <cfRule type="cellIs" dxfId="0" priority="460" operator="lessThan">
      <formula>20</formula>
    </cfRule>
    <cfRule type="cellIs" dxfId="1" priority="265" operator="greaterThan">
      <formula>120</formula>
    </cfRule>
    <cfRule type="containsText" dxfId="3" priority="70" operator="between" text="库存">
      <formula>NOT(ISERROR(SEARCH("库存",AS131)))</formula>
    </cfRule>
  </conditionalFormatting>
  <conditionalFormatting sqref="AS132">
    <cfRule type="cellIs" dxfId="0" priority="459" operator="lessThan">
      <formula>20</formula>
    </cfRule>
    <cfRule type="cellIs" dxfId="1" priority="264" operator="greaterThan">
      <formula>120</formula>
    </cfRule>
    <cfRule type="containsText" dxfId="3" priority="69" operator="between" text="库存">
      <formula>NOT(ISERROR(SEARCH("库存",AS132)))</formula>
    </cfRule>
  </conditionalFormatting>
  <conditionalFormatting sqref="AS133">
    <cfRule type="cellIs" dxfId="0" priority="458" operator="lessThan">
      <formula>20</formula>
    </cfRule>
    <cfRule type="cellIs" dxfId="1" priority="263" operator="greaterThan">
      <formula>120</formula>
    </cfRule>
    <cfRule type="containsText" dxfId="3" priority="68" operator="between" text="库存">
      <formula>NOT(ISERROR(SEARCH("库存",AS133)))</formula>
    </cfRule>
  </conditionalFormatting>
  <conditionalFormatting sqref="AS134">
    <cfRule type="cellIs" dxfId="0" priority="457" operator="lessThan">
      <formula>20</formula>
    </cfRule>
    <cfRule type="cellIs" dxfId="1" priority="262" operator="greaterThan">
      <formula>120</formula>
    </cfRule>
    <cfRule type="containsText" dxfId="3" priority="67" operator="between" text="库存">
      <formula>NOT(ISERROR(SEARCH("库存",AS134)))</formula>
    </cfRule>
  </conditionalFormatting>
  <conditionalFormatting sqref="AS135">
    <cfRule type="cellIs" dxfId="0" priority="456" operator="lessThan">
      <formula>20</formula>
    </cfRule>
    <cfRule type="cellIs" dxfId="1" priority="261" operator="greaterThan">
      <formula>120</formula>
    </cfRule>
    <cfRule type="containsText" dxfId="3" priority="66" operator="between" text="库存">
      <formula>NOT(ISERROR(SEARCH("库存",AS135)))</formula>
    </cfRule>
  </conditionalFormatting>
  <conditionalFormatting sqref="AS136">
    <cfRule type="cellIs" dxfId="0" priority="455" operator="lessThan">
      <formula>20</formula>
    </cfRule>
    <cfRule type="cellIs" dxfId="1" priority="260" operator="greaterThan">
      <formula>120</formula>
    </cfRule>
    <cfRule type="containsText" dxfId="3" priority="65" operator="between" text="库存">
      <formula>NOT(ISERROR(SEARCH("库存",AS136)))</formula>
    </cfRule>
  </conditionalFormatting>
  <conditionalFormatting sqref="AS137">
    <cfRule type="cellIs" dxfId="0" priority="454" operator="lessThan">
      <formula>20</formula>
    </cfRule>
    <cfRule type="cellIs" dxfId="1" priority="259" operator="greaterThan">
      <formula>120</formula>
    </cfRule>
    <cfRule type="containsText" dxfId="3" priority="64" operator="between" text="库存">
      <formula>NOT(ISERROR(SEARCH("库存",AS137)))</formula>
    </cfRule>
  </conditionalFormatting>
  <conditionalFormatting sqref="AS138">
    <cfRule type="cellIs" dxfId="0" priority="453" operator="lessThan">
      <formula>20</formula>
    </cfRule>
    <cfRule type="cellIs" dxfId="1" priority="258" operator="greaterThan">
      <formula>120</formula>
    </cfRule>
    <cfRule type="containsText" dxfId="3" priority="63" operator="between" text="库存">
      <formula>NOT(ISERROR(SEARCH("库存",AS138)))</formula>
    </cfRule>
  </conditionalFormatting>
  <conditionalFormatting sqref="AS139">
    <cfRule type="cellIs" dxfId="0" priority="452" operator="lessThan">
      <formula>20</formula>
    </cfRule>
    <cfRule type="cellIs" dxfId="1" priority="257" operator="greaterThan">
      <formula>120</formula>
    </cfRule>
    <cfRule type="containsText" dxfId="3" priority="62" operator="between" text="库存">
      <formula>NOT(ISERROR(SEARCH("库存",AS139)))</formula>
    </cfRule>
  </conditionalFormatting>
  <conditionalFormatting sqref="AS140">
    <cfRule type="cellIs" dxfId="0" priority="451" operator="lessThan">
      <formula>20</formula>
    </cfRule>
    <cfRule type="cellIs" dxfId="1" priority="256" operator="greaterThan">
      <formula>120</formula>
    </cfRule>
    <cfRule type="containsText" dxfId="3" priority="61" operator="between" text="库存">
      <formula>NOT(ISERROR(SEARCH("库存",AS140)))</formula>
    </cfRule>
  </conditionalFormatting>
  <conditionalFormatting sqref="AS141">
    <cfRule type="cellIs" dxfId="0" priority="450" operator="lessThan">
      <formula>20</formula>
    </cfRule>
    <cfRule type="cellIs" dxfId="1" priority="255" operator="greaterThan">
      <formula>120</formula>
    </cfRule>
    <cfRule type="containsText" dxfId="3" priority="60" operator="between" text="库存">
      <formula>NOT(ISERROR(SEARCH("库存",AS141)))</formula>
    </cfRule>
  </conditionalFormatting>
  <conditionalFormatting sqref="AS142">
    <cfRule type="cellIs" dxfId="0" priority="449" operator="lessThan">
      <formula>20</formula>
    </cfRule>
    <cfRule type="cellIs" dxfId="1" priority="254" operator="greaterThan">
      <formula>120</formula>
    </cfRule>
    <cfRule type="containsText" dxfId="3" priority="59" operator="between" text="库存">
      <formula>NOT(ISERROR(SEARCH("库存",AS142)))</formula>
    </cfRule>
  </conditionalFormatting>
  <conditionalFormatting sqref="AS143">
    <cfRule type="cellIs" dxfId="0" priority="448" operator="lessThan">
      <formula>20</formula>
    </cfRule>
    <cfRule type="cellIs" dxfId="1" priority="253" operator="greaterThan">
      <formula>120</formula>
    </cfRule>
    <cfRule type="containsText" dxfId="3" priority="58" operator="between" text="库存">
      <formula>NOT(ISERROR(SEARCH("库存",AS143)))</formula>
    </cfRule>
  </conditionalFormatting>
  <conditionalFormatting sqref="AS144">
    <cfRule type="cellIs" dxfId="0" priority="447" operator="lessThan">
      <formula>20</formula>
    </cfRule>
    <cfRule type="cellIs" dxfId="1" priority="252" operator="greaterThan">
      <formula>120</formula>
    </cfRule>
    <cfRule type="containsText" dxfId="3" priority="57" operator="between" text="库存">
      <formula>NOT(ISERROR(SEARCH("库存",AS144)))</formula>
    </cfRule>
  </conditionalFormatting>
  <conditionalFormatting sqref="AS145">
    <cfRule type="cellIs" dxfId="0" priority="446" operator="lessThan">
      <formula>20</formula>
    </cfRule>
    <cfRule type="cellIs" dxfId="1" priority="251" operator="greaterThan">
      <formula>120</formula>
    </cfRule>
    <cfRule type="containsText" dxfId="3" priority="56" operator="between" text="库存">
      <formula>NOT(ISERROR(SEARCH("库存",AS145)))</formula>
    </cfRule>
  </conditionalFormatting>
  <conditionalFormatting sqref="AS146">
    <cfRule type="cellIs" dxfId="0" priority="445" operator="lessThan">
      <formula>20</formula>
    </cfRule>
    <cfRule type="cellIs" dxfId="1" priority="250" operator="greaterThan">
      <formula>120</formula>
    </cfRule>
    <cfRule type="containsText" dxfId="3" priority="55" operator="between" text="库存">
      <formula>NOT(ISERROR(SEARCH("库存",AS146)))</formula>
    </cfRule>
  </conditionalFormatting>
  <conditionalFormatting sqref="AS147">
    <cfRule type="cellIs" dxfId="0" priority="444" operator="lessThan">
      <formula>20</formula>
    </cfRule>
    <cfRule type="cellIs" dxfId="1" priority="249" operator="greaterThan">
      <formula>120</formula>
    </cfRule>
    <cfRule type="containsText" dxfId="3" priority="54" operator="between" text="库存">
      <formula>NOT(ISERROR(SEARCH("库存",AS147)))</formula>
    </cfRule>
  </conditionalFormatting>
  <conditionalFormatting sqref="AS148">
    <cfRule type="cellIs" dxfId="0" priority="443" operator="lessThan">
      <formula>20</formula>
    </cfRule>
    <cfRule type="cellIs" dxfId="1" priority="248" operator="greaterThan">
      <formula>120</formula>
    </cfRule>
    <cfRule type="containsText" dxfId="3" priority="53" operator="between" text="库存">
      <formula>NOT(ISERROR(SEARCH("库存",AS148)))</formula>
    </cfRule>
  </conditionalFormatting>
  <conditionalFormatting sqref="AS149">
    <cfRule type="cellIs" dxfId="0" priority="442" operator="lessThan">
      <formula>20</formula>
    </cfRule>
    <cfRule type="cellIs" dxfId="1" priority="247" operator="greaterThan">
      <formula>120</formula>
    </cfRule>
    <cfRule type="containsText" dxfId="3" priority="52" operator="between" text="库存">
      <formula>NOT(ISERROR(SEARCH("库存",AS149)))</formula>
    </cfRule>
  </conditionalFormatting>
  <conditionalFormatting sqref="AS150">
    <cfRule type="cellIs" dxfId="0" priority="441" operator="lessThan">
      <formula>20</formula>
    </cfRule>
    <cfRule type="cellIs" dxfId="1" priority="246" operator="greaterThan">
      <formula>120</formula>
    </cfRule>
    <cfRule type="containsText" dxfId="3" priority="51" operator="between" text="库存">
      <formula>NOT(ISERROR(SEARCH("库存",AS150)))</formula>
    </cfRule>
  </conditionalFormatting>
  <conditionalFormatting sqref="AS151">
    <cfRule type="cellIs" dxfId="0" priority="440" operator="lessThan">
      <formula>20</formula>
    </cfRule>
    <cfRule type="cellIs" dxfId="1" priority="245" operator="greaterThan">
      <formula>120</formula>
    </cfRule>
    <cfRule type="containsText" dxfId="3" priority="50" operator="between" text="库存">
      <formula>NOT(ISERROR(SEARCH("库存",AS151)))</formula>
    </cfRule>
  </conditionalFormatting>
  <conditionalFormatting sqref="AS152">
    <cfRule type="cellIs" dxfId="0" priority="439" operator="lessThan">
      <formula>20</formula>
    </cfRule>
    <cfRule type="cellIs" dxfId="1" priority="244" operator="greaterThan">
      <formula>120</formula>
    </cfRule>
    <cfRule type="containsText" dxfId="3" priority="49" operator="between" text="库存">
      <formula>NOT(ISERROR(SEARCH("库存",AS152)))</formula>
    </cfRule>
  </conditionalFormatting>
  <conditionalFormatting sqref="AS153">
    <cfRule type="cellIs" dxfId="0" priority="438" operator="lessThan">
      <formula>20</formula>
    </cfRule>
    <cfRule type="cellIs" dxfId="1" priority="243" operator="greaterThan">
      <formula>120</formula>
    </cfRule>
    <cfRule type="containsText" dxfId="3" priority="48" operator="between" text="库存">
      <formula>NOT(ISERROR(SEARCH("库存",AS153)))</formula>
    </cfRule>
  </conditionalFormatting>
  <conditionalFormatting sqref="AS154">
    <cfRule type="cellIs" dxfId="0" priority="437" operator="lessThan">
      <formula>20</formula>
    </cfRule>
    <cfRule type="cellIs" dxfId="1" priority="242" operator="greaterThan">
      <formula>120</formula>
    </cfRule>
    <cfRule type="containsText" dxfId="3" priority="47" operator="between" text="库存">
      <formula>NOT(ISERROR(SEARCH("库存",AS154)))</formula>
    </cfRule>
  </conditionalFormatting>
  <conditionalFormatting sqref="AS155">
    <cfRule type="cellIs" dxfId="0" priority="436" operator="lessThan">
      <formula>20</formula>
    </cfRule>
    <cfRule type="cellIs" dxfId="1" priority="241" operator="greaterThan">
      <formula>120</formula>
    </cfRule>
    <cfRule type="containsText" dxfId="3" priority="46" operator="between" text="库存">
      <formula>NOT(ISERROR(SEARCH("库存",AS155)))</formula>
    </cfRule>
  </conditionalFormatting>
  <conditionalFormatting sqref="AS156">
    <cfRule type="cellIs" dxfId="0" priority="435" operator="lessThan">
      <formula>20</formula>
    </cfRule>
    <cfRule type="cellIs" dxfId="1" priority="240" operator="greaterThan">
      <formula>120</formula>
    </cfRule>
    <cfRule type="containsText" dxfId="3" priority="45" operator="between" text="库存">
      <formula>NOT(ISERROR(SEARCH("库存",AS156)))</formula>
    </cfRule>
  </conditionalFormatting>
  <conditionalFormatting sqref="AS157">
    <cfRule type="cellIs" dxfId="0" priority="434" operator="lessThan">
      <formula>20</formula>
    </cfRule>
    <cfRule type="cellIs" dxfId="1" priority="239" operator="greaterThan">
      <formula>120</formula>
    </cfRule>
    <cfRule type="containsText" dxfId="3" priority="44" operator="between" text="库存">
      <formula>NOT(ISERROR(SEARCH("库存",AS157)))</formula>
    </cfRule>
  </conditionalFormatting>
  <conditionalFormatting sqref="AS158">
    <cfRule type="cellIs" dxfId="0" priority="433" operator="lessThan">
      <formula>20</formula>
    </cfRule>
    <cfRule type="cellIs" dxfId="1" priority="238" operator="greaterThan">
      <formula>120</formula>
    </cfRule>
    <cfRule type="containsText" dxfId="3" priority="43" operator="between" text="库存">
      <formula>NOT(ISERROR(SEARCH("库存",AS158)))</formula>
    </cfRule>
  </conditionalFormatting>
  <conditionalFormatting sqref="AS159">
    <cfRule type="cellIs" dxfId="0" priority="432" operator="lessThan">
      <formula>20</formula>
    </cfRule>
    <cfRule type="cellIs" dxfId="1" priority="237" operator="greaterThan">
      <formula>120</formula>
    </cfRule>
    <cfRule type="containsText" dxfId="3" priority="42" operator="between" text="库存">
      <formula>NOT(ISERROR(SEARCH("库存",AS159)))</formula>
    </cfRule>
  </conditionalFormatting>
  <conditionalFormatting sqref="AS160">
    <cfRule type="cellIs" dxfId="0" priority="431" operator="lessThan">
      <formula>20</formula>
    </cfRule>
    <cfRule type="cellIs" dxfId="1" priority="236" operator="greaterThan">
      <formula>120</formula>
    </cfRule>
    <cfRule type="containsText" dxfId="3" priority="41" operator="between" text="库存">
      <formula>NOT(ISERROR(SEARCH("库存",AS160)))</formula>
    </cfRule>
  </conditionalFormatting>
  <conditionalFormatting sqref="AS161">
    <cfRule type="cellIs" dxfId="0" priority="430" operator="lessThan">
      <formula>20</formula>
    </cfRule>
    <cfRule type="cellIs" dxfId="1" priority="235" operator="greaterThan">
      <formula>120</formula>
    </cfRule>
    <cfRule type="containsText" dxfId="3" priority="40" operator="between" text="库存">
      <formula>NOT(ISERROR(SEARCH("库存",AS161)))</formula>
    </cfRule>
  </conditionalFormatting>
  <conditionalFormatting sqref="AS162">
    <cfRule type="cellIs" dxfId="0" priority="429" operator="lessThan">
      <formula>20</formula>
    </cfRule>
    <cfRule type="cellIs" dxfId="1" priority="234" operator="greaterThan">
      <formula>120</formula>
    </cfRule>
    <cfRule type="containsText" dxfId="3" priority="39" operator="between" text="库存">
      <formula>NOT(ISERROR(SEARCH("库存",AS162)))</formula>
    </cfRule>
  </conditionalFormatting>
  <conditionalFormatting sqref="AS163">
    <cfRule type="cellIs" dxfId="0" priority="428" operator="lessThan">
      <formula>20</formula>
    </cfRule>
    <cfRule type="cellIs" dxfId="1" priority="233" operator="greaterThan">
      <formula>120</formula>
    </cfRule>
    <cfRule type="containsText" dxfId="3" priority="38" operator="between" text="库存">
      <formula>NOT(ISERROR(SEARCH("库存",AS163)))</formula>
    </cfRule>
  </conditionalFormatting>
  <conditionalFormatting sqref="AS164">
    <cfRule type="cellIs" dxfId="0" priority="427" operator="lessThan">
      <formula>20</formula>
    </cfRule>
    <cfRule type="cellIs" dxfId="1" priority="232" operator="greaterThan">
      <formula>120</formula>
    </cfRule>
    <cfRule type="containsText" dxfId="3" priority="37" operator="between" text="库存">
      <formula>NOT(ISERROR(SEARCH("库存",AS164)))</formula>
    </cfRule>
  </conditionalFormatting>
  <conditionalFormatting sqref="AS165">
    <cfRule type="cellIs" dxfId="0" priority="426" operator="lessThan">
      <formula>20</formula>
    </cfRule>
    <cfRule type="cellIs" dxfId="1" priority="231" operator="greaterThan">
      <formula>120</formula>
    </cfRule>
    <cfRule type="containsText" dxfId="3" priority="36" operator="between" text="库存">
      <formula>NOT(ISERROR(SEARCH("库存",AS165)))</formula>
    </cfRule>
  </conditionalFormatting>
  <conditionalFormatting sqref="AS166">
    <cfRule type="cellIs" dxfId="0" priority="425" operator="lessThan">
      <formula>20</formula>
    </cfRule>
    <cfRule type="cellIs" dxfId="1" priority="230" operator="greaterThan">
      <formula>120</formula>
    </cfRule>
    <cfRule type="containsText" dxfId="3" priority="35" operator="between" text="库存">
      <formula>NOT(ISERROR(SEARCH("库存",AS166)))</formula>
    </cfRule>
  </conditionalFormatting>
  <conditionalFormatting sqref="AS167">
    <cfRule type="cellIs" dxfId="0" priority="424" operator="lessThan">
      <formula>20</formula>
    </cfRule>
    <cfRule type="cellIs" dxfId="1" priority="229" operator="greaterThan">
      <formula>120</formula>
    </cfRule>
    <cfRule type="containsText" dxfId="3" priority="34" operator="between" text="库存">
      <formula>NOT(ISERROR(SEARCH("库存",AS167)))</formula>
    </cfRule>
  </conditionalFormatting>
  <conditionalFormatting sqref="AS168">
    <cfRule type="cellIs" dxfId="0" priority="423" operator="lessThan">
      <formula>20</formula>
    </cfRule>
    <cfRule type="cellIs" dxfId="1" priority="228" operator="greaterThan">
      <formula>120</formula>
    </cfRule>
    <cfRule type="containsText" dxfId="3" priority="33" operator="between" text="库存">
      <formula>NOT(ISERROR(SEARCH("库存",AS168)))</formula>
    </cfRule>
  </conditionalFormatting>
  <conditionalFormatting sqref="AS169">
    <cfRule type="cellIs" dxfId="0" priority="422" operator="lessThan">
      <formula>20</formula>
    </cfRule>
    <cfRule type="cellIs" dxfId="1" priority="227" operator="greaterThan">
      <formula>120</formula>
    </cfRule>
    <cfRule type="containsText" dxfId="3" priority="32" operator="between" text="库存">
      <formula>NOT(ISERROR(SEARCH("库存",AS169)))</formula>
    </cfRule>
  </conditionalFormatting>
  <conditionalFormatting sqref="AS170">
    <cfRule type="cellIs" dxfId="0" priority="421" operator="lessThan">
      <formula>20</formula>
    </cfRule>
    <cfRule type="cellIs" dxfId="1" priority="226" operator="greaterThan">
      <formula>120</formula>
    </cfRule>
    <cfRule type="containsText" dxfId="3" priority="31" operator="between" text="库存">
      <formula>NOT(ISERROR(SEARCH("库存",AS170)))</formula>
    </cfRule>
  </conditionalFormatting>
  <conditionalFormatting sqref="AS171">
    <cfRule type="cellIs" dxfId="0" priority="420" operator="lessThan">
      <formula>20</formula>
    </cfRule>
    <cfRule type="cellIs" dxfId="1" priority="225" operator="greaterThan">
      <formula>120</formula>
    </cfRule>
    <cfRule type="containsText" dxfId="3" priority="30" operator="between" text="库存">
      <formula>NOT(ISERROR(SEARCH("库存",AS171)))</formula>
    </cfRule>
  </conditionalFormatting>
  <conditionalFormatting sqref="AS172">
    <cfRule type="cellIs" dxfId="0" priority="419" operator="lessThan">
      <formula>20</formula>
    </cfRule>
    <cfRule type="cellIs" dxfId="1" priority="224" operator="greaterThan">
      <formula>120</formula>
    </cfRule>
    <cfRule type="containsText" dxfId="3" priority="29" operator="between" text="库存">
      <formula>NOT(ISERROR(SEARCH("库存",AS172)))</formula>
    </cfRule>
  </conditionalFormatting>
  <conditionalFormatting sqref="AS173">
    <cfRule type="cellIs" dxfId="0" priority="418" operator="lessThan">
      <formula>20</formula>
    </cfRule>
    <cfRule type="cellIs" dxfId="1" priority="223" operator="greaterThan">
      <formula>120</formula>
    </cfRule>
    <cfRule type="containsText" dxfId="3" priority="28" operator="between" text="库存">
      <formula>NOT(ISERROR(SEARCH("库存",AS173)))</formula>
    </cfRule>
  </conditionalFormatting>
  <conditionalFormatting sqref="AS174">
    <cfRule type="cellIs" dxfId="0" priority="417" operator="lessThan">
      <formula>20</formula>
    </cfRule>
    <cfRule type="cellIs" dxfId="1" priority="222" operator="greaterThan">
      <formula>120</formula>
    </cfRule>
    <cfRule type="containsText" dxfId="3" priority="27" operator="between" text="库存">
      <formula>NOT(ISERROR(SEARCH("库存",AS174)))</formula>
    </cfRule>
  </conditionalFormatting>
  <conditionalFormatting sqref="AS175">
    <cfRule type="cellIs" dxfId="0" priority="416" operator="lessThan">
      <formula>20</formula>
    </cfRule>
    <cfRule type="cellIs" dxfId="1" priority="221" operator="greaterThan">
      <formula>120</formula>
    </cfRule>
    <cfRule type="containsText" dxfId="3" priority="26" operator="between" text="库存">
      <formula>NOT(ISERROR(SEARCH("库存",AS175)))</formula>
    </cfRule>
  </conditionalFormatting>
  <conditionalFormatting sqref="AS176">
    <cfRule type="cellIs" dxfId="0" priority="415" operator="lessThan">
      <formula>20</formula>
    </cfRule>
    <cfRule type="cellIs" dxfId="1" priority="220" operator="greaterThan">
      <formula>120</formula>
    </cfRule>
    <cfRule type="containsText" dxfId="3" priority="25" operator="between" text="库存">
      <formula>NOT(ISERROR(SEARCH("库存",AS176)))</formula>
    </cfRule>
  </conditionalFormatting>
  <conditionalFormatting sqref="AS177">
    <cfRule type="cellIs" dxfId="0" priority="414" operator="lessThan">
      <formula>20</formula>
    </cfRule>
    <cfRule type="cellIs" dxfId="1" priority="219" operator="greaterThan">
      <formula>120</formula>
    </cfRule>
    <cfRule type="containsText" dxfId="3" priority="24" operator="between" text="库存">
      <formula>NOT(ISERROR(SEARCH("库存",AS177)))</formula>
    </cfRule>
  </conditionalFormatting>
  <conditionalFormatting sqref="AS178">
    <cfRule type="cellIs" dxfId="0" priority="413" operator="lessThan">
      <formula>20</formula>
    </cfRule>
    <cfRule type="cellIs" dxfId="1" priority="218" operator="greaterThan">
      <formula>120</formula>
    </cfRule>
    <cfRule type="containsText" dxfId="3" priority="23" operator="between" text="库存">
      <formula>NOT(ISERROR(SEARCH("库存",AS178)))</formula>
    </cfRule>
  </conditionalFormatting>
  <conditionalFormatting sqref="AS179">
    <cfRule type="cellIs" dxfId="0" priority="412" operator="lessThan">
      <formula>20</formula>
    </cfRule>
    <cfRule type="cellIs" dxfId="1" priority="217" operator="greaterThan">
      <formula>120</formula>
    </cfRule>
    <cfRule type="containsText" dxfId="3" priority="22" operator="between" text="库存">
      <formula>NOT(ISERROR(SEARCH("库存",AS179)))</formula>
    </cfRule>
  </conditionalFormatting>
  <conditionalFormatting sqref="AS180">
    <cfRule type="cellIs" dxfId="0" priority="411" operator="lessThan">
      <formula>20</formula>
    </cfRule>
    <cfRule type="cellIs" dxfId="1" priority="216" operator="greaterThan">
      <formula>120</formula>
    </cfRule>
    <cfRule type="containsText" dxfId="3" priority="21" operator="between" text="库存">
      <formula>NOT(ISERROR(SEARCH("库存",AS180)))</formula>
    </cfRule>
  </conditionalFormatting>
  <conditionalFormatting sqref="AS181">
    <cfRule type="cellIs" dxfId="0" priority="410" operator="lessThan">
      <formula>20</formula>
    </cfRule>
    <cfRule type="cellIs" dxfId="1" priority="215" operator="greaterThan">
      <formula>120</formula>
    </cfRule>
    <cfRule type="containsText" dxfId="3" priority="20" operator="between" text="库存">
      <formula>NOT(ISERROR(SEARCH("库存",AS181)))</formula>
    </cfRule>
  </conditionalFormatting>
  <conditionalFormatting sqref="AS182">
    <cfRule type="cellIs" dxfId="0" priority="409" operator="lessThan">
      <formula>20</formula>
    </cfRule>
    <cfRule type="cellIs" dxfId="1" priority="214" operator="greaterThan">
      <formula>120</formula>
    </cfRule>
    <cfRule type="containsText" dxfId="3" priority="19" operator="between" text="库存">
      <formula>NOT(ISERROR(SEARCH("库存",AS182)))</formula>
    </cfRule>
  </conditionalFormatting>
  <conditionalFormatting sqref="AS183">
    <cfRule type="cellIs" dxfId="0" priority="408" operator="lessThan">
      <formula>20</formula>
    </cfRule>
    <cfRule type="cellIs" dxfId="1" priority="213" operator="greaterThan">
      <formula>120</formula>
    </cfRule>
    <cfRule type="containsText" dxfId="3" priority="18" operator="between" text="库存">
      <formula>NOT(ISERROR(SEARCH("库存",AS183)))</formula>
    </cfRule>
  </conditionalFormatting>
  <conditionalFormatting sqref="AS184">
    <cfRule type="cellIs" dxfId="0" priority="407" operator="lessThan">
      <formula>20</formula>
    </cfRule>
    <cfRule type="cellIs" dxfId="1" priority="212" operator="greaterThan">
      <formula>120</formula>
    </cfRule>
    <cfRule type="containsText" dxfId="3" priority="17" operator="between" text="库存">
      <formula>NOT(ISERROR(SEARCH("库存",AS184)))</formula>
    </cfRule>
  </conditionalFormatting>
  <conditionalFormatting sqref="AS185">
    <cfRule type="cellIs" dxfId="0" priority="406" operator="lessThan">
      <formula>20</formula>
    </cfRule>
    <cfRule type="cellIs" dxfId="1" priority="211" operator="greaterThan">
      <formula>120</formula>
    </cfRule>
    <cfRule type="containsText" dxfId="3" priority="16" operator="between" text="库存">
      <formula>NOT(ISERROR(SEARCH("库存",AS185)))</formula>
    </cfRule>
  </conditionalFormatting>
  <conditionalFormatting sqref="AS186">
    <cfRule type="cellIs" dxfId="0" priority="405" operator="lessThan">
      <formula>20</formula>
    </cfRule>
    <cfRule type="cellIs" dxfId="1" priority="210" operator="greaterThan">
      <formula>120</formula>
    </cfRule>
    <cfRule type="containsText" dxfId="3" priority="15" operator="between" text="库存">
      <formula>NOT(ISERROR(SEARCH("库存",AS186)))</formula>
    </cfRule>
  </conditionalFormatting>
  <conditionalFormatting sqref="AS187">
    <cfRule type="cellIs" dxfId="0" priority="404" operator="lessThan">
      <formula>20</formula>
    </cfRule>
    <cfRule type="cellIs" dxfId="1" priority="209" operator="greaterThan">
      <formula>120</formula>
    </cfRule>
    <cfRule type="containsText" dxfId="3" priority="14" operator="between" text="库存">
      <formula>NOT(ISERROR(SEARCH("库存",AS187)))</formula>
    </cfRule>
  </conditionalFormatting>
  <conditionalFormatting sqref="AS188">
    <cfRule type="cellIs" dxfId="0" priority="403" operator="lessThan">
      <formula>20</formula>
    </cfRule>
    <cfRule type="cellIs" dxfId="1" priority="208" operator="greaterThan">
      <formula>120</formula>
    </cfRule>
    <cfRule type="containsText" dxfId="3" priority="13" operator="between" text="库存">
      <formula>NOT(ISERROR(SEARCH("库存",AS188)))</formula>
    </cfRule>
  </conditionalFormatting>
  <conditionalFormatting sqref="AS189">
    <cfRule type="cellIs" dxfId="0" priority="402" operator="lessThan">
      <formula>20</formula>
    </cfRule>
    <cfRule type="cellIs" dxfId="1" priority="207" operator="greaterThan">
      <formula>120</formula>
    </cfRule>
    <cfRule type="containsText" dxfId="3" priority="12" operator="between" text="库存">
      <formula>NOT(ISERROR(SEARCH("库存",AS189)))</formula>
    </cfRule>
  </conditionalFormatting>
  <conditionalFormatting sqref="AS190">
    <cfRule type="cellIs" dxfId="0" priority="401" operator="lessThan">
      <formula>20</formula>
    </cfRule>
    <cfRule type="cellIs" dxfId="1" priority="206" operator="greaterThan">
      <formula>120</formula>
    </cfRule>
    <cfRule type="containsText" dxfId="3" priority="11" operator="between" text="库存">
      <formula>NOT(ISERROR(SEARCH("库存",AS190)))</formula>
    </cfRule>
  </conditionalFormatting>
  <conditionalFormatting sqref="AS191">
    <cfRule type="cellIs" dxfId="0" priority="400" operator="lessThan">
      <formula>20</formula>
    </cfRule>
    <cfRule type="cellIs" dxfId="1" priority="205" operator="greaterThan">
      <formula>120</formula>
    </cfRule>
    <cfRule type="containsText" dxfId="3" priority="10" operator="between" text="库存">
      <formula>NOT(ISERROR(SEARCH("库存",AS191)))</formula>
    </cfRule>
  </conditionalFormatting>
  <conditionalFormatting sqref="AS192">
    <cfRule type="cellIs" dxfId="0" priority="399" operator="lessThan">
      <formula>20</formula>
    </cfRule>
    <cfRule type="cellIs" dxfId="1" priority="204" operator="greaterThan">
      <formula>120</formula>
    </cfRule>
    <cfRule type="containsText" dxfId="3" priority="9" operator="between" text="库存">
      <formula>NOT(ISERROR(SEARCH("库存",AS192)))</formula>
    </cfRule>
  </conditionalFormatting>
  <conditionalFormatting sqref="AS193">
    <cfRule type="cellIs" dxfId="0" priority="398" operator="lessThan">
      <formula>20</formula>
    </cfRule>
    <cfRule type="cellIs" dxfId="1" priority="203" operator="greaterThan">
      <formula>120</formula>
    </cfRule>
    <cfRule type="containsText" dxfId="3" priority="8" operator="between" text="库存">
      <formula>NOT(ISERROR(SEARCH("库存",AS193)))</formula>
    </cfRule>
  </conditionalFormatting>
  <conditionalFormatting sqref="AS194">
    <cfRule type="cellIs" dxfId="0" priority="397" operator="lessThan">
      <formula>20</formula>
    </cfRule>
    <cfRule type="cellIs" dxfId="1" priority="202" operator="greaterThan">
      <formula>120</formula>
    </cfRule>
    <cfRule type="containsText" dxfId="3" priority="7" operator="between" text="库存">
      <formula>NOT(ISERROR(SEARCH("库存",AS194)))</formula>
    </cfRule>
  </conditionalFormatting>
  <conditionalFormatting sqref="AS195">
    <cfRule type="cellIs" dxfId="0" priority="396" operator="lessThan">
      <formula>20</formula>
    </cfRule>
    <cfRule type="cellIs" dxfId="1" priority="201" operator="greaterThan">
      <formula>120</formula>
    </cfRule>
    <cfRule type="containsText" dxfId="3" priority="6" operator="between" text="库存">
      <formula>NOT(ISERROR(SEARCH("库存",AS195)))</formula>
    </cfRule>
  </conditionalFormatting>
  <conditionalFormatting sqref="AS196">
    <cfRule type="cellIs" dxfId="0" priority="395" operator="lessThan">
      <formula>20</formula>
    </cfRule>
    <cfRule type="cellIs" dxfId="1" priority="200" operator="greaterThan">
      <formula>120</formula>
    </cfRule>
    <cfRule type="containsText" dxfId="3" priority="5" operator="between" text="库存">
      <formula>NOT(ISERROR(SEARCH("库存",AS196)))</formula>
    </cfRule>
  </conditionalFormatting>
  <conditionalFormatting sqref="AS197">
    <cfRule type="cellIs" dxfId="0" priority="394" operator="lessThan">
      <formula>20</formula>
    </cfRule>
    <cfRule type="cellIs" dxfId="1" priority="199" operator="greaterThan">
      <formula>120</formula>
    </cfRule>
    <cfRule type="containsText" dxfId="3" priority="4" operator="between" text="库存">
      <formula>NOT(ISERROR(SEARCH("库存",AS197)))</formula>
    </cfRule>
  </conditionalFormatting>
  <conditionalFormatting sqref="AS198">
    <cfRule type="cellIs" dxfId="0" priority="393" operator="lessThan">
      <formula>20</formula>
    </cfRule>
    <cfRule type="cellIs" dxfId="1" priority="198" operator="greaterThan">
      <formula>120</formula>
    </cfRule>
    <cfRule type="containsText" dxfId="3" priority="3" operator="between" text="库存">
      <formula>NOT(ISERROR(SEARCH("库存",AS198)))</formula>
    </cfRule>
  </conditionalFormatting>
  <conditionalFormatting sqref="AS199">
    <cfRule type="cellIs" dxfId="0" priority="392" operator="lessThan">
      <formula>20</formula>
    </cfRule>
    <cfRule type="cellIs" dxfId="1" priority="197" operator="greaterThan">
      <formula>120</formula>
    </cfRule>
    <cfRule type="containsText" dxfId="3" priority="2" operator="between" text="库存">
      <formula>NOT(ISERROR(SEARCH("库存",AS199)))</formula>
    </cfRule>
  </conditionalFormatting>
  <conditionalFormatting sqref="AS200">
    <cfRule type="cellIs" dxfId="0" priority="391" operator="lessThan">
      <formula>20</formula>
    </cfRule>
    <cfRule type="cellIs" dxfId="1" priority="196" operator="greaterThan">
      <formula>120</formula>
    </cfRule>
    <cfRule type="containsText" dxfId="3" priority="1" operator="between" text="库存">
      <formula>NOT(ISERROR(SEARCH("库存",AS200)))</formula>
    </cfRule>
  </conditionalFormatting>
  <conditionalFormatting sqref="AS201">
    <cfRule type="cellIs" dxfId="0" priority="1527" operator="lessThan">
      <formula>20</formula>
    </cfRule>
    <cfRule type="cellIs" dxfId="1" priority="1331" operator="greaterThan">
      <formula>120</formula>
    </cfRule>
    <cfRule type="containsText" dxfId="3" priority="1135" operator="between" text="库存">
      <formula>NOT(ISERROR(SEARCH("库存",AS201)))</formula>
    </cfRule>
  </conditionalFormatting>
  <conditionalFormatting sqref="AS1 AS3:AS5 AS202:AS1048576">
    <cfRule type="containsText" dxfId="3" priority="5017" operator="between" text="库存">
      <formula>NOT(ISERROR(SEARCH("库存",AS1)))</formula>
    </cfRule>
    <cfRule type="cellIs" dxfId="1" priority="5018" operator="greaterThan">
      <formula>120</formula>
    </cfRule>
    <cfRule type="cellIs" dxfId="0" priority="5019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6" sqref="E6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2291</v>
      </c>
      <c r="B1" s="1">
        <f>B12</f>
        <v>43290</v>
      </c>
    </row>
    <row r="2" spans="1:2">
      <c r="A2" t="s">
        <v>2292</v>
      </c>
      <c r="B2" s="1">
        <v>43317</v>
      </c>
    </row>
    <row r="4" spans="1:2">
      <c r="A4" t="s">
        <v>2293</v>
      </c>
      <c r="B4" s="2">
        <f>B2+1</f>
        <v>43318</v>
      </c>
    </row>
    <row r="5" spans="1:2">
      <c r="A5" t="s">
        <v>2294</v>
      </c>
      <c r="B5" s="3">
        <f>B2</f>
        <v>43317</v>
      </c>
    </row>
    <row r="6" spans="1:2">
      <c r="A6" t="s">
        <v>2295</v>
      </c>
      <c r="B6" s="2">
        <f>B5-6</f>
        <v>43311</v>
      </c>
    </row>
    <row r="7" spans="1:2">
      <c r="A7" t="s">
        <v>2296</v>
      </c>
      <c r="B7" s="2">
        <f>B5-7</f>
        <v>43310</v>
      </c>
    </row>
    <row r="8" spans="1:2">
      <c r="A8" t="s">
        <v>2297</v>
      </c>
      <c r="B8" s="2">
        <f>B5-13</f>
        <v>43304</v>
      </c>
    </row>
    <row r="9" spans="1:2">
      <c r="A9" t="s">
        <v>2298</v>
      </c>
      <c r="B9" s="2">
        <f>B5-14</f>
        <v>43303</v>
      </c>
    </row>
    <row r="10" spans="1:2">
      <c r="A10" t="s">
        <v>2299</v>
      </c>
      <c r="B10" s="2">
        <f>B5-20</f>
        <v>43297</v>
      </c>
    </row>
    <row r="11" spans="1:2">
      <c r="A11" t="s">
        <v>2300</v>
      </c>
      <c r="B11" s="2">
        <f>B5-21</f>
        <v>43296</v>
      </c>
    </row>
    <row r="12" spans="1:2">
      <c r="A12" t="s">
        <v>2301</v>
      </c>
      <c r="B12" s="2">
        <f>B5-27</f>
        <v>43290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2018-08-08T02:54:52Z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